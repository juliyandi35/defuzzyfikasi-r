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A0DC836-5364-4DDD-9E17-4E3AFAF2B491}" xr6:coauthVersionLast="47" xr6:coauthVersionMax="47" xr10:uidLastSave="{00000000-0000-0000-0000-000000000000}"/>
  <bookViews>
    <workbookView xWindow="-120" yWindow="-120" windowWidth="20730" windowHeight="11160" activeTab="3" xr2:uid="{232C6D72-EE36-4B85-8C91-65479BA3707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5" i="4" l="1"/>
  <c r="G385" i="4"/>
  <c r="I385" i="4" s="1"/>
  <c r="J385" i="4" s="1"/>
  <c r="K385" i="4" s="1"/>
  <c r="I384" i="4"/>
  <c r="J384" i="4" s="1"/>
  <c r="K384" i="4" s="1"/>
  <c r="H384" i="4"/>
  <c r="G384" i="4"/>
  <c r="J383" i="4"/>
  <c r="K383" i="4" s="1"/>
  <c r="I383" i="4"/>
  <c r="H383" i="4"/>
  <c r="G383" i="4"/>
  <c r="H382" i="4"/>
  <c r="G382" i="4"/>
  <c r="I382" i="4" s="1"/>
  <c r="J382" i="4" s="1"/>
  <c r="K382" i="4" s="1"/>
  <c r="H381" i="4"/>
  <c r="G381" i="4"/>
  <c r="I381" i="4" s="1"/>
  <c r="J381" i="4" s="1"/>
  <c r="K381" i="4" s="1"/>
  <c r="I380" i="4"/>
  <c r="J380" i="4" s="1"/>
  <c r="K380" i="4" s="1"/>
  <c r="H380" i="4"/>
  <c r="G380" i="4"/>
  <c r="J379" i="4"/>
  <c r="K379" i="4" s="1"/>
  <c r="I379" i="4"/>
  <c r="H379" i="4"/>
  <c r="G379" i="4"/>
  <c r="H378" i="4"/>
  <c r="G378" i="4"/>
  <c r="I378" i="4" s="1"/>
  <c r="J378" i="4" s="1"/>
  <c r="K378" i="4" s="1"/>
  <c r="H377" i="4"/>
  <c r="G377" i="4"/>
  <c r="I377" i="4" s="1"/>
  <c r="J377" i="4" s="1"/>
  <c r="K377" i="4" s="1"/>
  <c r="I376" i="4"/>
  <c r="J376" i="4" s="1"/>
  <c r="K376" i="4" s="1"/>
  <c r="H376" i="4"/>
  <c r="G376" i="4"/>
  <c r="J375" i="4"/>
  <c r="K375" i="4" s="1"/>
  <c r="I375" i="4"/>
  <c r="H375" i="4"/>
  <c r="G375" i="4"/>
  <c r="H374" i="4"/>
  <c r="G374" i="4"/>
  <c r="I374" i="4" s="1"/>
  <c r="J374" i="4" s="1"/>
  <c r="K374" i="4" s="1"/>
  <c r="H373" i="4"/>
  <c r="G373" i="4"/>
  <c r="I373" i="4" s="1"/>
  <c r="J373" i="4" s="1"/>
  <c r="K373" i="4" s="1"/>
  <c r="I372" i="4"/>
  <c r="J372" i="4" s="1"/>
  <c r="K372" i="4" s="1"/>
  <c r="H372" i="4"/>
  <c r="G372" i="4"/>
  <c r="J371" i="4"/>
  <c r="K371" i="4" s="1"/>
  <c r="I371" i="4"/>
  <c r="H371" i="4"/>
  <c r="G371" i="4"/>
  <c r="H370" i="4"/>
  <c r="G370" i="4"/>
  <c r="I370" i="4" s="1"/>
  <c r="J370" i="4" s="1"/>
  <c r="K370" i="4" s="1"/>
  <c r="H369" i="4"/>
  <c r="G369" i="4"/>
  <c r="I369" i="4" s="1"/>
  <c r="J369" i="4" s="1"/>
  <c r="K369" i="4" s="1"/>
  <c r="I368" i="4"/>
  <c r="J368" i="4" s="1"/>
  <c r="K368" i="4" s="1"/>
  <c r="H368" i="4"/>
  <c r="G368" i="4"/>
  <c r="J367" i="4"/>
  <c r="K367" i="4" s="1"/>
  <c r="I367" i="4"/>
  <c r="H367" i="4"/>
  <c r="G367" i="4"/>
  <c r="H366" i="4"/>
  <c r="G366" i="4"/>
  <c r="I366" i="4" s="1"/>
  <c r="J366" i="4" s="1"/>
  <c r="K366" i="4" s="1"/>
  <c r="H365" i="4"/>
  <c r="G365" i="4"/>
  <c r="I365" i="4" s="1"/>
  <c r="J365" i="4" s="1"/>
  <c r="K365" i="4" s="1"/>
  <c r="I364" i="4"/>
  <c r="J364" i="4" s="1"/>
  <c r="K364" i="4" s="1"/>
  <c r="H364" i="4"/>
  <c r="G364" i="4"/>
  <c r="J363" i="4"/>
  <c r="K363" i="4" s="1"/>
  <c r="I363" i="4"/>
  <c r="H363" i="4"/>
  <c r="G363" i="4"/>
  <c r="H362" i="4"/>
  <c r="G362" i="4"/>
  <c r="I362" i="4" s="1"/>
  <c r="J362" i="4" s="1"/>
  <c r="K362" i="4" s="1"/>
  <c r="H361" i="4"/>
  <c r="G361" i="4"/>
  <c r="I361" i="4" s="1"/>
  <c r="J361" i="4" s="1"/>
  <c r="K361" i="4" s="1"/>
  <c r="I360" i="4"/>
  <c r="J360" i="4" s="1"/>
  <c r="K360" i="4" s="1"/>
  <c r="H360" i="4"/>
  <c r="G360" i="4"/>
  <c r="J359" i="4"/>
  <c r="K359" i="4" s="1"/>
  <c r="I359" i="4"/>
  <c r="H359" i="4"/>
  <c r="G359" i="4"/>
  <c r="H358" i="4"/>
  <c r="G358" i="4"/>
  <c r="I358" i="4" s="1"/>
  <c r="J358" i="4" s="1"/>
  <c r="K358" i="4" s="1"/>
  <c r="H357" i="4"/>
  <c r="G357" i="4"/>
  <c r="I357" i="4" s="1"/>
  <c r="J357" i="4" s="1"/>
  <c r="K357" i="4" s="1"/>
  <c r="I356" i="4"/>
  <c r="J356" i="4" s="1"/>
  <c r="K356" i="4" s="1"/>
  <c r="H356" i="4"/>
  <c r="G356" i="4"/>
  <c r="J355" i="4"/>
  <c r="K355" i="4" s="1"/>
  <c r="I355" i="4"/>
  <c r="H355" i="4"/>
  <c r="G355" i="4"/>
  <c r="H354" i="4"/>
  <c r="G354" i="4"/>
  <c r="I354" i="4" s="1"/>
  <c r="J354" i="4" s="1"/>
  <c r="K354" i="4" s="1"/>
  <c r="H353" i="4"/>
  <c r="G353" i="4"/>
  <c r="I353" i="4" s="1"/>
  <c r="J353" i="4" s="1"/>
  <c r="K353" i="4" s="1"/>
  <c r="I352" i="4"/>
  <c r="J352" i="4" s="1"/>
  <c r="K352" i="4" s="1"/>
  <c r="H352" i="4"/>
  <c r="G352" i="4"/>
  <c r="J351" i="4"/>
  <c r="K351" i="4" s="1"/>
  <c r="I351" i="4"/>
  <c r="H351" i="4"/>
  <c r="G351" i="4"/>
  <c r="H350" i="4"/>
  <c r="G350" i="4"/>
  <c r="I350" i="4" s="1"/>
  <c r="J350" i="4" s="1"/>
  <c r="K350" i="4" s="1"/>
  <c r="H349" i="4"/>
  <c r="G349" i="4"/>
  <c r="I349" i="4" s="1"/>
  <c r="J349" i="4" s="1"/>
  <c r="K349" i="4" s="1"/>
  <c r="I348" i="4"/>
  <c r="J348" i="4" s="1"/>
  <c r="K348" i="4" s="1"/>
  <c r="H348" i="4"/>
  <c r="G348" i="4"/>
  <c r="H347" i="4"/>
  <c r="G347" i="4"/>
  <c r="I347" i="4" s="1"/>
  <c r="J347" i="4" s="1"/>
  <c r="K347" i="4" s="1"/>
  <c r="H346" i="4"/>
  <c r="G346" i="4"/>
  <c r="I346" i="4" s="1"/>
  <c r="J346" i="4" s="1"/>
  <c r="K346" i="4" s="1"/>
  <c r="H345" i="4"/>
  <c r="G345" i="4"/>
  <c r="I344" i="4"/>
  <c r="J344" i="4" s="1"/>
  <c r="K344" i="4" s="1"/>
  <c r="H344" i="4"/>
  <c r="G344" i="4"/>
  <c r="H343" i="4"/>
  <c r="G343" i="4"/>
  <c r="I343" i="4" s="1"/>
  <c r="J343" i="4" s="1"/>
  <c r="K343" i="4" s="1"/>
  <c r="K342" i="4"/>
  <c r="H342" i="4"/>
  <c r="G342" i="4"/>
  <c r="I342" i="4" s="1"/>
  <c r="J342" i="4" s="1"/>
  <c r="H341" i="4"/>
  <c r="G341" i="4"/>
  <c r="I341" i="4" s="1"/>
  <c r="J341" i="4" s="1"/>
  <c r="K341" i="4" s="1"/>
  <c r="I340" i="4"/>
  <c r="J340" i="4" s="1"/>
  <c r="K340" i="4" s="1"/>
  <c r="H340" i="4"/>
  <c r="G340" i="4"/>
  <c r="J339" i="4"/>
  <c r="K339" i="4" s="1"/>
  <c r="H339" i="4"/>
  <c r="G339" i="4"/>
  <c r="I339" i="4" s="1"/>
  <c r="K338" i="4"/>
  <c r="H338" i="4"/>
  <c r="G338" i="4"/>
  <c r="I338" i="4" s="1"/>
  <c r="J338" i="4" s="1"/>
  <c r="H337" i="4"/>
  <c r="G337" i="4"/>
  <c r="I336" i="4"/>
  <c r="J336" i="4" s="1"/>
  <c r="K336" i="4" s="1"/>
  <c r="H336" i="4"/>
  <c r="G336" i="4"/>
  <c r="J335" i="4"/>
  <c r="K335" i="4" s="1"/>
  <c r="H335" i="4"/>
  <c r="G335" i="4"/>
  <c r="I335" i="4" s="1"/>
  <c r="H334" i="4"/>
  <c r="G334" i="4"/>
  <c r="I334" i="4" s="1"/>
  <c r="J334" i="4" s="1"/>
  <c r="K334" i="4" s="1"/>
  <c r="H333" i="4"/>
  <c r="G333" i="4"/>
  <c r="I333" i="4" s="1"/>
  <c r="J333" i="4" s="1"/>
  <c r="K333" i="4" s="1"/>
  <c r="I332" i="4"/>
  <c r="J332" i="4" s="1"/>
  <c r="K332" i="4" s="1"/>
  <c r="H332" i="4"/>
  <c r="G332" i="4"/>
  <c r="H331" i="4"/>
  <c r="G331" i="4"/>
  <c r="I331" i="4" s="1"/>
  <c r="J331" i="4" s="1"/>
  <c r="K331" i="4" s="1"/>
  <c r="H330" i="4"/>
  <c r="G330" i="4"/>
  <c r="I330" i="4" s="1"/>
  <c r="J330" i="4" s="1"/>
  <c r="K330" i="4" s="1"/>
  <c r="H329" i="4"/>
  <c r="G329" i="4"/>
  <c r="I328" i="4"/>
  <c r="J328" i="4" s="1"/>
  <c r="K328" i="4" s="1"/>
  <c r="H328" i="4"/>
  <c r="G328" i="4"/>
  <c r="H327" i="4"/>
  <c r="G327" i="4"/>
  <c r="I327" i="4" s="1"/>
  <c r="J327" i="4" s="1"/>
  <c r="K327" i="4" s="1"/>
  <c r="K326" i="4"/>
  <c r="H326" i="4"/>
  <c r="G326" i="4"/>
  <c r="I326" i="4" s="1"/>
  <c r="J326" i="4" s="1"/>
  <c r="H325" i="4"/>
  <c r="I325" i="4" s="1"/>
  <c r="J325" i="4" s="1"/>
  <c r="K325" i="4" s="1"/>
  <c r="G325" i="4"/>
  <c r="I324" i="4"/>
  <c r="J324" i="4" s="1"/>
  <c r="K324" i="4" s="1"/>
  <c r="H324" i="4"/>
  <c r="G324" i="4"/>
  <c r="J323" i="4"/>
  <c r="K323" i="4" s="1"/>
  <c r="H323" i="4"/>
  <c r="G323" i="4"/>
  <c r="I323" i="4" s="1"/>
  <c r="K322" i="4"/>
  <c r="H322" i="4"/>
  <c r="G322" i="4"/>
  <c r="I322" i="4" s="1"/>
  <c r="J322" i="4" s="1"/>
  <c r="H321" i="4"/>
  <c r="I321" i="4" s="1"/>
  <c r="J321" i="4" s="1"/>
  <c r="K321" i="4" s="1"/>
  <c r="G321" i="4"/>
  <c r="I320" i="4"/>
  <c r="J320" i="4" s="1"/>
  <c r="K320" i="4" s="1"/>
  <c r="H320" i="4"/>
  <c r="G320" i="4"/>
  <c r="H319" i="4"/>
  <c r="G319" i="4"/>
  <c r="I319" i="4" s="1"/>
  <c r="J319" i="4" s="1"/>
  <c r="K319" i="4" s="1"/>
  <c r="H318" i="4"/>
  <c r="G318" i="4"/>
  <c r="I318" i="4" s="1"/>
  <c r="J318" i="4" s="1"/>
  <c r="K318" i="4" s="1"/>
  <c r="H317" i="4"/>
  <c r="G317" i="4"/>
  <c r="I317" i="4" s="1"/>
  <c r="J317" i="4" s="1"/>
  <c r="K317" i="4" s="1"/>
  <c r="I316" i="4"/>
  <c r="J316" i="4" s="1"/>
  <c r="K316" i="4" s="1"/>
  <c r="H316" i="4"/>
  <c r="G316" i="4"/>
  <c r="H315" i="4"/>
  <c r="G315" i="4"/>
  <c r="I315" i="4" s="1"/>
  <c r="J315" i="4" s="1"/>
  <c r="K315" i="4" s="1"/>
  <c r="H314" i="4"/>
  <c r="G314" i="4"/>
  <c r="I314" i="4" s="1"/>
  <c r="J314" i="4" s="1"/>
  <c r="K314" i="4" s="1"/>
  <c r="H313" i="4"/>
  <c r="G313" i="4"/>
  <c r="I312" i="4"/>
  <c r="J312" i="4" s="1"/>
  <c r="K312" i="4" s="1"/>
  <c r="H312" i="4"/>
  <c r="G312" i="4"/>
  <c r="H311" i="4"/>
  <c r="G311" i="4"/>
  <c r="I311" i="4" s="1"/>
  <c r="J311" i="4" s="1"/>
  <c r="K311" i="4" s="1"/>
  <c r="K310" i="4"/>
  <c r="H310" i="4"/>
  <c r="G310" i="4"/>
  <c r="I310" i="4" s="1"/>
  <c r="J310" i="4" s="1"/>
  <c r="H309" i="4"/>
  <c r="G309" i="4"/>
  <c r="I309" i="4" s="1"/>
  <c r="J309" i="4" s="1"/>
  <c r="K309" i="4" s="1"/>
  <c r="I308" i="4"/>
  <c r="J308" i="4" s="1"/>
  <c r="K308" i="4" s="1"/>
  <c r="H308" i="4"/>
  <c r="G308" i="4"/>
  <c r="J307" i="4"/>
  <c r="K307" i="4" s="1"/>
  <c r="H307" i="4"/>
  <c r="G307" i="4"/>
  <c r="I307" i="4" s="1"/>
  <c r="H306" i="4"/>
  <c r="G306" i="4"/>
  <c r="I306" i="4" s="1"/>
  <c r="J306" i="4" s="1"/>
  <c r="K306" i="4" s="1"/>
  <c r="H305" i="4"/>
  <c r="G305" i="4"/>
  <c r="I304" i="4"/>
  <c r="J304" i="4" s="1"/>
  <c r="K304" i="4" s="1"/>
  <c r="H304" i="4"/>
  <c r="G304" i="4"/>
  <c r="H303" i="4"/>
  <c r="G303" i="4"/>
  <c r="I303" i="4" s="1"/>
  <c r="J303" i="4" s="1"/>
  <c r="K303" i="4" s="1"/>
  <c r="H302" i="4"/>
  <c r="G302" i="4"/>
  <c r="I302" i="4" s="1"/>
  <c r="J302" i="4" s="1"/>
  <c r="K302" i="4" s="1"/>
  <c r="H301" i="4"/>
  <c r="G301" i="4"/>
  <c r="I301" i="4" s="1"/>
  <c r="J301" i="4" s="1"/>
  <c r="K301" i="4" s="1"/>
  <c r="I300" i="4"/>
  <c r="J300" i="4" s="1"/>
  <c r="K300" i="4" s="1"/>
  <c r="H300" i="4"/>
  <c r="G300" i="4"/>
  <c r="H299" i="4"/>
  <c r="G299" i="4"/>
  <c r="I299" i="4" s="1"/>
  <c r="J299" i="4" s="1"/>
  <c r="K299" i="4" s="1"/>
  <c r="H298" i="4"/>
  <c r="G298" i="4"/>
  <c r="I298" i="4" s="1"/>
  <c r="J298" i="4" s="1"/>
  <c r="K298" i="4" s="1"/>
  <c r="H297" i="4"/>
  <c r="G297" i="4"/>
  <c r="I296" i="4"/>
  <c r="J296" i="4" s="1"/>
  <c r="K296" i="4" s="1"/>
  <c r="H296" i="4"/>
  <c r="G296" i="4"/>
  <c r="H295" i="4"/>
  <c r="G295" i="4"/>
  <c r="I295" i="4" s="1"/>
  <c r="J295" i="4" s="1"/>
  <c r="K295" i="4" s="1"/>
  <c r="K294" i="4"/>
  <c r="H294" i="4"/>
  <c r="G294" i="4"/>
  <c r="I294" i="4" s="1"/>
  <c r="J294" i="4" s="1"/>
  <c r="H293" i="4"/>
  <c r="G293" i="4"/>
  <c r="I293" i="4" s="1"/>
  <c r="J293" i="4" s="1"/>
  <c r="K293" i="4" s="1"/>
  <c r="I292" i="4"/>
  <c r="J292" i="4" s="1"/>
  <c r="K292" i="4" s="1"/>
  <c r="H292" i="4"/>
  <c r="G292" i="4"/>
  <c r="J291" i="4"/>
  <c r="K291" i="4" s="1"/>
  <c r="H291" i="4"/>
  <c r="G291" i="4"/>
  <c r="I291" i="4" s="1"/>
  <c r="H290" i="4"/>
  <c r="G290" i="4"/>
  <c r="I290" i="4" s="1"/>
  <c r="J290" i="4" s="1"/>
  <c r="K290" i="4" s="1"/>
  <c r="H289" i="4"/>
  <c r="G289" i="4"/>
  <c r="I288" i="4"/>
  <c r="J288" i="4" s="1"/>
  <c r="K288" i="4" s="1"/>
  <c r="H288" i="4"/>
  <c r="G288" i="4"/>
  <c r="H287" i="4"/>
  <c r="G287" i="4"/>
  <c r="I287" i="4" s="1"/>
  <c r="J287" i="4" s="1"/>
  <c r="K287" i="4" s="1"/>
  <c r="H286" i="4"/>
  <c r="G286" i="4"/>
  <c r="I286" i="4" s="1"/>
  <c r="J286" i="4" s="1"/>
  <c r="K286" i="4" s="1"/>
  <c r="H285" i="4"/>
  <c r="G285" i="4"/>
  <c r="I285" i="4" s="1"/>
  <c r="J285" i="4" s="1"/>
  <c r="K285" i="4" s="1"/>
  <c r="I284" i="4"/>
  <c r="J284" i="4" s="1"/>
  <c r="K284" i="4" s="1"/>
  <c r="H284" i="4"/>
  <c r="G284" i="4"/>
  <c r="H283" i="4"/>
  <c r="G283" i="4"/>
  <c r="I283" i="4" s="1"/>
  <c r="J283" i="4" s="1"/>
  <c r="K283" i="4" s="1"/>
  <c r="H282" i="4"/>
  <c r="G282" i="4"/>
  <c r="I282" i="4" s="1"/>
  <c r="J282" i="4" s="1"/>
  <c r="K282" i="4" s="1"/>
  <c r="H281" i="4"/>
  <c r="G281" i="4"/>
  <c r="I280" i="4"/>
  <c r="J280" i="4" s="1"/>
  <c r="K280" i="4" s="1"/>
  <c r="H280" i="4"/>
  <c r="G280" i="4"/>
  <c r="H279" i="4"/>
  <c r="G279" i="4"/>
  <c r="I279" i="4" s="1"/>
  <c r="J279" i="4" s="1"/>
  <c r="K279" i="4" s="1"/>
  <c r="K278" i="4"/>
  <c r="H278" i="4"/>
  <c r="G278" i="4"/>
  <c r="I278" i="4" s="1"/>
  <c r="J278" i="4" s="1"/>
  <c r="H277" i="4"/>
  <c r="G277" i="4"/>
  <c r="I277" i="4" s="1"/>
  <c r="J277" i="4" s="1"/>
  <c r="K277" i="4" s="1"/>
  <c r="I276" i="4"/>
  <c r="J276" i="4" s="1"/>
  <c r="K276" i="4" s="1"/>
  <c r="H276" i="4"/>
  <c r="G276" i="4"/>
  <c r="J275" i="4"/>
  <c r="K275" i="4" s="1"/>
  <c r="H275" i="4"/>
  <c r="G275" i="4"/>
  <c r="I275" i="4" s="1"/>
  <c r="H274" i="4"/>
  <c r="G274" i="4"/>
  <c r="I274" i="4" s="1"/>
  <c r="J274" i="4" s="1"/>
  <c r="K274" i="4" s="1"/>
  <c r="H273" i="4"/>
  <c r="G273" i="4"/>
  <c r="I273" i="4" s="1"/>
  <c r="J273" i="4" s="1"/>
  <c r="K273" i="4" s="1"/>
  <c r="H272" i="4"/>
  <c r="G272" i="4"/>
  <c r="I272" i="4" s="1"/>
  <c r="J272" i="4" s="1"/>
  <c r="K272" i="4" s="1"/>
  <c r="I271" i="4"/>
  <c r="J271" i="4" s="1"/>
  <c r="K271" i="4" s="1"/>
  <c r="H271" i="4"/>
  <c r="G271" i="4"/>
  <c r="J270" i="4"/>
  <c r="K270" i="4" s="1"/>
  <c r="H270" i="4"/>
  <c r="G270" i="4"/>
  <c r="I270" i="4" s="1"/>
  <c r="H269" i="4"/>
  <c r="G269" i="4"/>
  <c r="I269" i="4" s="1"/>
  <c r="J269" i="4" s="1"/>
  <c r="K269" i="4" s="1"/>
  <c r="H268" i="4"/>
  <c r="G268" i="4"/>
  <c r="I268" i="4" s="1"/>
  <c r="J268" i="4" s="1"/>
  <c r="K268" i="4" s="1"/>
  <c r="I267" i="4"/>
  <c r="J267" i="4" s="1"/>
  <c r="K267" i="4" s="1"/>
  <c r="H267" i="4"/>
  <c r="G267" i="4"/>
  <c r="H266" i="4"/>
  <c r="G266" i="4"/>
  <c r="I266" i="4" s="1"/>
  <c r="J266" i="4" s="1"/>
  <c r="K266" i="4" s="1"/>
  <c r="H265" i="4"/>
  <c r="G265" i="4"/>
  <c r="I265" i="4" s="1"/>
  <c r="J265" i="4" s="1"/>
  <c r="K265" i="4" s="1"/>
  <c r="H264" i="4"/>
  <c r="G264" i="4"/>
  <c r="K263" i="4"/>
  <c r="H263" i="4"/>
  <c r="G263" i="4"/>
  <c r="I263" i="4" s="1"/>
  <c r="J263" i="4" s="1"/>
  <c r="J262" i="4"/>
  <c r="K262" i="4" s="1"/>
  <c r="H262" i="4"/>
  <c r="G262" i="4"/>
  <c r="I262" i="4" s="1"/>
  <c r="I261" i="4"/>
  <c r="J261" i="4" s="1"/>
  <c r="K261" i="4" s="1"/>
  <c r="H261" i="4"/>
  <c r="G261" i="4"/>
  <c r="H260" i="4"/>
  <c r="G260" i="4"/>
  <c r="K259" i="4"/>
  <c r="I259" i="4"/>
  <c r="J259" i="4" s="1"/>
  <c r="H259" i="4"/>
  <c r="G259" i="4"/>
  <c r="J258" i="4"/>
  <c r="K258" i="4" s="1"/>
  <c r="H258" i="4"/>
  <c r="I258" i="4" s="1"/>
  <c r="G258" i="4"/>
  <c r="H257" i="4"/>
  <c r="G257" i="4"/>
  <c r="I257" i="4" s="1"/>
  <c r="J257" i="4" s="1"/>
  <c r="K257" i="4" s="1"/>
  <c r="H256" i="4"/>
  <c r="G256" i="4"/>
  <c r="H255" i="4"/>
  <c r="G255" i="4"/>
  <c r="I255" i="4" s="1"/>
  <c r="J255" i="4" s="1"/>
  <c r="K255" i="4" s="1"/>
  <c r="J254" i="4"/>
  <c r="K254" i="4" s="1"/>
  <c r="H254" i="4"/>
  <c r="G254" i="4"/>
  <c r="I254" i="4" s="1"/>
  <c r="I253" i="4"/>
  <c r="J253" i="4" s="1"/>
  <c r="K253" i="4" s="1"/>
  <c r="H253" i="4"/>
  <c r="G253" i="4"/>
  <c r="H252" i="4"/>
  <c r="G252" i="4"/>
  <c r="K251" i="4"/>
  <c r="I251" i="4"/>
  <c r="J251" i="4" s="1"/>
  <c r="H251" i="4"/>
  <c r="G251" i="4"/>
  <c r="J250" i="4"/>
  <c r="K250" i="4" s="1"/>
  <c r="H250" i="4"/>
  <c r="I250" i="4" s="1"/>
  <c r="G250" i="4"/>
  <c r="H249" i="4"/>
  <c r="G249" i="4"/>
  <c r="I249" i="4" s="1"/>
  <c r="J249" i="4" s="1"/>
  <c r="K249" i="4" s="1"/>
  <c r="H248" i="4"/>
  <c r="G248" i="4"/>
  <c r="K247" i="4"/>
  <c r="H247" i="4"/>
  <c r="G247" i="4"/>
  <c r="I247" i="4" s="1"/>
  <c r="J247" i="4" s="1"/>
  <c r="J246" i="4"/>
  <c r="K246" i="4" s="1"/>
  <c r="H246" i="4"/>
  <c r="G246" i="4"/>
  <c r="I246" i="4" s="1"/>
  <c r="I245" i="4"/>
  <c r="J245" i="4" s="1"/>
  <c r="K245" i="4" s="1"/>
  <c r="H245" i="4"/>
  <c r="G245" i="4"/>
  <c r="H244" i="4"/>
  <c r="G244" i="4"/>
  <c r="K243" i="4"/>
  <c r="I243" i="4"/>
  <c r="J243" i="4" s="1"/>
  <c r="H243" i="4"/>
  <c r="G243" i="4"/>
  <c r="J242" i="4"/>
  <c r="K242" i="4" s="1"/>
  <c r="H242" i="4"/>
  <c r="I242" i="4" s="1"/>
  <c r="G242" i="4"/>
  <c r="H241" i="4"/>
  <c r="G241" i="4"/>
  <c r="I241" i="4" s="1"/>
  <c r="J241" i="4" s="1"/>
  <c r="K241" i="4" s="1"/>
  <c r="H240" i="4"/>
  <c r="G240" i="4"/>
  <c r="H239" i="4"/>
  <c r="G239" i="4"/>
  <c r="I239" i="4" s="1"/>
  <c r="J239" i="4" s="1"/>
  <c r="K239" i="4" s="1"/>
  <c r="J238" i="4"/>
  <c r="K238" i="4" s="1"/>
  <c r="H238" i="4"/>
  <c r="I238" i="4" s="1"/>
  <c r="G238" i="4"/>
  <c r="I237" i="4"/>
  <c r="J237" i="4" s="1"/>
  <c r="K237" i="4" s="1"/>
  <c r="H237" i="4"/>
  <c r="G237" i="4"/>
  <c r="H236" i="4"/>
  <c r="G236" i="4"/>
  <c r="K235" i="4"/>
  <c r="I235" i="4"/>
  <c r="J235" i="4" s="1"/>
  <c r="H235" i="4"/>
  <c r="G235" i="4"/>
  <c r="J234" i="4"/>
  <c r="K234" i="4" s="1"/>
  <c r="H234" i="4"/>
  <c r="I234" i="4" s="1"/>
  <c r="G234" i="4"/>
  <c r="H233" i="4"/>
  <c r="G233" i="4"/>
  <c r="I233" i="4" s="1"/>
  <c r="J233" i="4" s="1"/>
  <c r="K233" i="4" s="1"/>
  <c r="H232" i="4"/>
  <c r="G232" i="4"/>
  <c r="K231" i="4"/>
  <c r="H231" i="4"/>
  <c r="G231" i="4"/>
  <c r="I231" i="4" s="1"/>
  <c r="J231" i="4" s="1"/>
  <c r="J230" i="4"/>
  <c r="K230" i="4" s="1"/>
  <c r="H230" i="4"/>
  <c r="I230" i="4" s="1"/>
  <c r="G230" i="4"/>
  <c r="I229" i="4"/>
  <c r="J229" i="4" s="1"/>
  <c r="K229" i="4" s="1"/>
  <c r="H229" i="4"/>
  <c r="G229" i="4"/>
  <c r="H228" i="4"/>
  <c r="G228" i="4"/>
  <c r="K227" i="4"/>
  <c r="I227" i="4"/>
  <c r="J227" i="4" s="1"/>
  <c r="H227" i="4"/>
  <c r="G227" i="4"/>
  <c r="J226" i="4"/>
  <c r="K226" i="4" s="1"/>
  <c r="H226" i="4"/>
  <c r="I226" i="4" s="1"/>
  <c r="G226" i="4"/>
  <c r="H225" i="4"/>
  <c r="G225" i="4"/>
  <c r="I225" i="4" s="1"/>
  <c r="J225" i="4" s="1"/>
  <c r="K225" i="4" s="1"/>
  <c r="H224" i="4"/>
  <c r="G224" i="4"/>
  <c r="H223" i="4"/>
  <c r="G223" i="4"/>
  <c r="I223" i="4" s="1"/>
  <c r="J223" i="4" s="1"/>
  <c r="K223" i="4" s="1"/>
  <c r="J222" i="4"/>
  <c r="K222" i="4" s="1"/>
  <c r="H222" i="4"/>
  <c r="G222" i="4"/>
  <c r="I222" i="4" s="1"/>
  <c r="I221" i="4"/>
  <c r="J221" i="4" s="1"/>
  <c r="K221" i="4" s="1"/>
  <c r="H221" i="4"/>
  <c r="G221" i="4"/>
  <c r="H220" i="4"/>
  <c r="G220" i="4"/>
  <c r="K219" i="4"/>
  <c r="I219" i="4"/>
  <c r="J219" i="4" s="1"/>
  <c r="H219" i="4"/>
  <c r="G219" i="4"/>
  <c r="H218" i="4"/>
  <c r="G218" i="4"/>
  <c r="I218" i="4" s="1"/>
  <c r="J218" i="4" s="1"/>
  <c r="K218" i="4" s="1"/>
  <c r="H217" i="4"/>
  <c r="G217" i="4"/>
  <c r="I217" i="4" s="1"/>
  <c r="J217" i="4" s="1"/>
  <c r="K217" i="4" s="1"/>
  <c r="H216" i="4"/>
  <c r="G216" i="4"/>
  <c r="H215" i="4"/>
  <c r="G215" i="4"/>
  <c r="I215" i="4" s="1"/>
  <c r="J215" i="4" s="1"/>
  <c r="K215" i="4" s="1"/>
  <c r="J214" i="4"/>
  <c r="K214" i="4" s="1"/>
  <c r="H214" i="4"/>
  <c r="G214" i="4"/>
  <c r="I214" i="4" s="1"/>
  <c r="I213" i="4"/>
  <c r="J213" i="4" s="1"/>
  <c r="K213" i="4" s="1"/>
  <c r="H213" i="4"/>
  <c r="G213" i="4"/>
  <c r="H212" i="4"/>
  <c r="G212" i="4"/>
  <c r="K211" i="4"/>
  <c r="I211" i="4"/>
  <c r="J211" i="4" s="1"/>
  <c r="H211" i="4"/>
  <c r="G211" i="4"/>
  <c r="H210" i="4"/>
  <c r="G210" i="4"/>
  <c r="I210" i="4" s="1"/>
  <c r="J210" i="4" s="1"/>
  <c r="K210" i="4" s="1"/>
  <c r="H209" i="4"/>
  <c r="G209" i="4"/>
  <c r="I209" i="4" s="1"/>
  <c r="J209" i="4" s="1"/>
  <c r="K209" i="4" s="1"/>
  <c r="H208" i="4"/>
  <c r="G208" i="4"/>
  <c r="K207" i="4"/>
  <c r="H207" i="4"/>
  <c r="G207" i="4"/>
  <c r="I207" i="4" s="1"/>
  <c r="J207" i="4" s="1"/>
  <c r="J206" i="4"/>
  <c r="K206" i="4" s="1"/>
  <c r="H206" i="4"/>
  <c r="G206" i="4"/>
  <c r="I206" i="4" s="1"/>
  <c r="I205" i="4"/>
  <c r="J205" i="4" s="1"/>
  <c r="K205" i="4" s="1"/>
  <c r="H205" i="4"/>
  <c r="G205" i="4"/>
  <c r="H204" i="4"/>
  <c r="G204" i="4"/>
  <c r="K203" i="4"/>
  <c r="I203" i="4"/>
  <c r="J203" i="4" s="1"/>
  <c r="H203" i="4"/>
  <c r="G203" i="4"/>
  <c r="H202" i="4"/>
  <c r="G202" i="4"/>
  <c r="I202" i="4" s="1"/>
  <c r="J202" i="4" s="1"/>
  <c r="K202" i="4" s="1"/>
  <c r="H201" i="4"/>
  <c r="G201" i="4"/>
  <c r="I201" i="4" s="1"/>
  <c r="J201" i="4" s="1"/>
  <c r="K201" i="4" s="1"/>
  <c r="H200" i="4"/>
  <c r="G200" i="4"/>
  <c r="K199" i="4"/>
  <c r="H199" i="4"/>
  <c r="G199" i="4"/>
  <c r="I199" i="4" s="1"/>
  <c r="J199" i="4" s="1"/>
  <c r="J198" i="4"/>
  <c r="K198" i="4" s="1"/>
  <c r="H198" i="4"/>
  <c r="I198" i="4" s="1"/>
  <c r="G198" i="4"/>
  <c r="I197" i="4"/>
  <c r="J197" i="4" s="1"/>
  <c r="K197" i="4" s="1"/>
  <c r="H197" i="4"/>
  <c r="G197" i="4"/>
  <c r="H196" i="4"/>
  <c r="G196" i="4"/>
  <c r="K195" i="4"/>
  <c r="I195" i="4"/>
  <c r="J195" i="4" s="1"/>
  <c r="H195" i="4"/>
  <c r="G195" i="4"/>
  <c r="J194" i="4"/>
  <c r="K194" i="4" s="1"/>
  <c r="H194" i="4"/>
  <c r="I194" i="4" s="1"/>
  <c r="G194" i="4"/>
  <c r="H193" i="4"/>
  <c r="G193" i="4"/>
  <c r="I193" i="4" s="1"/>
  <c r="J193" i="4" s="1"/>
  <c r="K193" i="4" s="1"/>
  <c r="H192" i="4"/>
  <c r="G192" i="4"/>
  <c r="H191" i="4"/>
  <c r="G191" i="4"/>
  <c r="I191" i="4" s="1"/>
  <c r="J191" i="4" s="1"/>
  <c r="K191" i="4" s="1"/>
  <c r="J190" i="4"/>
  <c r="K190" i="4" s="1"/>
  <c r="H190" i="4"/>
  <c r="I190" i="4" s="1"/>
  <c r="G190" i="4"/>
  <c r="I189" i="4"/>
  <c r="J189" i="4" s="1"/>
  <c r="K189" i="4" s="1"/>
  <c r="H189" i="4"/>
  <c r="G189" i="4"/>
  <c r="H188" i="4"/>
  <c r="G188" i="4"/>
  <c r="K187" i="4"/>
  <c r="I187" i="4"/>
  <c r="J187" i="4" s="1"/>
  <c r="H187" i="4"/>
  <c r="G187" i="4"/>
  <c r="H186" i="4"/>
  <c r="G186" i="4"/>
  <c r="I186" i="4" s="1"/>
  <c r="J186" i="4" s="1"/>
  <c r="K186" i="4" s="1"/>
  <c r="H185" i="4"/>
  <c r="G185" i="4"/>
  <c r="I185" i="4" s="1"/>
  <c r="J185" i="4" s="1"/>
  <c r="K185" i="4" s="1"/>
  <c r="H184" i="4"/>
  <c r="I184" i="4" s="1"/>
  <c r="J184" i="4" s="1"/>
  <c r="K184" i="4" s="1"/>
  <c r="G184" i="4"/>
  <c r="K183" i="4"/>
  <c r="H183" i="4"/>
  <c r="G183" i="4"/>
  <c r="I183" i="4" s="1"/>
  <c r="J183" i="4" s="1"/>
  <c r="H182" i="4"/>
  <c r="G182" i="4"/>
  <c r="H181" i="4"/>
  <c r="G181" i="4"/>
  <c r="I181" i="4" s="1"/>
  <c r="J181" i="4" s="1"/>
  <c r="K181" i="4" s="1"/>
  <c r="J180" i="4"/>
  <c r="K180" i="4" s="1"/>
  <c r="H180" i="4"/>
  <c r="G180" i="4"/>
  <c r="I180" i="4" s="1"/>
  <c r="H179" i="4"/>
  <c r="G179" i="4"/>
  <c r="I179" i="4" s="1"/>
  <c r="J179" i="4" s="1"/>
  <c r="K179" i="4" s="1"/>
  <c r="H178" i="4"/>
  <c r="G178" i="4"/>
  <c r="I177" i="4"/>
  <c r="J177" i="4" s="1"/>
  <c r="K177" i="4" s="1"/>
  <c r="H177" i="4"/>
  <c r="G177" i="4"/>
  <c r="J176" i="4"/>
  <c r="K176" i="4" s="1"/>
  <c r="H176" i="4"/>
  <c r="G176" i="4"/>
  <c r="I176" i="4" s="1"/>
  <c r="H175" i="4"/>
  <c r="G175" i="4"/>
  <c r="I175" i="4" s="1"/>
  <c r="J175" i="4" s="1"/>
  <c r="K175" i="4" s="1"/>
  <c r="H174" i="4"/>
  <c r="G174" i="4"/>
  <c r="I174" i="4" s="1"/>
  <c r="J174" i="4" s="1"/>
  <c r="K174" i="4" s="1"/>
  <c r="I173" i="4"/>
  <c r="J173" i="4" s="1"/>
  <c r="K173" i="4" s="1"/>
  <c r="H173" i="4"/>
  <c r="G173" i="4"/>
  <c r="H172" i="4"/>
  <c r="G172" i="4"/>
  <c r="I172" i="4" s="1"/>
  <c r="J172" i="4" s="1"/>
  <c r="K172" i="4" s="1"/>
  <c r="H171" i="4"/>
  <c r="G171" i="4"/>
  <c r="I171" i="4" s="1"/>
  <c r="J171" i="4" s="1"/>
  <c r="K171" i="4" s="1"/>
  <c r="H170" i="4"/>
  <c r="G170" i="4"/>
  <c r="I169" i="4"/>
  <c r="J169" i="4" s="1"/>
  <c r="K169" i="4" s="1"/>
  <c r="H169" i="4"/>
  <c r="G169" i="4"/>
  <c r="H168" i="4"/>
  <c r="G168" i="4"/>
  <c r="I168" i="4" s="1"/>
  <c r="J168" i="4" s="1"/>
  <c r="K168" i="4" s="1"/>
  <c r="K167" i="4"/>
  <c r="H167" i="4"/>
  <c r="G167" i="4"/>
  <c r="I167" i="4" s="1"/>
  <c r="J167" i="4" s="1"/>
  <c r="H166" i="4"/>
  <c r="G166" i="4"/>
  <c r="I166" i="4" s="1"/>
  <c r="J166" i="4" s="1"/>
  <c r="K166" i="4" s="1"/>
  <c r="I165" i="4"/>
  <c r="J165" i="4" s="1"/>
  <c r="K165" i="4" s="1"/>
  <c r="H165" i="4"/>
  <c r="G165" i="4"/>
  <c r="J164" i="4"/>
  <c r="K164" i="4" s="1"/>
  <c r="H164" i="4"/>
  <c r="G164" i="4"/>
  <c r="I164" i="4" s="1"/>
  <c r="K163" i="4"/>
  <c r="H163" i="4"/>
  <c r="G163" i="4"/>
  <c r="I163" i="4" s="1"/>
  <c r="J163" i="4" s="1"/>
  <c r="H162" i="4"/>
  <c r="G162" i="4"/>
  <c r="I161" i="4"/>
  <c r="J161" i="4" s="1"/>
  <c r="K161" i="4" s="1"/>
  <c r="H161" i="4"/>
  <c r="G161" i="4"/>
  <c r="J160" i="4"/>
  <c r="K160" i="4" s="1"/>
  <c r="H160" i="4"/>
  <c r="G160" i="4"/>
  <c r="I160" i="4" s="1"/>
  <c r="H159" i="4"/>
  <c r="G159" i="4"/>
  <c r="I159" i="4" s="1"/>
  <c r="J159" i="4" s="1"/>
  <c r="K159" i="4" s="1"/>
  <c r="H158" i="4"/>
  <c r="G158" i="4"/>
  <c r="I158" i="4" s="1"/>
  <c r="J158" i="4" s="1"/>
  <c r="K158" i="4" s="1"/>
  <c r="I157" i="4"/>
  <c r="J157" i="4" s="1"/>
  <c r="K157" i="4" s="1"/>
  <c r="H157" i="4"/>
  <c r="G157" i="4"/>
  <c r="H156" i="4"/>
  <c r="G156" i="4"/>
  <c r="I156" i="4" s="1"/>
  <c r="J156" i="4" s="1"/>
  <c r="K156" i="4" s="1"/>
  <c r="H155" i="4"/>
  <c r="G155" i="4"/>
  <c r="I155" i="4" s="1"/>
  <c r="J155" i="4" s="1"/>
  <c r="K155" i="4" s="1"/>
  <c r="H154" i="4"/>
  <c r="G154" i="4"/>
  <c r="I153" i="4"/>
  <c r="J153" i="4" s="1"/>
  <c r="K153" i="4" s="1"/>
  <c r="H153" i="4"/>
  <c r="G153" i="4"/>
  <c r="H152" i="4"/>
  <c r="G152" i="4"/>
  <c r="I152" i="4" s="1"/>
  <c r="J152" i="4" s="1"/>
  <c r="K152" i="4" s="1"/>
  <c r="K151" i="4"/>
  <c r="H151" i="4"/>
  <c r="G151" i="4"/>
  <c r="I151" i="4" s="1"/>
  <c r="J151" i="4" s="1"/>
  <c r="H150" i="4"/>
  <c r="G150" i="4"/>
  <c r="I150" i="4" s="1"/>
  <c r="J150" i="4" s="1"/>
  <c r="K150" i="4" s="1"/>
  <c r="I149" i="4"/>
  <c r="J149" i="4" s="1"/>
  <c r="K149" i="4" s="1"/>
  <c r="H149" i="4"/>
  <c r="G149" i="4"/>
  <c r="J148" i="4"/>
  <c r="K148" i="4" s="1"/>
  <c r="H148" i="4"/>
  <c r="G148" i="4"/>
  <c r="I148" i="4" s="1"/>
  <c r="K147" i="4"/>
  <c r="H147" i="4"/>
  <c r="G147" i="4"/>
  <c r="I147" i="4" s="1"/>
  <c r="J147" i="4" s="1"/>
  <c r="H146" i="4"/>
  <c r="G146" i="4"/>
  <c r="I145" i="4"/>
  <c r="J145" i="4" s="1"/>
  <c r="K145" i="4" s="1"/>
  <c r="H145" i="4"/>
  <c r="G145" i="4"/>
  <c r="J144" i="4"/>
  <c r="K144" i="4" s="1"/>
  <c r="H144" i="4"/>
  <c r="G144" i="4"/>
  <c r="I144" i="4" s="1"/>
  <c r="H143" i="4"/>
  <c r="G143" i="4"/>
  <c r="I143" i="4" s="1"/>
  <c r="J143" i="4" s="1"/>
  <c r="K143" i="4" s="1"/>
  <c r="H142" i="4"/>
  <c r="G142" i="4"/>
  <c r="I142" i="4" s="1"/>
  <c r="J142" i="4" s="1"/>
  <c r="K142" i="4" s="1"/>
  <c r="I141" i="4"/>
  <c r="J141" i="4" s="1"/>
  <c r="K141" i="4" s="1"/>
  <c r="H141" i="4"/>
  <c r="G141" i="4"/>
  <c r="H140" i="4"/>
  <c r="G140" i="4"/>
  <c r="I140" i="4" s="1"/>
  <c r="J140" i="4" s="1"/>
  <c r="K140" i="4" s="1"/>
  <c r="H139" i="4"/>
  <c r="G139" i="4"/>
  <c r="I139" i="4" s="1"/>
  <c r="J139" i="4" s="1"/>
  <c r="K139" i="4" s="1"/>
  <c r="H138" i="4"/>
  <c r="G138" i="4"/>
  <c r="I137" i="4"/>
  <c r="J137" i="4" s="1"/>
  <c r="K137" i="4" s="1"/>
  <c r="H137" i="4"/>
  <c r="G137" i="4"/>
  <c r="H136" i="4"/>
  <c r="G136" i="4"/>
  <c r="I136" i="4" s="1"/>
  <c r="J136" i="4" s="1"/>
  <c r="K136" i="4" s="1"/>
  <c r="K135" i="4"/>
  <c r="H135" i="4"/>
  <c r="G135" i="4"/>
  <c r="I135" i="4" s="1"/>
  <c r="J135" i="4" s="1"/>
  <c r="H134" i="4"/>
  <c r="I134" i="4" s="1"/>
  <c r="J134" i="4" s="1"/>
  <c r="K134" i="4" s="1"/>
  <c r="G134" i="4"/>
  <c r="I133" i="4"/>
  <c r="J133" i="4" s="1"/>
  <c r="K133" i="4" s="1"/>
  <c r="H133" i="4"/>
  <c r="G133" i="4"/>
  <c r="J132" i="4"/>
  <c r="K132" i="4" s="1"/>
  <c r="H132" i="4"/>
  <c r="G132" i="4"/>
  <c r="I132" i="4" s="1"/>
  <c r="K131" i="4"/>
  <c r="H131" i="4"/>
  <c r="G131" i="4"/>
  <c r="I131" i="4" s="1"/>
  <c r="J131" i="4" s="1"/>
  <c r="H130" i="4"/>
  <c r="I130" i="4" s="1"/>
  <c r="J130" i="4" s="1"/>
  <c r="K130" i="4" s="1"/>
  <c r="G130" i="4"/>
  <c r="I129" i="4"/>
  <c r="J129" i="4" s="1"/>
  <c r="K129" i="4" s="1"/>
  <c r="H129" i="4"/>
  <c r="G129" i="4"/>
  <c r="J128" i="4"/>
  <c r="K128" i="4" s="1"/>
  <c r="H128" i="4"/>
  <c r="G128" i="4"/>
  <c r="I128" i="4" s="1"/>
  <c r="H127" i="4"/>
  <c r="G127" i="4"/>
  <c r="I127" i="4" s="1"/>
  <c r="J127" i="4" s="1"/>
  <c r="K127" i="4" s="1"/>
  <c r="H126" i="4"/>
  <c r="G126" i="4"/>
  <c r="I126" i="4" s="1"/>
  <c r="J126" i="4" s="1"/>
  <c r="K126" i="4" s="1"/>
  <c r="I125" i="4"/>
  <c r="J125" i="4" s="1"/>
  <c r="K125" i="4" s="1"/>
  <c r="H125" i="4"/>
  <c r="G125" i="4"/>
  <c r="H124" i="4"/>
  <c r="G124" i="4"/>
  <c r="I124" i="4" s="1"/>
  <c r="J124" i="4" s="1"/>
  <c r="K124" i="4" s="1"/>
  <c r="H123" i="4"/>
  <c r="G123" i="4"/>
  <c r="I123" i="4" s="1"/>
  <c r="J123" i="4" s="1"/>
  <c r="K123" i="4" s="1"/>
  <c r="H122" i="4"/>
  <c r="G122" i="4"/>
  <c r="I121" i="4"/>
  <c r="J121" i="4" s="1"/>
  <c r="K121" i="4" s="1"/>
  <c r="H121" i="4"/>
  <c r="G121" i="4"/>
  <c r="H120" i="4"/>
  <c r="G120" i="4"/>
  <c r="I120" i="4" s="1"/>
  <c r="J120" i="4" s="1"/>
  <c r="K120" i="4" s="1"/>
  <c r="K119" i="4"/>
  <c r="H119" i="4"/>
  <c r="G119" i="4"/>
  <c r="I119" i="4" s="1"/>
  <c r="J119" i="4" s="1"/>
  <c r="H118" i="4"/>
  <c r="G118" i="4"/>
  <c r="I118" i="4" s="1"/>
  <c r="J118" i="4" s="1"/>
  <c r="K118" i="4" s="1"/>
  <c r="I117" i="4"/>
  <c r="J117" i="4" s="1"/>
  <c r="K117" i="4" s="1"/>
  <c r="H117" i="4"/>
  <c r="G117" i="4"/>
  <c r="J116" i="4"/>
  <c r="K116" i="4" s="1"/>
  <c r="H116" i="4"/>
  <c r="G116" i="4"/>
  <c r="I116" i="4" s="1"/>
  <c r="K115" i="4"/>
  <c r="H115" i="4"/>
  <c r="G115" i="4"/>
  <c r="I115" i="4" s="1"/>
  <c r="J115" i="4" s="1"/>
  <c r="H114" i="4"/>
  <c r="G114" i="4"/>
  <c r="I113" i="4"/>
  <c r="J113" i="4" s="1"/>
  <c r="K113" i="4" s="1"/>
  <c r="H113" i="4"/>
  <c r="G113" i="4"/>
  <c r="J112" i="4"/>
  <c r="K112" i="4" s="1"/>
  <c r="H112" i="4"/>
  <c r="G112" i="4"/>
  <c r="I112" i="4" s="1"/>
  <c r="H111" i="4"/>
  <c r="G111" i="4"/>
  <c r="I111" i="4" s="1"/>
  <c r="J111" i="4" s="1"/>
  <c r="K111" i="4" s="1"/>
  <c r="H110" i="4"/>
  <c r="G110" i="4"/>
  <c r="I110" i="4" s="1"/>
  <c r="J110" i="4" s="1"/>
  <c r="K110" i="4" s="1"/>
  <c r="I109" i="4"/>
  <c r="J109" i="4" s="1"/>
  <c r="K109" i="4" s="1"/>
  <c r="H109" i="4"/>
  <c r="G109" i="4"/>
  <c r="H108" i="4"/>
  <c r="G108" i="4"/>
  <c r="I108" i="4" s="1"/>
  <c r="J108" i="4" s="1"/>
  <c r="K108" i="4" s="1"/>
  <c r="H107" i="4"/>
  <c r="G107" i="4"/>
  <c r="I107" i="4" s="1"/>
  <c r="J107" i="4" s="1"/>
  <c r="K107" i="4" s="1"/>
  <c r="H106" i="4"/>
  <c r="G106" i="4"/>
  <c r="I105" i="4"/>
  <c r="J105" i="4" s="1"/>
  <c r="K105" i="4" s="1"/>
  <c r="H105" i="4"/>
  <c r="G105" i="4"/>
  <c r="H104" i="4"/>
  <c r="G104" i="4"/>
  <c r="I104" i="4" s="1"/>
  <c r="J104" i="4" s="1"/>
  <c r="K104" i="4" s="1"/>
  <c r="K103" i="4"/>
  <c r="H103" i="4"/>
  <c r="G103" i="4"/>
  <c r="I103" i="4" s="1"/>
  <c r="J103" i="4" s="1"/>
  <c r="H102" i="4"/>
  <c r="G102" i="4"/>
  <c r="I102" i="4" s="1"/>
  <c r="J102" i="4" s="1"/>
  <c r="K102" i="4" s="1"/>
  <c r="I101" i="4"/>
  <c r="J101" i="4" s="1"/>
  <c r="K101" i="4" s="1"/>
  <c r="H101" i="4"/>
  <c r="G101" i="4"/>
  <c r="J100" i="4"/>
  <c r="K100" i="4" s="1"/>
  <c r="H100" i="4"/>
  <c r="G100" i="4"/>
  <c r="I100" i="4" s="1"/>
  <c r="K99" i="4"/>
  <c r="H99" i="4"/>
  <c r="G99" i="4"/>
  <c r="I99" i="4" s="1"/>
  <c r="J99" i="4" s="1"/>
  <c r="H98" i="4"/>
  <c r="G98" i="4"/>
  <c r="I97" i="4"/>
  <c r="J97" i="4" s="1"/>
  <c r="K97" i="4" s="1"/>
  <c r="H97" i="4"/>
  <c r="G97" i="4"/>
  <c r="J96" i="4"/>
  <c r="K96" i="4" s="1"/>
  <c r="H96" i="4"/>
  <c r="G96" i="4"/>
  <c r="I96" i="4" s="1"/>
  <c r="H95" i="4"/>
  <c r="G95" i="4"/>
  <c r="I95" i="4" s="1"/>
  <c r="J95" i="4" s="1"/>
  <c r="K95" i="4" s="1"/>
  <c r="H94" i="4"/>
  <c r="G94" i="4"/>
  <c r="I94" i="4" s="1"/>
  <c r="J94" i="4" s="1"/>
  <c r="K94" i="4" s="1"/>
  <c r="I93" i="4"/>
  <c r="J93" i="4" s="1"/>
  <c r="K93" i="4" s="1"/>
  <c r="H93" i="4"/>
  <c r="G93" i="4"/>
  <c r="H92" i="4"/>
  <c r="G92" i="4"/>
  <c r="I92" i="4" s="1"/>
  <c r="J92" i="4" s="1"/>
  <c r="K92" i="4" s="1"/>
  <c r="H91" i="4"/>
  <c r="G91" i="4"/>
  <c r="I91" i="4" s="1"/>
  <c r="J91" i="4" s="1"/>
  <c r="K91" i="4" s="1"/>
  <c r="H90" i="4"/>
  <c r="G90" i="4"/>
  <c r="K89" i="4"/>
  <c r="I89" i="4"/>
  <c r="J89" i="4" s="1"/>
  <c r="H89" i="4"/>
  <c r="G89" i="4"/>
  <c r="H88" i="4"/>
  <c r="G88" i="4"/>
  <c r="I88" i="4" s="1"/>
  <c r="J88" i="4" s="1"/>
  <c r="K88" i="4" s="1"/>
  <c r="H87" i="4"/>
  <c r="G87" i="4"/>
  <c r="I87" i="4" s="1"/>
  <c r="J87" i="4" s="1"/>
  <c r="K87" i="4" s="1"/>
  <c r="H86" i="4"/>
  <c r="G86" i="4"/>
  <c r="H85" i="4"/>
  <c r="G85" i="4"/>
  <c r="I85" i="4" s="1"/>
  <c r="J85" i="4" s="1"/>
  <c r="K85" i="4" s="1"/>
  <c r="J84" i="4"/>
  <c r="K84" i="4" s="1"/>
  <c r="H84" i="4"/>
  <c r="G84" i="4"/>
  <c r="I84" i="4" s="1"/>
  <c r="I83" i="4"/>
  <c r="J83" i="4" s="1"/>
  <c r="K83" i="4" s="1"/>
  <c r="H83" i="4"/>
  <c r="G83" i="4"/>
  <c r="H82" i="4"/>
  <c r="G82" i="4"/>
  <c r="K81" i="4"/>
  <c r="I81" i="4"/>
  <c r="J81" i="4" s="1"/>
  <c r="H81" i="4"/>
  <c r="G81" i="4"/>
  <c r="H80" i="4"/>
  <c r="G80" i="4"/>
  <c r="I80" i="4" s="1"/>
  <c r="J80" i="4" s="1"/>
  <c r="K80" i="4" s="1"/>
  <c r="H79" i="4"/>
  <c r="G79" i="4"/>
  <c r="I79" i="4" s="1"/>
  <c r="J79" i="4" s="1"/>
  <c r="K79" i="4" s="1"/>
  <c r="H78" i="4"/>
  <c r="G78" i="4"/>
  <c r="H77" i="4"/>
  <c r="G77" i="4"/>
  <c r="I77" i="4" s="1"/>
  <c r="J77" i="4" s="1"/>
  <c r="K77" i="4" s="1"/>
  <c r="J76" i="4"/>
  <c r="K76" i="4" s="1"/>
  <c r="H76" i="4"/>
  <c r="G76" i="4"/>
  <c r="I76" i="4" s="1"/>
  <c r="I75" i="4"/>
  <c r="J75" i="4" s="1"/>
  <c r="K75" i="4" s="1"/>
  <c r="H75" i="4"/>
  <c r="G75" i="4"/>
  <c r="H74" i="4"/>
  <c r="G74" i="4"/>
  <c r="K73" i="4"/>
  <c r="I73" i="4"/>
  <c r="J73" i="4" s="1"/>
  <c r="H73" i="4"/>
  <c r="G73" i="4"/>
  <c r="H72" i="4"/>
  <c r="G72" i="4"/>
  <c r="I72" i="4" s="1"/>
  <c r="J72" i="4" s="1"/>
  <c r="K72" i="4" s="1"/>
  <c r="H71" i="4"/>
  <c r="G71" i="4"/>
  <c r="I71" i="4" s="1"/>
  <c r="J71" i="4" s="1"/>
  <c r="K71" i="4" s="1"/>
  <c r="H70" i="4"/>
  <c r="G70" i="4"/>
  <c r="H69" i="4"/>
  <c r="G69" i="4"/>
  <c r="I69" i="4" s="1"/>
  <c r="J69" i="4" s="1"/>
  <c r="K69" i="4" s="1"/>
  <c r="J68" i="4"/>
  <c r="K68" i="4" s="1"/>
  <c r="H68" i="4"/>
  <c r="G68" i="4"/>
  <c r="I68" i="4" s="1"/>
  <c r="I67" i="4"/>
  <c r="J67" i="4" s="1"/>
  <c r="K67" i="4" s="1"/>
  <c r="H67" i="4"/>
  <c r="G67" i="4"/>
  <c r="H66" i="4"/>
  <c r="G66" i="4"/>
  <c r="K65" i="4"/>
  <c r="I65" i="4"/>
  <c r="J65" i="4" s="1"/>
  <c r="H65" i="4"/>
  <c r="G65" i="4"/>
  <c r="H64" i="4"/>
  <c r="G64" i="4"/>
  <c r="I64" i="4" s="1"/>
  <c r="J64" i="4" s="1"/>
  <c r="K64" i="4" s="1"/>
  <c r="H63" i="4"/>
  <c r="G63" i="4"/>
  <c r="I63" i="4" s="1"/>
  <c r="J63" i="4" s="1"/>
  <c r="K63" i="4" s="1"/>
  <c r="H62" i="4"/>
  <c r="G62" i="4"/>
  <c r="H61" i="4"/>
  <c r="G61" i="4"/>
  <c r="I61" i="4" s="1"/>
  <c r="J61" i="4" s="1"/>
  <c r="K61" i="4" s="1"/>
  <c r="J60" i="4"/>
  <c r="K60" i="4" s="1"/>
  <c r="H60" i="4"/>
  <c r="G60" i="4"/>
  <c r="I60" i="4" s="1"/>
  <c r="I59" i="4"/>
  <c r="J59" i="4" s="1"/>
  <c r="K59" i="4" s="1"/>
  <c r="H59" i="4"/>
  <c r="G59" i="4"/>
  <c r="H58" i="4"/>
  <c r="G58" i="4"/>
  <c r="K57" i="4"/>
  <c r="I57" i="4"/>
  <c r="J57" i="4" s="1"/>
  <c r="H57" i="4"/>
  <c r="G57" i="4"/>
  <c r="H56" i="4"/>
  <c r="G56" i="4"/>
  <c r="I56" i="4" s="1"/>
  <c r="J56" i="4" s="1"/>
  <c r="K56" i="4" s="1"/>
  <c r="H55" i="4"/>
  <c r="G55" i="4"/>
  <c r="I55" i="4" s="1"/>
  <c r="J55" i="4" s="1"/>
  <c r="K55" i="4" s="1"/>
  <c r="H54" i="4"/>
  <c r="G54" i="4"/>
  <c r="H53" i="4"/>
  <c r="G53" i="4"/>
  <c r="I53" i="4" s="1"/>
  <c r="J53" i="4" s="1"/>
  <c r="K53" i="4" s="1"/>
  <c r="H52" i="4"/>
  <c r="G52" i="4"/>
  <c r="H51" i="4"/>
  <c r="G51" i="4"/>
  <c r="I51" i="4" s="1"/>
  <c r="J51" i="4" s="1"/>
  <c r="K51" i="4" s="1"/>
  <c r="H50" i="4"/>
  <c r="I50" i="4" s="1"/>
  <c r="J50" i="4" s="1"/>
  <c r="K50" i="4" s="1"/>
  <c r="G50" i="4"/>
  <c r="I49" i="4"/>
  <c r="J49" i="4" s="1"/>
  <c r="K49" i="4" s="1"/>
  <c r="H49" i="4"/>
  <c r="G49" i="4"/>
  <c r="H48" i="4"/>
  <c r="G48" i="4"/>
  <c r="I48" i="4" s="1"/>
  <c r="J48" i="4" s="1"/>
  <c r="K48" i="4" s="1"/>
  <c r="H47" i="4"/>
  <c r="G47" i="4"/>
  <c r="I47" i="4" s="1"/>
  <c r="J47" i="4" s="1"/>
  <c r="K47" i="4" s="1"/>
  <c r="H46" i="4"/>
  <c r="I46" i="4" s="1"/>
  <c r="J46" i="4" s="1"/>
  <c r="K46" i="4" s="1"/>
  <c r="G46" i="4"/>
  <c r="I45" i="4"/>
  <c r="J45" i="4" s="1"/>
  <c r="K45" i="4" s="1"/>
  <c r="H45" i="4"/>
  <c r="G45" i="4"/>
  <c r="H44" i="4"/>
  <c r="G44" i="4"/>
  <c r="I44" i="4" s="1"/>
  <c r="J44" i="4" s="1"/>
  <c r="K44" i="4" s="1"/>
  <c r="H43" i="4"/>
  <c r="G43" i="4"/>
  <c r="I43" i="4" s="1"/>
  <c r="J43" i="4" s="1"/>
  <c r="K43" i="4" s="1"/>
  <c r="H42" i="4"/>
  <c r="I42" i="4" s="1"/>
  <c r="J42" i="4" s="1"/>
  <c r="K42" i="4" s="1"/>
  <c r="G42" i="4"/>
  <c r="I41" i="4"/>
  <c r="J41" i="4" s="1"/>
  <c r="K41" i="4" s="1"/>
  <c r="H41" i="4"/>
  <c r="G41" i="4"/>
  <c r="H40" i="4"/>
  <c r="G40" i="4"/>
  <c r="I40" i="4" s="1"/>
  <c r="J40" i="4" s="1"/>
  <c r="K40" i="4" s="1"/>
  <c r="H39" i="4"/>
  <c r="G39" i="4"/>
  <c r="I39" i="4" s="1"/>
  <c r="J39" i="4" s="1"/>
  <c r="K39" i="4" s="1"/>
  <c r="H38" i="4"/>
  <c r="I38" i="4" s="1"/>
  <c r="J38" i="4" s="1"/>
  <c r="K38" i="4" s="1"/>
  <c r="G38" i="4"/>
  <c r="I37" i="4"/>
  <c r="J37" i="4" s="1"/>
  <c r="K37" i="4" s="1"/>
  <c r="H37" i="4"/>
  <c r="G37" i="4"/>
  <c r="H36" i="4"/>
  <c r="G36" i="4"/>
  <c r="I36" i="4" s="1"/>
  <c r="J36" i="4" s="1"/>
  <c r="K36" i="4" s="1"/>
  <c r="H35" i="4"/>
  <c r="G35" i="4"/>
  <c r="I35" i="4" s="1"/>
  <c r="J35" i="4" s="1"/>
  <c r="K35" i="4" s="1"/>
  <c r="H34" i="4"/>
  <c r="I34" i="4" s="1"/>
  <c r="J34" i="4" s="1"/>
  <c r="K34" i="4" s="1"/>
  <c r="G34" i="4"/>
  <c r="I33" i="4"/>
  <c r="J33" i="4" s="1"/>
  <c r="K33" i="4" s="1"/>
  <c r="H33" i="4"/>
  <c r="G33" i="4"/>
  <c r="H32" i="4"/>
  <c r="G32" i="4"/>
  <c r="I32" i="4" s="1"/>
  <c r="J32" i="4" s="1"/>
  <c r="K32" i="4" s="1"/>
  <c r="H31" i="4"/>
  <c r="G31" i="4"/>
  <c r="I31" i="4" s="1"/>
  <c r="J31" i="4" s="1"/>
  <c r="K31" i="4" s="1"/>
  <c r="H30" i="4"/>
  <c r="I30" i="4" s="1"/>
  <c r="J30" i="4" s="1"/>
  <c r="K30" i="4" s="1"/>
  <c r="G30" i="4"/>
  <c r="I29" i="4"/>
  <c r="J29" i="4" s="1"/>
  <c r="K29" i="4" s="1"/>
  <c r="H29" i="4"/>
  <c r="G29" i="4"/>
  <c r="H28" i="4"/>
  <c r="G28" i="4"/>
  <c r="I28" i="4" s="1"/>
  <c r="J28" i="4" s="1"/>
  <c r="K28" i="4" s="1"/>
  <c r="H27" i="4"/>
  <c r="G27" i="4"/>
  <c r="I27" i="4" s="1"/>
  <c r="J27" i="4" s="1"/>
  <c r="K27" i="4" s="1"/>
  <c r="H26" i="4"/>
  <c r="I26" i="4" s="1"/>
  <c r="J26" i="4" s="1"/>
  <c r="K26" i="4" s="1"/>
  <c r="G26" i="4"/>
  <c r="I25" i="4"/>
  <c r="J25" i="4" s="1"/>
  <c r="K25" i="4" s="1"/>
  <c r="H25" i="4"/>
  <c r="G25" i="4"/>
  <c r="H24" i="4"/>
  <c r="G24" i="4"/>
  <c r="I24" i="4" s="1"/>
  <c r="J24" i="4" s="1"/>
  <c r="K24" i="4" s="1"/>
  <c r="H23" i="4"/>
  <c r="G23" i="4"/>
  <c r="I23" i="4" s="1"/>
  <c r="J23" i="4" s="1"/>
  <c r="K23" i="4" s="1"/>
  <c r="H22" i="4"/>
  <c r="I22" i="4" s="1"/>
  <c r="J22" i="4" s="1"/>
  <c r="K22" i="4" s="1"/>
  <c r="G22" i="4"/>
  <c r="I21" i="4"/>
  <c r="J21" i="4" s="1"/>
  <c r="K21" i="4" s="1"/>
  <c r="H21" i="4"/>
  <c r="G21" i="4"/>
  <c r="H20" i="4"/>
  <c r="G20" i="4"/>
  <c r="I20" i="4" s="1"/>
  <c r="J20" i="4" s="1"/>
  <c r="K20" i="4" s="1"/>
  <c r="H19" i="4"/>
  <c r="G19" i="4"/>
  <c r="I19" i="4" s="1"/>
  <c r="J19" i="4" s="1"/>
  <c r="K19" i="4" s="1"/>
  <c r="H18" i="4"/>
  <c r="I18" i="4" s="1"/>
  <c r="J18" i="4" s="1"/>
  <c r="K18" i="4" s="1"/>
  <c r="G18" i="4"/>
  <c r="I17" i="4"/>
  <c r="J17" i="4" s="1"/>
  <c r="K17" i="4" s="1"/>
  <c r="H17" i="4"/>
  <c r="G17" i="4"/>
  <c r="H16" i="4"/>
  <c r="G16" i="4"/>
  <c r="I16" i="4" s="1"/>
  <c r="J16" i="4" s="1"/>
  <c r="K16" i="4" s="1"/>
  <c r="H15" i="4"/>
  <c r="G15" i="4"/>
  <c r="I15" i="4" s="1"/>
  <c r="J15" i="4" s="1"/>
  <c r="K15" i="4" s="1"/>
  <c r="H14" i="4"/>
  <c r="I14" i="4" s="1"/>
  <c r="J14" i="4" s="1"/>
  <c r="K14" i="4" s="1"/>
  <c r="G14" i="4"/>
  <c r="I13" i="4"/>
  <c r="J13" i="4" s="1"/>
  <c r="K13" i="4" s="1"/>
  <c r="H13" i="4"/>
  <c r="G13" i="4"/>
  <c r="H12" i="4"/>
  <c r="G12" i="4"/>
  <c r="I12" i="4" s="1"/>
  <c r="J12" i="4" s="1"/>
  <c r="K12" i="4" s="1"/>
  <c r="H11" i="4"/>
  <c r="G11" i="4"/>
  <c r="I11" i="4" s="1"/>
  <c r="J11" i="4" s="1"/>
  <c r="K11" i="4" s="1"/>
  <c r="H10" i="4"/>
  <c r="I10" i="4" s="1"/>
  <c r="J10" i="4" s="1"/>
  <c r="K10" i="4" s="1"/>
  <c r="G10" i="4"/>
  <c r="I9" i="4"/>
  <c r="J9" i="4" s="1"/>
  <c r="K9" i="4" s="1"/>
  <c r="H9" i="4"/>
  <c r="G9" i="4"/>
  <c r="H8" i="4"/>
  <c r="G8" i="4"/>
  <c r="I8" i="4" s="1"/>
  <c r="J8" i="4" s="1"/>
  <c r="K8" i="4" s="1"/>
  <c r="H7" i="4"/>
  <c r="G7" i="4"/>
  <c r="I7" i="4" s="1"/>
  <c r="J7" i="4" s="1"/>
  <c r="K7" i="4" s="1"/>
  <c r="I6" i="4"/>
  <c r="J6" i="4" s="1"/>
  <c r="K6" i="4" s="1"/>
  <c r="H6" i="4"/>
  <c r="G6" i="4"/>
  <c r="H5" i="4"/>
  <c r="G5" i="4"/>
  <c r="H4" i="4"/>
  <c r="G4" i="4"/>
  <c r="H3" i="4"/>
  <c r="G3" i="4"/>
  <c r="I52" i="4" l="1"/>
  <c r="J52" i="4" s="1"/>
  <c r="K52" i="4" s="1"/>
  <c r="M5" i="4" s="1"/>
  <c r="N5" i="4" s="1"/>
  <c r="I54" i="4"/>
  <c r="J54" i="4" s="1"/>
  <c r="K54" i="4" s="1"/>
  <c r="M4" i="4" s="1"/>
  <c r="M6" i="4" s="1"/>
  <c r="I62" i="4"/>
  <c r="J62" i="4" s="1"/>
  <c r="K62" i="4" s="1"/>
  <c r="I70" i="4"/>
  <c r="J70" i="4" s="1"/>
  <c r="K70" i="4" s="1"/>
  <c r="I78" i="4"/>
  <c r="J78" i="4" s="1"/>
  <c r="K78" i="4" s="1"/>
  <c r="I86" i="4"/>
  <c r="J86" i="4" s="1"/>
  <c r="K86" i="4" s="1"/>
  <c r="I98" i="4"/>
  <c r="J98" i="4" s="1"/>
  <c r="K98" i="4" s="1"/>
  <c r="I114" i="4"/>
  <c r="J114" i="4" s="1"/>
  <c r="K114" i="4" s="1"/>
  <c r="I146" i="4"/>
  <c r="J146" i="4" s="1"/>
  <c r="K146" i="4" s="1"/>
  <c r="I162" i="4"/>
  <c r="J162" i="4" s="1"/>
  <c r="K162" i="4" s="1"/>
  <c r="I178" i="4"/>
  <c r="J178" i="4" s="1"/>
  <c r="K178" i="4" s="1"/>
  <c r="I58" i="4"/>
  <c r="J58" i="4" s="1"/>
  <c r="K58" i="4" s="1"/>
  <c r="I66" i="4"/>
  <c r="J66" i="4" s="1"/>
  <c r="K66" i="4" s="1"/>
  <c r="I74" i="4"/>
  <c r="J74" i="4" s="1"/>
  <c r="K74" i="4" s="1"/>
  <c r="I82" i="4"/>
  <c r="J82" i="4" s="1"/>
  <c r="K82" i="4" s="1"/>
  <c r="I90" i="4"/>
  <c r="J90" i="4" s="1"/>
  <c r="K90" i="4" s="1"/>
  <c r="I106" i="4"/>
  <c r="J106" i="4" s="1"/>
  <c r="K106" i="4" s="1"/>
  <c r="I122" i="4"/>
  <c r="J122" i="4" s="1"/>
  <c r="K122" i="4" s="1"/>
  <c r="I138" i="4"/>
  <c r="J138" i="4" s="1"/>
  <c r="K138" i="4" s="1"/>
  <c r="I154" i="4"/>
  <c r="J154" i="4" s="1"/>
  <c r="K154" i="4" s="1"/>
  <c r="I170" i="4"/>
  <c r="J170" i="4" s="1"/>
  <c r="K170" i="4" s="1"/>
  <c r="I182" i="4"/>
  <c r="J182" i="4" s="1"/>
  <c r="K182" i="4" s="1"/>
  <c r="I192" i="4"/>
  <c r="J192" i="4" s="1"/>
  <c r="K192" i="4" s="1"/>
  <c r="I200" i="4"/>
  <c r="J200" i="4" s="1"/>
  <c r="K200" i="4" s="1"/>
  <c r="I208" i="4"/>
  <c r="J208" i="4" s="1"/>
  <c r="K208" i="4" s="1"/>
  <c r="I216" i="4"/>
  <c r="J216" i="4" s="1"/>
  <c r="K216" i="4" s="1"/>
  <c r="I224" i="4"/>
  <c r="J224" i="4" s="1"/>
  <c r="K224" i="4" s="1"/>
  <c r="I232" i="4"/>
  <c r="J232" i="4" s="1"/>
  <c r="K232" i="4" s="1"/>
  <c r="I240" i="4"/>
  <c r="J240" i="4" s="1"/>
  <c r="K240" i="4" s="1"/>
  <c r="I248" i="4"/>
  <c r="J248" i="4" s="1"/>
  <c r="K248" i="4" s="1"/>
  <c r="I256" i="4"/>
  <c r="J256" i="4" s="1"/>
  <c r="K256" i="4" s="1"/>
  <c r="I264" i="4"/>
  <c r="J264" i="4" s="1"/>
  <c r="K264" i="4" s="1"/>
  <c r="I188" i="4"/>
  <c r="J188" i="4" s="1"/>
  <c r="K188" i="4" s="1"/>
  <c r="I196" i="4"/>
  <c r="J196" i="4" s="1"/>
  <c r="K196" i="4" s="1"/>
  <c r="I204" i="4"/>
  <c r="J204" i="4" s="1"/>
  <c r="K204" i="4" s="1"/>
  <c r="I212" i="4"/>
  <c r="J212" i="4" s="1"/>
  <c r="K212" i="4" s="1"/>
  <c r="I220" i="4"/>
  <c r="J220" i="4" s="1"/>
  <c r="K220" i="4" s="1"/>
  <c r="I228" i="4"/>
  <c r="J228" i="4" s="1"/>
  <c r="K228" i="4" s="1"/>
  <c r="I236" i="4"/>
  <c r="J236" i="4" s="1"/>
  <c r="K236" i="4" s="1"/>
  <c r="I244" i="4"/>
  <c r="J244" i="4" s="1"/>
  <c r="K244" i="4" s="1"/>
  <c r="I252" i="4"/>
  <c r="J252" i="4" s="1"/>
  <c r="K252" i="4" s="1"/>
  <c r="I260" i="4"/>
  <c r="J260" i="4" s="1"/>
  <c r="K260" i="4" s="1"/>
  <c r="I289" i="4"/>
  <c r="J289" i="4" s="1"/>
  <c r="K289" i="4" s="1"/>
  <c r="I305" i="4"/>
  <c r="J305" i="4" s="1"/>
  <c r="K305" i="4" s="1"/>
  <c r="I337" i="4"/>
  <c r="J337" i="4" s="1"/>
  <c r="K337" i="4" s="1"/>
  <c r="I281" i="4"/>
  <c r="J281" i="4" s="1"/>
  <c r="K281" i="4" s="1"/>
  <c r="I297" i="4"/>
  <c r="J297" i="4" s="1"/>
  <c r="K297" i="4" s="1"/>
  <c r="I313" i="4"/>
  <c r="J313" i="4" s="1"/>
  <c r="K313" i="4" s="1"/>
  <c r="I329" i="4"/>
  <c r="J329" i="4" s="1"/>
  <c r="K329" i="4" s="1"/>
  <c r="I345" i="4"/>
  <c r="J345" i="4" s="1"/>
  <c r="K345" i="4" s="1"/>
  <c r="S386" i="3" l="1"/>
  <c r="X386" i="3" s="1"/>
  <c r="AH386" i="3" s="1"/>
  <c r="R386" i="3"/>
  <c r="W386" i="3" s="1"/>
  <c r="AG386" i="3" s="1"/>
  <c r="X385" i="3"/>
  <c r="AH385" i="3" s="1"/>
  <c r="S385" i="3"/>
  <c r="R385" i="3"/>
  <c r="W385" i="3" s="1"/>
  <c r="AG385" i="3" s="1"/>
  <c r="X384" i="3"/>
  <c r="AH384" i="3" s="1"/>
  <c r="S384" i="3"/>
  <c r="R384" i="3"/>
  <c r="W384" i="3" s="1"/>
  <c r="AG384" i="3" s="1"/>
  <c r="X383" i="3"/>
  <c r="AH383" i="3" s="1"/>
  <c r="S383" i="3"/>
  <c r="R383" i="3"/>
  <c r="W383" i="3" s="1"/>
  <c r="AG383" i="3" s="1"/>
  <c r="X382" i="3"/>
  <c r="AH382" i="3" s="1"/>
  <c r="S382" i="3"/>
  <c r="R382" i="3"/>
  <c r="W382" i="3" s="1"/>
  <c r="AG382" i="3" s="1"/>
  <c r="X381" i="3"/>
  <c r="AH381" i="3" s="1"/>
  <c r="S381" i="3"/>
  <c r="R381" i="3"/>
  <c r="W381" i="3" s="1"/>
  <c r="AG381" i="3" s="1"/>
  <c r="X380" i="3"/>
  <c r="AH380" i="3" s="1"/>
  <c r="S380" i="3"/>
  <c r="R380" i="3"/>
  <c r="W380" i="3" s="1"/>
  <c r="AG380" i="3" s="1"/>
  <c r="X379" i="3"/>
  <c r="AH379" i="3" s="1"/>
  <c r="S379" i="3"/>
  <c r="R379" i="3"/>
  <c r="W379" i="3" s="1"/>
  <c r="AG379" i="3" s="1"/>
  <c r="X378" i="3"/>
  <c r="AH378" i="3" s="1"/>
  <c r="S378" i="3"/>
  <c r="R378" i="3"/>
  <c r="W378" i="3" s="1"/>
  <c r="AG378" i="3" s="1"/>
  <c r="X377" i="3"/>
  <c r="AH377" i="3" s="1"/>
  <c r="S377" i="3"/>
  <c r="R377" i="3"/>
  <c r="W377" i="3" s="1"/>
  <c r="AG377" i="3" s="1"/>
  <c r="AG376" i="3"/>
  <c r="X376" i="3"/>
  <c r="AH376" i="3" s="1"/>
  <c r="S376" i="3"/>
  <c r="R376" i="3"/>
  <c r="W376" i="3" s="1"/>
  <c r="X375" i="3"/>
  <c r="AH375" i="3" s="1"/>
  <c r="S375" i="3"/>
  <c r="R375" i="3"/>
  <c r="W375" i="3" s="1"/>
  <c r="AG375" i="3" s="1"/>
  <c r="X374" i="3"/>
  <c r="AH374" i="3" s="1"/>
  <c r="S374" i="3"/>
  <c r="R374" i="3"/>
  <c r="W374" i="3" s="1"/>
  <c r="AG374" i="3" s="1"/>
  <c r="X373" i="3"/>
  <c r="AH373" i="3" s="1"/>
  <c r="S373" i="3"/>
  <c r="R373" i="3"/>
  <c r="W373" i="3" s="1"/>
  <c r="AG373" i="3" s="1"/>
  <c r="X372" i="3"/>
  <c r="AH372" i="3" s="1"/>
  <c r="S372" i="3"/>
  <c r="R372" i="3"/>
  <c r="W372" i="3" s="1"/>
  <c r="AG372" i="3" s="1"/>
  <c r="X371" i="3"/>
  <c r="AH371" i="3" s="1"/>
  <c r="S371" i="3"/>
  <c r="R371" i="3"/>
  <c r="W371" i="3" s="1"/>
  <c r="AG371" i="3" s="1"/>
  <c r="X370" i="3"/>
  <c r="AH370" i="3" s="1"/>
  <c r="S370" i="3"/>
  <c r="R370" i="3"/>
  <c r="W370" i="3" s="1"/>
  <c r="AG370" i="3" s="1"/>
  <c r="X369" i="3"/>
  <c r="AH369" i="3" s="1"/>
  <c r="S369" i="3"/>
  <c r="R369" i="3"/>
  <c r="W369" i="3" s="1"/>
  <c r="AG369" i="3" s="1"/>
  <c r="AG368" i="3"/>
  <c r="X368" i="3"/>
  <c r="AH368" i="3" s="1"/>
  <c r="S368" i="3"/>
  <c r="R368" i="3"/>
  <c r="W368" i="3" s="1"/>
  <c r="X367" i="3"/>
  <c r="AH367" i="3" s="1"/>
  <c r="S367" i="3"/>
  <c r="R367" i="3"/>
  <c r="W367" i="3" s="1"/>
  <c r="AG367" i="3" s="1"/>
  <c r="X366" i="3"/>
  <c r="AH366" i="3" s="1"/>
  <c r="W366" i="3"/>
  <c r="AG366" i="3" s="1"/>
  <c r="S366" i="3"/>
  <c r="R366" i="3"/>
  <c r="W365" i="3"/>
  <c r="AG365" i="3" s="1"/>
  <c r="S365" i="3"/>
  <c r="X365" i="3" s="1"/>
  <c r="AH365" i="3" s="1"/>
  <c r="R365" i="3"/>
  <c r="AG364" i="3"/>
  <c r="X364" i="3"/>
  <c r="AH364" i="3" s="1"/>
  <c r="S364" i="3"/>
  <c r="R364" i="3"/>
  <c r="W364" i="3" s="1"/>
  <c r="S363" i="3"/>
  <c r="X363" i="3" s="1"/>
  <c r="AH363" i="3" s="1"/>
  <c r="R363" i="3"/>
  <c r="W363" i="3" s="1"/>
  <c r="AG363" i="3" s="1"/>
  <c r="AG362" i="3"/>
  <c r="X362" i="3"/>
  <c r="AH362" i="3" s="1"/>
  <c r="S362" i="3"/>
  <c r="R362" i="3"/>
  <c r="W362" i="3" s="1"/>
  <c r="S361" i="3"/>
  <c r="X361" i="3" s="1"/>
  <c r="AH361" i="3" s="1"/>
  <c r="R361" i="3"/>
  <c r="W361" i="3" s="1"/>
  <c r="AG361" i="3" s="1"/>
  <c r="AG360" i="3"/>
  <c r="X360" i="3"/>
  <c r="AH360" i="3" s="1"/>
  <c r="S360" i="3"/>
  <c r="R360" i="3"/>
  <c r="W360" i="3" s="1"/>
  <c r="S359" i="3"/>
  <c r="X359" i="3" s="1"/>
  <c r="AH359" i="3" s="1"/>
  <c r="R359" i="3"/>
  <c r="W359" i="3" s="1"/>
  <c r="AG359" i="3" s="1"/>
  <c r="AG358" i="3"/>
  <c r="X358" i="3"/>
  <c r="AH358" i="3" s="1"/>
  <c r="S358" i="3"/>
  <c r="R358" i="3"/>
  <c r="W358" i="3" s="1"/>
  <c r="S357" i="3"/>
  <c r="X357" i="3" s="1"/>
  <c r="AH357" i="3" s="1"/>
  <c r="R357" i="3"/>
  <c r="W357" i="3" s="1"/>
  <c r="AG357" i="3" s="1"/>
  <c r="AG356" i="3"/>
  <c r="X356" i="3"/>
  <c r="AH356" i="3" s="1"/>
  <c r="S356" i="3"/>
  <c r="R356" i="3"/>
  <c r="W356" i="3" s="1"/>
  <c r="S355" i="3"/>
  <c r="X355" i="3" s="1"/>
  <c r="AH355" i="3" s="1"/>
  <c r="R355" i="3"/>
  <c r="W355" i="3" s="1"/>
  <c r="AG355" i="3" s="1"/>
  <c r="AG354" i="3"/>
  <c r="X354" i="3"/>
  <c r="AH354" i="3" s="1"/>
  <c r="S354" i="3"/>
  <c r="R354" i="3"/>
  <c r="W354" i="3" s="1"/>
  <c r="S353" i="3"/>
  <c r="X353" i="3" s="1"/>
  <c r="AH353" i="3" s="1"/>
  <c r="R353" i="3"/>
  <c r="W353" i="3" s="1"/>
  <c r="AG353" i="3" s="1"/>
  <c r="AG352" i="3"/>
  <c r="X352" i="3"/>
  <c r="AH352" i="3" s="1"/>
  <c r="S352" i="3"/>
  <c r="R352" i="3"/>
  <c r="W352" i="3" s="1"/>
  <c r="S351" i="3"/>
  <c r="X351" i="3" s="1"/>
  <c r="AH351" i="3" s="1"/>
  <c r="R351" i="3"/>
  <c r="W351" i="3" s="1"/>
  <c r="AG351" i="3" s="1"/>
  <c r="AG350" i="3"/>
  <c r="X350" i="3"/>
  <c r="AH350" i="3" s="1"/>
  <c r="S350" i="3"/>
  <c r="R350" i="3"/>
  <c r="W350" i="3" s="1"/>
  <c r="S349" i="3"/>
  <c r="R349" i="3"/>
  <c r="W349" i="3" s="1"/>
  <c r="AG349" i="3" s="1"/>
  <c r="X348" i="3"/>
  <c r="AH348" i="3" s="1"/>
  <c r="W348" i="3"/>
  <c r="AG348" i="3" s="1"/>
  <c r="S348" i="3"/>
  <c r="R348" i="3"/>
  <c r="S347" i="3"/>
  <c r="R347" i="3"/>
  <c r="W347" i="3" s="1"/>
  <c r="AG347" i="3" s="1"/>
  <c r="X346" i="3"/>
  <c r="AH346" i="3" s="1"/>
  <c r="W346" i="3"/>
  <c r="AG346" i="3" s="1"/>
  <c r="S346" i="3"/>
  <c r="R346" i="3"/>
  <c r="S345" i="3"/>
  <c r="R345" i="3"/>
  <c r="W345" i="3" s="1"/>
  <c r="AG345" i="3" s="1"/>
  <c r="X344" i="3"/>
  <c r="AH344" i="3" s="1"/>
  <c r="W344" i="3"/>
  <c r="AG344" i="3" s="1"/>
  <c r="S344" i="3"/>
  <c r="R344" i="3"/>
  <c r="S343" i="3"/>
  <c r="R343" i="3"/>
  <c r="W343" i="3" s="1"/>
  <c r="AG343" i="3" s="1"/>
  <c r="X342" i="3"/>
  <c r="AH342" i="3" s="1"/>
  <c r="W342" i="3"/>
  <c r="AG342" i="3" s="1"/>
  <c r="S342" i="3"/>
  <c r="R342" i="3"/>
  <c r="S341" i="3"/>
  <c r="R341" i="3"/>
  <c r="W341" i="3" s="1"/>
  <c r="AG341" i="3" s="1"/>
  <c r="AV340" i="3"/>
  <c r="X340" i="3"/>
  <c r="AH340" i="3" s="1"/>
  <c r="AN340" i="3" s="1"/>
  <c r="W340" i="3"/>
  <c r="AG340" i="3" s="1"/>
  <c r="S340" i="3"/>
  <c r="R340" i="3"/>
  <c r="X339" i="3"/>
  <c r="AH339" i="3" s="1"/>
  <c r="S339" i="3"/>
  <c r="R339" i="3"/>
  <c r="W339" i="3" s="1"/>
  <c r="AG339" i="3" s="1"/>
  <c r="X338" i="3"/>
  <c r="AH338" i="3" s="1"/>
  <c r="W338" i="3"/>
  <c r="AG338" i="3" s="1"/>
  <c r="S338" i="3"/>
  <c r="R338" i="3"/>
  <c r="BC337" i="3"/>
  <c r="X337" i="3"/>
  <c r="AH337" i="3" s="1"/>
  <c r="S337" i="3"/>
  <c r="R337" i="3"/>
  <c r="W337" i="3" s="1"/>
  <c r="AG337" i="3" s="1"/>
  <c r="X336" i="3"/>
  <c r="AH336" i="3" s="1"/>
  <c r="S336" i="3"/>
  <c r="R336" i="3"/>
  <c r="W336" i="3" s="1"/>
  <c r="AG336" i="3" s="1"/>
  <c r="X335" i="3"/>
  <c r="AH335" i="3" s="1"/>
  <c r="S335" i="3"/>
  <c r="R335" i="3"/>
  <c r="W335" i="3" s="1"/>
  <c r="AG335" i="3" s="1"/>
  <c r="X334" i="3"/>
  <c r="AH334" i="3" s="1"/>
  <c r="S334" i="3"/>
  <c r="R334" i="3"/>
  <c r="W334" i="3" s="1"/>
  <c r="AG334" i="3" s="1"/>
  <c r="S333" i="3"/>
  <c r="X333" i="3" s="1"/>
  <c r="AH333" i="3" s="1"/>
  <c r="R333" i="3"/>
  <c r="W333" i="3" s="1"/>
  <c r="AG333" i="3" s="1"/>
  <c r="AG332" i="3"/>
  <c r="X332" i="3"/>
  <c r="AH332" i="3" s="1"/>
  <c r="S332" i="3"/>
  <c r="R332" i="3"/>
  <c r="W332" i="3" s="1"/>
  <c r="S331" i="3"/>
  <c r="X331" i="3" s="1"/>
  <c r="AH331" i="3" s="1"/>
  <c r="R331" i="3"/>
  <c r="W331" i="3" s="1"/>
  <c r="AG331" i="3" s="1"/>
  <c r="AG330" i="3"/>
  <c r="X330" i="3"/>
  <c r="AH330" i="3" s="1"/>
  <c r="S330" i="3"/>
  <c r="R330" i="3"/>
  <c r="W330" i="3" s="1"/>
  <c r="S329" i="3"/>
  <c r="X329" i="3" s="1"/>
  <c r="AH329" i="3" s="1"/>
  <c r="R329" i="3"/>
  <c r="W329" i="3" s="1"/>
  <c r="AG329" i="3" s="1"/>
  <c r="AG328" i="3"/>
  <c r="X328" i="3"/>
  <c r="AH328" i="3" s="1"/>
  <c r="S328" i="3"/>
  <c r="R328" i="3"/>
  <c r="W328" i="3" s="1"/>
  <c r="S327" i="3"/>
  <c r="X327" i="3" s="1"/>
  <c r="AH327" i="3" s="1"/>
  <c r="R327" i="3"/>
  <c r="W327" i="3" s="1"/>
  <c r="AG327" i="3" s="1"/>
  <c r="AG326" i="3"/>
  <c r="X326" i="3"/>
  <c r="AH326" i="3" s="1"/>
  <c r="S326" i="3"/>
  <c r="R326" i="3"/>
  <c r="W326" i="3" s="1"/>
  <c r="S325" i="3"/>
  <c r="X325" i="3" s="1"/>
  <c r="AH325" i="3" s="1"/>
  <c r="R325" i="3"/>
  <c r="W325" i="3" s="1"/>
  <c r="AG325" i="3" s="1"/>
  <c r="AG324" i="3"/>
  <c r="X324" i="3"/>
  <c r="AH324" i="3" s="1"/>
  <c r="S324" i="3"/>
  <c r="R324" i="3"/>
  <c r="W324" i="3" s="1"/>
  <c r="S323" i="3"/>
  <c r="X323" i="3" s="1"/>
  <c r="AH323" i="3" s="1"/>
  <c r="R323" i="3"/>
  <c r="W323" i="3" s="1"/>
  <c r="AG323" i="3" s="1"/>
  <c r="AG322" i="3"/>
  <c r="X322" i="3"/>
  <c r="AH322" i="3" s="1"/>
  <c r="S322" i="3"/>
  <c r="R322" i="3"/>
  <c r="W322" i="3" s="1"/>
  <c r="S321" i="3"/>
  <c r="X321" i="3" s="1"/>
  <c r="AH321" i="3" s="1"/>
  <c r="R321" i="3"/>
  <c r="W321" i="3" s="1"/>
  <c r="AG321" i="3" s="1"/>
  <c r="X320" i="3"/>
  <c r="AH320" i="3" s="1"/>
  <c r="W320" i="3"/>
  <c r="AG320" i="3" s="1"/>
  <c r="S320" i="3"/>
  <c r="R320" i="3"/>
  <c r="S319" i="3"/>
  <c r="X319" i="3" s="1"/>
  <c r="AH319" i="3" s="1"/>
  <c r="R319" i="3"/>
  <c r="W319" i="3" s="1"/>
  <c r="AG319" i="3" s="1"/>
  <c r="AG318" i="3"/>
  <c r="X318" i="3"/>
  <c r="AH318" i="3" s="1"/>
  <c r="S318" i="3"/>
  <c r="R318" i="3"/>
  <c r="W318" i="3" s="1"/>
  <c r="W317" i="3"/>
  <c r="AG317" i="3" s="1"/>
  <c r="S317" i="3"/>
  <c r="X317" i="3" s="1"/>
  <c r="AH317" i="3" s="1"/>
  <c r="R317" i="3"/>
  <c r="X316" i="3"/>
  <c r="AH316" i="3" s="1"/>
  <c r="S316" i="3"/>
  <c r="R316" i="3"/>
  <c r="W316" i="3" s="1"/>
  <c r="AG316" i="3" s="1"/>
  <c r="W315" i="3"/>
  <c r="AG315" i="3" s="1"/>
  <c r="S315" i="3"/>
  <c r="X315" i="3" s="1"/>
  <c r="AH315" i="3" s="1"/>
  <c r="R315" i="3"/>
  <c r="X314" i="3"/>
  <c r="AH314" i="3" s="1"/>
  <c r="S314" i="3"/>
  <c r="R314" i="3"/>
  <c r="W314" i="3" s="1"/>
  <c r="AG314" i="3" s="1"/>
  <c r="W313" i="3"/>
  <c r="AG313" i="3" s="1"/>
  <c r="S313" i="3"/>
  <c r="X313" i="3" s="1"/>
  <c r="AH313" i="3" s="1"/>
  <c r="R313" i="3"/>
  <c r="X312" i="3"/>
  <c r="AH312" i="3" s="1"/>
  <c r="S312" i="3"/>
  <c r="R312" i="3"/>
  <c r="W312" i="3" s="1"/>
  <c r="AG312" i="3" s="1"/>
  <c r="W311" i="3"/>
  <c r="AG311" i="3" s="1"/>
  <c r="S311" i="3"/>
  <c r="X311" i="3" s="1"/>
  <c r="AH311" i="3" s="1"/>
  <c r="R311" i="3"/>
  <c r="AG310" i="3"/>
  <c r="X310" i="3"/>
  <c r="AH310" i="3" s="1"/>
  <c r="S310" i="3"/>
  <c r="R310" i="3"/>
  <c r="W310" i="3" s="1"/>
  <c r="W309" i="3"/>
  <c r="AG309" i="3" s="1"/>
  <c r="S309" i="3"/>
  <c r="X309" i="3" s="1"/>
  <c r="AH309" i="3" s="1"/>
  <c r="R309" i="3"/>
  <c r="X308" i="3"/>
  <c r="AH308" i="3" s="1"/>
  <c r="S308" i="3"/>
  <c r="R308" i="3"/>
  <c r="W308" i="3" s="1"/>
  <c r="AG308" i="3" s="1"/>
  <c r="W307" i="3"/>
  <c r="AG307" i="3" s="1"/>
  <c r="S307" i="3"/>
  <c r="X307" i="3" s="1"/>
  <c r="AH307" i="3" s="1"/>
  <c r="R307" i="3"/>
  <c r="X306" i="3"/>
  <c r="AH306" i="3" s="1"/>
  <c r="S306" i="3"/>
  <c r="R306" i="3"/>
  <c r="W306" i="3" s="1"/>
  <c r="AG306" i="3" s="1"/>
  <c r="W305" i="3"/>
  <c r="AG305" i="3" s="1"/>
  <c r="S305" i="3"/>
  <c r="X305" i="3" s="1"/>
  <c r="AH305" i="3" s="1"/>
  <c r="R305" i="3"/>
  <c r="X304" i="3"/>
  <c r="AH304" i="3" s="1"/>
  <c r="S304" i="3"/>
  <c r="R304" i="3"/>
  <c r="W304" i="3" s="1"/>
  <c r="AG304" i="3" s="1"/>
  <c r="W303" i="3"/>
  <c r="AG303" i="3" s="1"/>
  <c r="S303" i="3"/>
  <c r="X303" i="3" s="1"/>
  <c r="AH303" i="3" s="1"/>
  <c r="R303" i="3"/>
  <c r="AG302" i="3"/>
  <c r="X302" i="3"/>
  <c r="AH302" i="3" s="1"/>
  <c r="S302" i="3"/>
  <c r="R302" i="3"/>
  <c r="W302" i="3" s="1"/>
  <c r="W301" i="3"/>
  <c r="AG301" i="3" s="1"/>
  <c r="S301" i="3"/>
  <c r="X301" i="3" s="1"/>
  <c r="AH301" i="3" s="1"/>
  <c r="R301" i="3"/>
  <c r="X300" i="3"/>
  <c r="AH300" i="3" s="1"/>
  <c r="S300" i="3"/>
  <c r="R300" i="3"/>
  <c r="W300" i="3" s="1"/>
  <c r="AG300" i="3" s="1"/>
  <c r="W299" i="3"/>
  <c r="AG299" i="3" s="1"/>
  <c r="S299" i="3"/>
  <c r="X299" i="3" s="1"/>
  <c r="AH299" i="3" s="1"/>
  <c r="R299" i="3"/>
  <c r="X298" i="3"/>
  <c r="AH298" i="3" s="1"/>
  <c r="S298" i="3"/>
  <c r="R298" i="3"/>
  <c r="W298" i="3" s="1"/>
  <c r="AG298" i="3" s="1"/>
  <c r="W297" i="3"/>
  <c r="AG297" i="3" s="1"/>
  <c r="S297" i="3"/>
  <c r="X297" i="3" s="1"/>
  <c r="AH297" i="3" s="1"/>
  <c r="R297" i="3"/>
  <c r="X296" i="3"/>
  <c r="AH296" i="3" s="1"/>
  <c r="S296" i="3"/>
  <c r="R296" i="3"/>
  <c r="W296" i="3" s="1"/>
  <c r="AG296" i="3" s="1"/>
  <c r="S295" i="3"/>
  <c r="X295" i="3" s="1"/>
  <c r="AH295" i="3" s="1"/>
  <c r="R295" i="3"/>
  <c r="W295" i="3" s="1"/>
  <c r="AG295" i="3" s="1"/>
  <c r="X294" i="3"/>
  <c r="AH294" i="3" s="1"/>
  <c r="S294" i="3"/>
  <c r="R294" i="3"/>
  <c r="W294" i="3" s="1"/>
  <c r="AG294" i="3" s="1"/>
  <c r="S293" i="3"/>
  <c r="X293" i="3" s="1"/>
  <c r="AH293" i="3" s="1"/>
  <c r="R293" i="3"/>
  <c r="W293" i="3" s="1"/>
  <c r="AG293" i="3" s="1"/>
  <c r="X292" i="3"/>
  <c r="AH292" i="3" s="1"/>
  <c r="S292" i="3"/>
  <c r="R292" i="3"/>
  <c r="W292" i="3" s="1"/>
  <c r="AG292" i="3" s="1"/>
  <c r="S291" i="3"/>
  <c r="X291" i="3" s="1"/>
  <c r="AH291" i="3" s="1"/>
  <c r="R291" i="3"/>
  <c r="W291" i="3" s="1"/>
  <c r="AG291" i="3" s="1"/>
  <c r="X290" i="3"/>
  <c r="AH290" i="3" s="1"/>
  <c r="S290" i="3"/>
  <c r="R290" i="3"/>
  <c r="W290" i="3" s="1"/>
  <c r="AG290" i="3" s="1"/>
  <c r="S289" i="3"/>
  <c r="X289" i="3" s="1"/>
  <c r="AH289" i="3" s="1"/>
  <c r="R289" i="3"/>
  <c r="W289" i="3" s="1"/>
  <c r="AG289" i="3" s="1"/>
  <c r="X288" i="3"/>
  <c r="AH288" i="3" s="1"/>
  <c r="S288" i="3"/>
  <c r="R288" i="3"/>
  <c r="W288" i="3" s="1"/>
  <c r="AG288" i="3" s="1"/>
  <c r="S287" i="3"/>
  <c r="X287" i="3" s="1"/>
  <c r="AH287" i="3" s="1"/>
  <c r="R287" i="3"/>
  <c r="W287" i="3" s="1"/>
  <c r="AG287" i="3" s="1"/>
  <c r="X286" i="3"/>
  <c r="AH286" i="3" s="1"/>
  <c r="S286" i="3"/>
  <c r="R286" i="3"/>
  <c r="W286" i="3" s="1"/>
  <c r="AG286" i="3" s="1"/>
  <c r="S285" i="3"/>
  <c r="X285" i="3" s="1"/>
  <c r="AH285" i="3" s="1"/>
  <c r="R285" i="3"/>
  <c r="W285" i="3" s="1"/>
  <c r="AG285" i="3" s="1"/>
  <c r="AN284" i="3"/>
  <c r="AV284" i="3" s="1"/>
  <c r="X284" i="3"/>
  <c r="AH284" i="3" s="1"/>
  <c r="S284" i="3"/>
  <c r="R284" i="3"/>
  <c r="W284" i="3" s="1"/>
  <c r="AG284" i="3" s="1"/>
  <c r="S283" i="3"/>
  <c r="X283" i="3" s="1"/>
  <c r="AH283" i="3" s="1"/>
  <c r="R283" i="3"/>
  <c r="W283" i="3" s="1"/>
  <c r="AG283" i="3" s="1"/>
  <c r="AG282" i="3"/>
  <c r="X282" i="3"/>
  <c r="AH282" i="3" s="1"/>
  <c r="S282" i="3"/>
  <c r="R282" i="3"/>
  <c r="W282" i="3" s="1"/>
  <c r="S281" i="3"/>
  <c r="X281" i="3" s="1"/>
  <c r="AH281" i="3" s="1"/>
  <c r="R281" i="3"/>
  <c r="W281" i="3" s="1"/>
  <c r="AG281" i="3" s="1"/>
  <c r="AG280" i="3"/>
  <c r="X280" i="3"/>
  <c r="AH280" i="3" s="1"/>
  <c r="S280" i="3"/>
  <c r="R280" i="3"/>
  <c r="W280" i="3" s="1"/>
  <c r="S279" i="3"/>
  <c r="X279" i="3" s="1"/>
  <c r="AH279" i="3" s="1"/>
  <c r="R279" i="3"/>
  <c r="W279" i="3" s="1"/>
  <c r="AG279" i="3" s="1"/>
  <c r="AG278" i="3"/>
  <c r="X278" i="3"/>
  <c r="AH278" i="3" s="1"/>
  <c r="S278" i="3"/>
  <c r="R278" i="3"/>
  <c r="W278" i="3" s="1"/>
  <c r="S277" i="3"/>
  <c r="X277" i="3" s="1"/>
  <c r="AH277" i="3" s="1"/>
  <c r="R277" i="3"/>
  <c r="W277" i="3" s="1"/>
  <c r="AG277" i="3" s="1"/>
  <c r="AG276" i="3"/>
  <c r="X276" i="3"/>
  <c r="AH276" i="3" s="1"/>
  <c r="S276" i="3"/>
  <c r="R276" i="3"/>
  <c r="W276" i="3" s="1"/>
  <c r="S275" i="3"/>
  <c r="X275" i="3" s="1"/>
  <c r="AH275" i="3" s="1"/>
  <c r="R275" i="3"/>
  <c r="W275" i="3" s="1"/>
  <c r="AG275" i="3" s="1"/>
  <c r="AG274" i="3"/>
  <c r="X274" i="3"/>
  <c r="AH274" i="3" s="1"/>
  <c r="S274" i="3"/>
  <c r="R274" i="3"/>
  <c r="W274" i="3" s="1"/>
  <c r="X273" i="3"/>
  <c r="AH273" i="3" s="1"/>
  <c r="S273" i="3"/>
  <c r="R273" i="3"/>
  <c r="W273" i="3" s="1"/>
  <c r="AG273" i="3" s="1"/>
  <c r="X272" i="3"/>
  <c r="AH272" i="3" s="1"/>
  <c r="S272" i="3"/>
  <c r="R272" i="3"/>
  <c r="W272" i="3" s="1"/>
  <c r="AG272" i="3" s="1"/>
  <c r="X271" i="3"/>
  <c r="AH271" i="3" s="1"/>
  <c r="S271" i="3"/>
  <c r="R271" i="3"/>
  <c r="W271" i="3" s="1"/>
  <c r="AG271" i="3" s="1"/>
  <c r="AG270" i="3"/>
  <c r="X270" i="3"/>
  <c r="AH270" i="3" s="1"/>
  <c r="S270" i="3"/>
  <c r="R270" i="3"/>
  <c r="W270" i="3" s="1"/>
  <c r="X269" i="3"/>
  <c r="AH269" i="3" s="1"/>
  <c r="S269" i="3"/>
  <c r="R269" i="3"/>
  <c r="W269" i="3" s="1"/>
  <c r="AG269" i="3" s="1"/>
  <c r="X268" i="3"/>
  <c r="AH268" i="3" s="1"/>
  <c r="S268" i="3"/>
  <c r="R268" i="3"/>
  <c r="W268" i="3" s="1"/>
  <c r="AG268" i="3" s="1"/>
  <c r="X267" i="3"/>
  <c r="AH267" i="3" s="1"/>
  <c r="S267" i="3"/>
  <c r="R267" i="3"/>
  <c r="W267" i="3" s="1"/>
  <c r="AG267" i="3" s="1"/>
  <c r="AG266" i="3"/>
  <c r="X266" i="3"/>
  <c r="AH266" i="3" s="1"/>
  <c r="S266" i="3"/>
  <c r="R266" i="3"/>
  <c r="W266" i="3" s="1"/>
  <c r="X265" i="3"/>
  <c r="AH265" i="3" s="1"/>
  <c r="S265" i="3"/>
  <c r="R265" i="3"/>
  <c r="W265" i="3" s="1"/>
  <c r="AG265" i="3" s="1"/>
  <c r="X264" i="3"/>
  <c r="AH264" i="3" s="1"/>
  <c r="S264" i="3"/>
  <c r="R264" i="3"/>
  <c r="W264" i="3" s="1"/>
  <c r="AG264" i="3" s="1"/>
  <c r="X263" i="3"/>
  <c r="AH263" i="3" s="1"/>
  <c r="S263" i="3"/>
  <c r="R263" i="3"/>
  <c r="W263" i="3" s="1"/>
  <c r="AG263" i="3" s="1"/>
  <c r="AG262" i="3"/>
  <c r="X262" i="3"/>
  <c r="AH262" i="3" s="1"/>
  <c r="S262" i="3"/>
  <c r="R262" i="3"/>
  <c r="W262" i="3" s="1"/>
  <c r="X261" i="3"/>
  <c r="AH261" i="3" s="1"/>
  <c r="S261" i="3"/>
  <c r="R261" i="3"/>
  <c r="W261" i="3" s="1"/>
  <c r="AG261" i="3" s="1"/>
  <c r="X260" i="3"/>
  <c r="AH260" i="3" s="1"/>
  <c r="S260" i="3"/>
  <c r="R260" i="3"/>
  <c r="W260" i="3" s="1"/>
  <c r="AG260" i="3" s="1"/>
  <c r="X259" i="3"/>
  <c r="AH259" i="3" s="1"/>
  <c r="S259" i="3"/>
  <c r="R259" i="3"/>
  <c r="W259" i="3" s="1"/>
  <c r="AG259" i="3" s="1"/>
  <c r="AG258" i="3"/>
  <c r="X258" i="3"/>
  <c r="AH258" i="3" s="1"/>
  <c r="S258" i="3"/>
  <c r="R258" i="3"/>
  <c r="W258" i="3" s="1"/>
  <c r="AG257" i="3"/>
  <c r="X257" i="3"/>
  <c r="AH257" i="3" s="1"/>
  <c r="S257" i="3"/>
  <c r="R257" i="3"/>
  <c r="W257" i="3" s="1"/>
  <c r="AG256" i="3"/>
  <c r="X256" i="3"/>
  <c r="AH256" i="3" s="1"/>
  <c r="S256" i="3"/>
  <c r="R256" i="3"/>
  <c r="W256" i="3" s="1"/>
  <c r="AG255" i="3"/>
  <c r="S255" i="3"/>
  <c r="R255" i="3"/>
  <c r="W255" i="3" s="1"/>
  <c r="X254" i="3"/>
  <c r="AH254" i="3" s="1"/>
  <c r="W254" i="3"/>
  <c r="AG254" i="3" s="1"/>
  <c r="S254" i="3"/>
  <c r="R254" i="3"/>
  <c r="S253" i="3"/>
  <c r="R253" i="3"/>
  <c r="W253" i="3" s="1"/>
  <c r="AG253" i="3" s="1"/>
  <c r="X252" i="3"/>
  <c r="AH252" i="3" s="1"/>
  <c r="W252" i="3"/>
  <c r="AG252" i="3" s="1"/>
  <c r="S252" i="3"/>
  <c r="R252" i="3"/>
  <c r="W251" i="3"/>
  <c r="AG251" i="3" s="1"/>
  <c r="S251" i="3"/>
  <c r="R251" i="3"/>
  <c r="W250" i="3"/>
  <c r="AG250" i="3" s="1"/>
  <c r="S250" i="3"/>
  <c r="R250" i="3"/>
  <c r="W249" i="3"/>
  <c r="AG249" i="3" s="1"/>
  <c r="S249" i="3"/>
  <c r="R249" i="3"/>
  <c r="W248" i="3"/>
  <c r="AG248" i="3" s="1"/>
  <c r="S248" i="3"/>
  <c r="R248" i="3"/>
  <c r="W247" i="3"/>
  <c r="AG247" i="3" s="1"/>
  <c r="S247" i="3"/>
  <c r="R247" i="3"/>
  <c r="W246" i="3"/>
  <c r="AG246" i="3" s="1"/>
  <c r="S246" i="3"/>
  <c r="R246" i="3"/>
  <c r="W245" i="3"/>
  <c r="AG245" i="3" s="1"/>
  <c r="S245" i="3"/>
  <c r="R245" i="3"/>
  <c r="W244" i="3"/>
  <c r="AG244" i="3" s="1"/>
  <c r="S244" i="3"/>
  <c r="R244" i="3"/>
  <c r="W243" i="3"/>
  <c r="AG243" i="3" s="1"/>
  <c r="S243" i="3"/>
  <c r="R243" i="3"/>
  <c r="W242" i="3"/>
  <c r="AG242" i="3" s="1"/>
  <c r="S242" i="3"/>
  <c r="R242" i="3"/>
  <c r="W241" i="3"/>
  <c r="AG241" i="3" s="1"/>
  <c r="S241" i="3"/>
  <c r="R241" i="3"/>
  <c r="W240" i="3"/>
  <c r="AG240" i="3" s="1"/>
  <c r="S240" i="3"/>
  <c r="R240" i="3"/>
  <c r="W239" i="3"/>
  <c r="AG239" i="3" s="1"/>
  <c r="S239" i="3"/>
  <c r="R239" i="3"/>
  <c r="W238" i="3"/>
  <c r="AG238" i="3" s="1"/>
  <c r="S238" i="3"/>
  <c r="R238" i="3"/>
  <c r="W237" i="3"/>
  <c r="AG237" i="3" s="1"/>
  <c r="S237" i="3"/>
  <c r="R237" i="3"/>
  <c r="W236" i="3"/>
  <c r="AG236" i="3" s="1"/>
  <c r="S236" i="3"/>
  <c r="R236" i="3"/>
  <c r="W235" i="3"/>
  <c r="AG235" i="3" s="1"/>
  <c r="S235" i="3"/>
  <c r="R235" i="3"/>
  <c r="W234" i="3"/>
  <c r="AG234" i="3" s="1"/>
  <c r="S234" i="3"/>
  <c r="R234" i="3"/>
  <c r="W233" i="3"/>
  <c r="AG233" i="3" s="1"/>
  <c r="S233" i="3"/>
  <c r="R233" i="3"/>
  <c r="W232" i="3"/>
  <c r="AG232" i="3" s="1"/>
  <c r="S232" i="3"/>
  <c r="R232" i="3"/>
  <c r="W231" i="3"/>
  <c r="AG231" i="3" s="1"/>
  <c r="S231" i="3"/>
  <c r="R231" i="3"/>
  <c r="W230" i="3"/>
  <c r="AG230" i="3" s="1"/>
  <c r="S230" i="3"/>
  <c r="R230" i="3"/>
  <c r="W229" i="3"/>
  <c r="AG229" i="3" s="1"/>
  <c r="S229" i="3"/>
  <c r="R229" i="3"/>
  <c r="W228" i="3"/>
  <c r="AG228" i="3" s="1"/>
  <c r="S228" i="3"/>
  <c r="R228" i="3"/>
  <c r="W227" i="3"/>
  <c r="AG227" i="3" s="1"/>
  <c r="S227" i="3"/>
  <c r="R227" i="3"/>
  <c r="W226" i="3"/>
  <c r="AG226" i="3" s="1"/>
  <c r="S226" i="3"/>
  <c r="R226" i="3"/>
  <c r="W225" i="3"/>
  <c r="AG225" i="3" s="1"/>
  <c r="S225" i="3"/>
  <c r="R225" i="3"/>
  <c r="W224" i="3"/>
  <c r="AG224" i="3" s="1"/>
  <c r="S224" i="3"/>
  <c r="R224" i="3"/>
  <c r="W223" i="3"/>
  <c r="AG223" i="3" s="1"/>
  <c r="S223" i="3"/>
  <c r="R223" i="3"/>
  <c r="X222" i="3"/>
  <c r="AH222" i="3" s="1"/>
  <c r="S222" i="3"/>
  <c r="R222" i="3"/>
  <c r="W222" i="3" s="1"/>
  <c r="AG222" i="3" s="1"/>
  <c r="X221" i="3"/>
  <c r="AH221" i="3" s="1"/>
  <c r="S221" i="3"/>
  <c r="R221" i="3"/>
  <c r="W221" i="3" s="1"/>
  <c r="AG221" i="3" s="1"/>
  <c r="AG220" i="3"/>
  <c r="X220" i="3"/>
  <c r="AH220" i="3" s="1"/>
  <c r="S220" i="3"/>
  <c r="R220" i="3"/>
  <c r="W220" i="3" s="1"/>
  <c r="X219" i="3"/>
  <c r="AH219" i="3" s="1"/>
  <c r="S219" i="3"/>
  <c r="R219" i="3"/>
  <c r="W219" i="3" s="1"/>
  <c r="AG219" i="3" s="1"/>
  <c r="X218" i="3"/>
  <c r="AH218" i="3" s="1"/>
  <c r="S218" i="3"/>
  <c r="R218" i="3"/>
  <c r="W218" i="3" s="1"/>
  <c r="AG218" i="3" s="1"/>
  <c r="X217" i="3"/>
  <c r="AH217" i="3" s="1"/>
  <c r="S217" i="3"/>
  <c r="R217" i="3"/>
  <c r="W217" i="3" s="1"/>
  <c r="AG217" i="3" s="1"/>
  <c r="AG216" i="3"/>
  <c r="X216" i="3"/>
  <c r="AH216" i="3" s="1"/>
  <c r="S216" i="3"/>
  <c r="R216" i="3"/>
  <c r="W216" i="3" s="1"/>
  <c r="X215" i="3"/>
  <c r="AH215" i="3" s="1"/>
  <c r="S215" i="3"/>
  <c r="R215" i="3"/>
  <c r="W215" i="3" s="1"/>
  <c r="AG215" i="3" s="1"/>
  <c r="X214" i="3"/>
  <c r="AH214" i="3" s="1"/>
  <c r="S214" i="3"/>
  <c r="R214" i="3"/>
  <c r="W214" i="3" s="1"/>
  <c r="AG214" i="3" s="1"/>
  <c r="X213" i="3"/>
  <c r="AH213" i="3" s="1"/>
  <c r="S213" i="3"/>
  <c r="R213" i="3"/>
  <c r="W213" i="3" s="1"/>
  <c r="AG213" i="3" s="1"/>
  <c r="AG212" i="3"/>
  <c r="X212" i="3"/>
  <c r="AH212" i="3" s="1"/>
  <c r="S212" i="3"/>
  <c r="R212" i="3"/>
  <c r="W212" i="3" s="1"/>
  <c r="X211" i="3"/>
  <c r="AH211" i="3" s="1"/>
  <c r="S211" i="3"/>
  <c r="R211" i="3"/>
  <c r="W211" i="3" s="1"/>
  <c r="AG211" i="3" s="1"/>
  <c r="X210" i="3"/>
  <c r="AH210" i="3" s="1"/>
  <c r="S210" i="3"/>
  <c r="R210" i="3"/>
  <c r="W210" i="3" s="1"/>
  <c r="AG210" i="3" s="1"/>
  <c r="X209" i="3"/>
  <c r="AH209" i="3" s="1"/>
  <c r="S209" i="3"/>
  <c r="R209" i="3"/>
  <c r="W209" i="3" s="1"/>
  <c r="AG209" i="3" s="1"/>
  <c r="AG208" i="3"/>
  <c r="X208" i="3"/>
  <c r="AH208" i="3" s="1"/>
  <c r="S208" i="3"/>
  <c r="R208" i="3"/>
  <c r="W208" i="3" s="1"/>
  <c r="X207" i="3"/>
  <c r="AH207" i="3" s="1"/>
  <c r="S207" i="3"/>
  <c r="R207" i="3"/>
  <c r="W207" i="3" s="1"/>
  <c r="AG207" i="3" s="1"/>
  <c r="X206" i="3"/>
  <c r="AH206" i="3" s="1"/>
  <c r="S206" i="3"/>
  <c r="R206" i="3"/>
  <c r="W206" i="3" s="1"/>
  <c r="AG206" i="3" s="1"/>
  <c r="X205" i="3"/>
  <c r="AH205" i="3" s="1"/>
  <c r="S205" i="3"/>
  <c r="R205" i="3"/>
  <c r="W205" i="3" s="1"/>
  <c r="AG205" i="3" s="1"/>
  <c r="AG204" i="3"/>
  <c r="X204" i="3"/>
  <c r="AH204" i="3" s="1"/>
  <c r="S204" i="3"/>
  <c r="R204" i="3"/>
  <c r="W204" i="3" s="1"/>
  <c r="X203" i="3"/>
  <c r="AH203" i="3" s="1"/>
  <c r="S203" i="3"/>
  <c r="R203" i="3"/>
  <c r="W203" i="3" s="1"/>
  <c r="AG203" i="3" s="1"/>
  <c r="X202" i="3"/>
  <c r="AH202" i="3" s="1"/>
  <c r="S202" i="3"/>
  <c r="R202" i="3"/>
  <c r="W202" i="3" s="1"/>
  <c r="AG202" i="3" s="1"/>
  <c r="X201" i="3"/>
  <c r="AH201" i="3" s="1"/>
  <c r="S201" i="3"/>
  <c r="R201" i="3"/>
  <c r="W201" i="3" s="1"/>
  <c r="AG201" i="3" s="1"/>
  <c r="AG200" i="3"/>
  <c r="X200" i="3"/>
  <c r="AH200" i="3" s="1"/>
  <c r="S200" i="3"/>
  <c r="R200" i="3"/>
  <c r="W200" i="3" s="1"/>
  <c r="X199" i="3"/>
  <c r="AH199" i="3" s="1"/>
  <c r="S199" i="3"/>
  <c r="R199" i="3"/>
  <c r="W199" i="3" s="1"/>
  <c r="AG199" i="3" s="1"/>
  <c r="X198" i="3"/>
  <c r="AH198" i="3" s="1"/>
  <c r="S198" i="3"/>
  <c r="R198" i="3"/>
  <c r="W198" i="3" s="1"/>
  <c r="AG198" i="3" s="1"/>
  <c r="X197" i="3"/>
  <c r="AH197" i="3" s="1"/>
  <c r="S197" i="3"/>
  <c r="R197" i="3"/>
  <c r="W197" i="3" s="1"/>
  <c r="AG197" i="3" s="1"/>
  <c r="AG196" i="3"/>
  <c r="X196" i="3"/>
  <c r="AH196" i="3" s="1"/>
  <c r="S196" i="3"/>
  <c r="R196" i="3"/>
  <c r="W196" i="3" s="1"/>
  <c r="X195" i="3"/>
  <c r="AH195" i="3" s="1"/>
  <c r="S195" i="3"/>
  <c r="R195" i="3"/>
  <c r="W195" i="3" s="1"/>
  <c r="AG195" i="3" s="1"/>
  <c r="X194" i="3"/>
  <c r="AH194" i="3" s="1"/>
  <c r="S194" i="3"/>
  <c r="R194" i="3"/>
  <c r="W194" i="3" s="1"/>
  <c r="AG194" i="3" s="1"/>
  <c r="X193" i="3"/>
  <c r="AH193" i="3" s="1"/>
  <c r="S193" i="3"/>
  <c r="R193" i="3"/>
  <c r="W193" i="3" s="1"/>
  <c r="AG193" i="3" s="1"/>
  <c r="AG192" i="3"/>
  <c r="X192" i="3"/>
  <c r="AH192" i="3" s="1"/>
  <c r="S192" i="3"/>
  <c r="R192" i="3"/>
  <c r="W192" i="3" s="1"/>
  <c r="X191" i="3"/>
  <c r="AH191" i="3" s="1"/>
  <c r="S191" i="3"/>
  <c r="R191" i="3"/>
  <c r="W191" i="3" s="1"/>
  <c r="AG191" i="3" s="1"/>
  <c r="X190" i="3"/>
  <c r="AH190" i="3" s="1"/>
  <c r="S190" i="3"/>
  <c r="R190" i="3"/>
  <c r="W190" i="3" s="1"/>
  <c r="AG190" i="3" s="1"/>
  <c r="X189" i="3"/>
  <c r="AH189" i="3" s="1"/>
  <c r="S189" i="3"/>
  <c r="R189" i="3"/>
  <c r="W189" i="3" s="1"/>
  <c r="AG189" i="3" s="1"/>
  <c r="AG188" i="3"/>
  <c r="X188" i="3"/>
  <c r="AH188" i="3" s="1"/>
  <c r="S188" i="3"/>
  <c r="R188" i="3"/>
  <c r="W188" i="3" s="1"/>
  <c r="X187" i="3"/>
  <c r="AH187" i="3" s="1"/>
  <c r="S187" i="3"/>
  <c r="R187" i="3"/>
  <c r="W187" i="3" s="1"/>
  <c r="AG187" i="3" s="1"/>
  <c r="X186" i="3"/>
  <c r="AH186" i="3" s="1"/>
  <c r="S186" i="3"/>
  <c r="R186" i="3"/>
  <c r="W186" i="3" s="1"/>
  <c r="AG186" i="3" s="1"/>
  <c r="X185" i="3"/>
  <c r="AH185" i="3" s="1"/>
  <c r="S185" i="3"/>
  <c r="R185" i="3"/>
  <c r="W185" i="3" s="1"/>
  <c r="AG185" i="3" s="1"/>
  <c r="AG184" i="3"/>
  <c r="X184" i="3"/>
  <c r="AH184" i="3" s="1"/>
  <c r="S184" i="3"/>
  <c r="R184" i="3"/>
  <c r="W184" i="3" s="1"/>
  <c r="X183" i="3"/>
  <c r="AH183" i="3" s="1"/>
  <c r="S183" i="3"/>
  <c r="R183" i="3"/>
  <c r="W183" i="3" s="1"/>
  <c r="AG183" i="3" s="1"/>
  <c r="X182" i="3"/>
  <c r="AH182" i="3" s="1"/>
  <c r="S182" i="3"/>
  <c r="R182" i="3"/>
  <c r="W182" i="3" s="1"/>
  <c r="AG182" i="3" s="1"/>
  <c r="X181" i="3"/>
  <c r="AH181" i="3" s="1"/>
  <c r="S181" i="3"/>
  <c r="R181" i="3"/>
  <c r="W181" i="3" s="1"/>
  <c r="AG181" i="3" s="1"/>
  <c r="AG180" i="3"/>
  <c r="X180" i="3"/>
  <c r="AH180" i="3" s="1"/>
  <c r="S180" i="3"/>
  <c r="R180" i="3"/>
  <c r="W180" i="3" s="1"/>
  <c r="X179" i="3"/>
  <c r="AH179" i="3" s="1"/>
  <c r="S179" i="3"/>
  <c r="R179" i="3"/>
  <c r="W179" i="3" s="1"/>
  <c r="AG179" i="3" s="1"/>
  <c r="X178" i="3"/>
  <c r="AH178" i="3" s="1"/>
  <c r="S178" i="3"/>
  <c r="R178" i="3"/>
  <c r="W178" i="3" s="1"/>
  <c r="AG178" i="3" s="1"/>
  <c r="X177" i="3"/>
  <c r="AH177" i="3" s="1"/>
  <c r="S177" i="3"/>
  <c r="R177" i="3"/>
  <c r="W177" i="3" s="1"/>
  <c r="AG177" i="3" s="1"/>
  <c r="AG176" i="3"/>
  <c r="X176" i="3"/>
  <c r="AH176" i="3" s="1"/>
  <c r="S176" i="3"/>
  <c r="R176" i="3"/>
  <c r="W176" i="3" s="1"/>
  <c r="X175" i="3"/>
  <c r="AH175" i="3" s="1"/>
  <c r="S175" i="3"/>
  <c r="R175" i="3"/>
  <c r="W175" i="3" s="1"/>
  <c r="AG175" i="3" s="1"/>
  <c r="X174" i="3"/>
  <c r="AH174" i="3" s="1"/>
  <c r="S174" i="3"/>
  <c r="R174" i="3"/>
  <c r="W174" i="3" s="1"/>
  <c r="AG174" i="3" s="1"/>
  <c r="X173" i="3"/>
  <c r="AH173" i="3" s="1"/>
  <c r="S173" i="3"/>
  <c r="R173" i="3"/>
  <c r="W173" i="3" s="1"/>
  <c r="AG173" i="3" s="1"/>
  <c r="AG172" i="3"/>
  <c r="X172" i="3"/>
  <c r="AH172" i="3" s="1"/>
  <c r="S172" i="3"/>
  <c r="R172" i="3"/>
  <c r="W172" i="3" s="1"/>
  <c r="X171" i="3"/>
  <c r="AH171" i="3" s="1"/>
  <c r="S171" i="3"/>
  <c r="R171" i="3"/>
  <c r="W171" i="3" s="1"/>
  <c r="AG171" i="3" s="1"/>
  <c r="X170" i="3"/>
  <c r="AH170" i="3" s="1"/>
  <c r="S170" i="3"/>
  <c r="R170" i="3"/>
  <c r="W170" i="3" s="1"/>
  <c r="AG170" i="3" s="1"/>
  <c r="X169" i="3"/>
  <c r="AH169" i="3" s="1"/>
  <c r="S169" i="3"/>
  <c r="R169" i="3"/>
  <c r="W169" i="3" s="1"/>
  <c r="AG169" i="3" s="1"/>
  <c r="AG168" i="3"/>
  <c r="X168" i="3"/>
  <c r="AH168" i="3" s="1"/>
  <c r="S168" i="3"/>
  <c r="R168" i="3"/>
  <c r="W168" i="3" s="1"/>
  <c r="X167" i="3"/>
  <c r="AH167" i="3" s="1"/>
  <c r="S167" i="3"/>
  <c r="R167" i="3"/>
  <c r="W167" i="3" s="1"/>
  <c r="AG167" i="3" s="1"/>
  <c r="X166" i="3"/>
  <c r="AH166" i="3" s="1"/>
  <c r="S166" i="3"/>
  <c r="R166" i="3"/>
  <c r="W166" i="3" s="1"/>
  <c r="AG166" i="3" s="1"/>
  <c r="X165" i="3"/>
  <c r="AH165" i="3" s="1"/>
  <c r="S165" i="3"/>
  <c r="R165" i="3"/>
  <c r="W165" i="3" s="1"/>
  <c r="AG165" i="3" s="1"/>
  <c r="X164" i="3"/>
  <c r="AH164" i="3" s="1"/>
  <c r="S164" i="3"/>
  <c r="R164" i="3"/>
  <c r="W164" i="3" s="1"/>
  <c r="AG164" i="3" s="1"/>
  <c r="X163" i="3"/>
  <c r="AH163" i="3" s="1"/>
  <c r="S163" i="3"/>
  <c r="R163" i="3"/>
  <c r="W163" i="3" s="1"/>
  <c r="AG163" i="3" s="1"/>
  <c r="X162" i="3"/>
  <c r="AH162" i="3" s="1"/>
  <c r="S162" i="3"/>
  <c r="R162" i="3"/>
  <c r="W162" i="3" s="1"/>
  <c r="AG162" i="3" s="1"/>
  <c r="X161" i="3"/>
  <c r="AH161" i="3" s="1"/>
  <c r="S161" i="3"/>
  <c r="R161" i="3"/>
  <c r="W161" i="3" s="1"/>
  <c r="AG161" i="3" s="1"/>
  <c r="X160" i="3"/>
  <c r="AH160" i="3" s="1"/>
  <c r="S160" i="3"/>
  <c r="R160" i="3"/>
  <c r="W160" i="3" s="1"/>
  <c r="AG160" i="3" s="1"/>
  <c r="X159" i="3"/>
  <c r="AH159" i="3" s="1"/>
  <c r="S159" i="3"/>
  <c r="R159" i="3"/>
  <c r="W159" i="3" s="1"/>
  <c r="AG159" i="3" s="1"/>
  <c r="X158" i="3"/>
  <c r="AH158" i="3" s="1"/>
  <c r="S158" i="3"/>
  <c r="R158" i="3"/>
  <c r="W158" i="3" s="1"/>
  <c r="AG158" i="3" s="1"/>
  <c r="X157" i="3"/>
  <c r="AH157" i="3" s="1"/>
  <c r="S157" i="3"/>
  <c r="R157" i="3"/>
  <c r="W157" i="3" s="1"/>
  <c r="AG157" i="3" s="1"/>
  <c r="X156" i="3"/>
  <c r="AH156" i="3" s="1"/>
  <c r="S156" i="3"/>
  <c r="R156" i="3"/>
  <c r="W156" i="3" s="1"/>
  <c r="AG156" i="3" s="1"/>
  <c r="X155" i="3"/>
  <c r="AH155" i="3" s="1"/>
  <c r="S155" i="3"/>
  <c r="R155" i="3"/>
  <c r="W155" i="3" s="1"/>
  <c r="AG155" i="3" s="1"/>
  <c r="X154" i="3"/>
  <c r="AH154" i="3" s="1"/>
  <c r="S154" i="3"/>
  <c r="R154" i="3"/>
  <c r="W154" i="3" s="1"/>
  <c r="AG154" i="3" s="1"/>
  <c r="X153" i="3"/>
  <c r="AH153" i="3" s="1"/>
  <c r="S153" i="3"/>
  <c r="R153" i="3"/>
  <c r="W153" i="3" s="1"/>
  <c r="AG153" i="3" s="1"/>
  <c r="X152" i="3"/>
  <c r="AH152" i="3" s="1"/>
  <c r="S152" i="3"/>
  <c r="R152" i="3"/>
  <c r="W152" i="3" s="1"/>
  <c r="AG152" i="3" s="1"/>
  <c r="X151" i="3"/>
  <c r="AH151" i="3" s="1"/>
  <c r="S151" i="3"/>
  <c r="R151" i="3"/>
  <c r="W151" i="3" s="1"/>
  <c r="AG151" i="3" s="1"/>
  <c r="W150" i="3"/>
  <c r="AG150" i="3" s="1"/>
  <c r="S150" i="3"/>
  <c r="R150" i="3"/>
  <c r="W149" i="3"/>
  <c r="AG149" i="3" s="1"/>
  <c r="S149" i="3"/>
  <c r="R149" i="3"/>
  <c r="W148" i="3"/>
  <c r="AG148" i="3" s="1"/>
  <c r="S148" i="3"/>
  <c r="R148" i="3"/>
  <c r="W147" i="3"/>
  <c r="AG147" i="3" s="1"/>
  <c r="S147" i="3"/>
  <c r="R147" i="3"/>
  <c r="W146" i="3"/>
  <c r="AG146" i="3" s="1"/>
  <c r="S146" i="3"/>
  <c r="R146" i="3"/>
  <c r="W145" i="3"/>
  <c r="AG145" i="3" s="1"/>
  <c r="S145" i="3"/>
  <c r="R145" i="3"/>
  <c r="W144" i="3"/>
  <c r="AG144" i="3" s="1"/>
  <c r="S144" i="3"/>
  <c r="R144" i="3"/>
  <c r="W143" i="3"/>
  <c r="AG143" i="3" s="1"/>
  <c r="S143" i="3"/>
  <c r="R143" i="3"/>
  <c r="W142" i="3"/>
  <c r="AG142" i="3" s="1"/>
  <c r="S142" i="3"/>
  <c r="R142" i="3"/>
  <c r="W141" i="3"/>
  <c r="AG141" i="3" s="1"/>
  <c r="S141" i="3"/>
  <c r="R141" i="3"/>
  <c r="W140" i="3"/>
  <c r="AG140" i="3" s="1"/>
  <c r="S140" i="3"/>
  <c r="R140" i="3"/>
  <c r="W139" i="3"/>
  <c r="AG139" i="3" s="1"/>
  <c r="S139" i="3"/>
  <c r="R139" i="3"/>
  <c r="W138" i="3"/>
  <c r="AG138" i="3" s="1"/>
  <c r="S138" i="3"/>
  <c r="R138" i="3"/>
  <c r="W137" i="3"/>
  <c r="AG137" i="3" s="1"/>
  <c r="S137" i="3"/>
  <c r="R137" i="3"/>
  <c r="W136" i="3"/>
  <c r="AG136" i="3" s="1"/>
  <c r="S136" i="3"/>
  <c r="R136" i="3"/>
  <c r="W135" i="3"/>
  <c r="AG135" i="3" s="1"/>
  <c r="S135" i="3"/>
  <c r="R135" i="3"/>
  <c r="W134" i="3"/>
  <c r="AG134" i="3" s="1"/>
  <c r="S134" i="3"/>
  <c r="R134" i="3"/>
  <c r="W133" i="3"/>
  <c r="AG133" i="3" s="1"/>
  <c r="S133" i="3"/>
  <c r="R133" i="3"/>
  <c r="W132" i="3"/>
  <c r="AG132" i="3" s="1"/>
  <c r="S132" i="3"/>
  <c r="R132" i="3"/>
  <c r="W131" i="3"/>
  <c r="AG131" i="3" s="1"/>
  <c r="S131" i="3"/>
  <c r="R131" i="3"/>
  <c r="W130" i="3"/>
  <c r="AG130" i="3" s="1"/>
  <c r="S130" i="3"/>
  <c r="R130" i="3"/>
  <c r="W129" i="3"/>
  <c r="AG129" i="3" s="1"/>
  <c r="S129" i="3"/>
  <c r="R129" i="3"/>
  <c r="W128" i="3"/>
  <c r="AG128" i="3" s="1"/>
  <c r="S128" i="3"/>
  <c r="R128" i="3"/>
  <c r="W127" i="3"/>
  <c r="AG127" i="3" s="1"/>
  <c r="S127" i="3"/>
  <c r="R127" i="3"/>
  <c r="W126" i="3"/>
  <c r="AG126" i="3" s="1"/>
  <c r="S126" i="3"/>
  <c r="R126" i="3"/>
  <c r="W125" i="3"/>
  <c r="AG125" i="3" s="1"/>
  <c r="S125" i="3"/>
  <c r="R125" i="3"/>
  <c r="W124" i="3"/>
  <c r="AG124" i="3" s="1"/>
  <c r="S124" i="3"/>
  <c r="R124" i="3"/>
  <c r="W123" i="3"/>
  <c r="AG123" i="3" s="1"/>
  <c r="S123" i="3"/>
  <c r="R123" i="3"/>
  <c r="W122" i="3"/>
  <c r="AG122" i="3" s="1"/>
  <c r="S122" i="3"/>
  <c r="R122" i="3"/>
  <c r="W121" i="3"/>
  <c r="AG121" i="3" s="1"/>
  <c r="S121" i="3"/>
  <c r="R121" i="3"/>
  <c r="W120" i="3"/>
  <c r="AG120" i="3" s="1"/>
  <c r="S120" i="3"/>
  <c r="R120" i="3"/>
  <c r="W119" i="3"/>
  <c r="AG119" i="3" s="1"/>
  <c r="S119" i="3"/>
  <c r="R119" i="3"/>
  <c r="W118" i="3"/>
  <c r="AG118" i="3" s="1"/>
  <c r="S118" i="3"/>
  <c r="R118" i="3"/>
  <c r="W117" i="3"/>
  <c r="AG117" i="3" s="1"/>
  <c r="S117" i="3"/>
  <c r="R117" i="3"/>
  <c r="W116" i="3"/>
  <c r="AG116" i="3" s="1"/>
  <c r="S116" i="3"/>
  <c r="R116" i="3"/>
  <c r="W115" i="3"/>
  <c r="AG115" i="3" s="1"/>
  <c r="S115" i="3"/>
  <c r="R115" i="3"/>
  <c r="W114" i="3"/>
  <c r="AG114" i="3" s="1"/>
  <c r="S114" i="3"/>
  <c r="R114" i="3"/>
  <c r="W113" i="3"/>
  <c r="AG113" i="3" s="1"/>
  <c r="S113" i="3"/>
  <c r="R113" i="3"/>
  <c r="W112" i="3"/>
  <c r="AG112" i="3" s="1"/>
  <c r="S112" i="3"/>
  <c r="R112" i="3"/>
  <c r="W111" i="3"/>
  <c r="AG111" i="3" s="1"/>
  <c r="S111" i="3"/>
  <c r="R111" i="3"/>
  <c r="W110" i="3"/>
  <c r="AG110" i="3" s="1"/>
  <c r="S110" i="3"/>
  <c r="R110" i="3"/>
  <c r="W109" i="3"/>
  <c r="AG109" i="3" s="1"/>
  <c r="S109" i="3"/>
  <c r="R109" i="3"/>
  <c r="W108" i="3"/>
  <c r="AG108" i="3" s="1"/>
  <c r="S108" i="3"/>
  <c r="R108" i="3"/>
  <c r="W107" i="3"/>
  <c r="AG107" i="3" s="1"/>
  <c r="S107" i="3"/>
  <c r="R107" i="3"/>
  <c r="W106" i="3"/>
  <c r="AG106" i="3" s="1"/>
  <c r="S106" i="3"/>
  <c r="R106" i="3"/>
  <c r="W105" i="3"/>
  <c r="AG105" i="3" s="1"/>
  <c r="S105" i="3"/>
  <c r="R105" i="3"/>
  <c r="W104" i="3"/>
  <c r="AG104" i="3" s="1"/>
  <c r="S104" i="3"/>
  <c r="R104" i="3"/>
  <c r="W103" i="3"/>
  <c r="AG103" i="3" s="1"/>
  <c r="S103" i="3"/>
  <c r="R103" i="3"/>
  <c r="W102" i="3"/>
  <c r="AG102" i="3" s="1"/>
  <c r="S102" i="3"/>
  <c r="R102" i="3"/>
  <c r="W101" i="3"/>
  <c r="AG101" i="3" s="1"/>
  <c r="S101" i="3"/>
  <c r="R101" i="3"/>
  <c r="W100" i="3"/>
  <c r="AG100" i="3" s="1"/>
  <c r="S100" i="3"/>
  <c r="R100" i="3"/>
  <c r="W99" i="3"/>
  <c r="AG99" i="3" s="1"/>
  <c r="S99" i="3"/>
  <c r="R99" i="3"/>
  <c r="W98" i="3"/>
  <c r="AG98" i="3" s="1"/>
  <c r="S98" i="3"/>
  <c r="R98" i="3"/>
  <c r="W97" i="3"/>
  <c r="AG97" i="3" s="1"/>
  <c r="S97" i="3"/>
  <c r="R97" i="3"/>
  <c r="W96" i="3"/>
  <c r="AG96" i="3" s="1"/>
  <c r="S96" i="3"/>
  <c r="R96" i="3"/>
  <c r="W95" i="3"/>
  <c r="AG95" i="3" s="1"/>
  <c r="S95" i="3"/>
  <c r="R95" i="3"/>
  <c r="W94" i="3"/>
  <c r="AG94" i="3" s="1"/>
  <c r="S94" i="3"/>
  <c r="R94" i="3"/>
  <c r="W93" i="3"/>
  <c r="AG93" i="3" s="1"/>
  <c r="S93" i="3"/>
  <c r="R93" i="3"/>
  <c r="W92" i="3"/>
  <c r="AG92" i="3" s="1"/>
  <c r="S92" i="3"/>
  <c r="R92" i="3"/>
  <c r="W91" i="3"/>
  <c r="AG91" i="3" s="1"/>
  <c r="S91" i="3"/>
  <c r="R91" i="3"/>
  <c r="W90" i="3"/>
  <c r="AG90" i="3" s="1"/>
  <c r="S90" i="3"/>
  <c r="R90" i="3"/>
  <c r="X89" i="3"/>
  <c r="AH89" i="3" s="1"/>
  <c r="S89" i="3"/>
  <c r="R89" i="3"/>
  <c r="W89" i="3" s="1"/>
  <c r="AG89" i="3" s="1"/>
  <c r="X88" i="3"/>
  <c r="AH88" i="3" s="1"/>
  <c r="S88" i="3"/>
  <c r="R88" i="3"/>
  <c r="W88" i="3" s="1"/>
  <c r="AG88" i="3" s="1"/>
  <c r="AG87" i="3"/>
  <c r="X87" i="3"/>
  <c r="AH87" i="3" s="1"/>
  <c r="S87" i="3"/>
  <c r="R87" i="3"/>
  <c r="W87" i="3" s="1"/>
  <c r="X86" i="3"/>
  <c r="AH86" i="3" s="1"/>
  <c r="S86" i="3"/>
  <c r="R86" i="3"/>
  <c r="W86" i="3" s="1"/>
  <c r="AG86" i="3" s="1"/>
  <c r="X85" i="3"/>
  <c r="AH85" i="3" s="1"/>
  <c r="S85" i="3"/>
  <c r="R85" i="3"/>
  <c r="W85" i="3" s="1"/>
  <c r="AG85" i="3" s="1"/>
  <c r="X84" i="3"/>
  <c r="AH84" i="3" s="1"/>
  <c r="S84" i="3"/>
  <c r="R84" i="3"/>
  <c r="W84" i="3" s="1"/>
  <c r="AG84" i="3" s="1"/>
  <c r="AG83" i="3"/>
  <c r="X83" i="3"/>
  <c r="AH83" i="3" s="1"/>
  <c r="S83" i="3"/>
  <c r="R83" i="3"/>
  <c r="W83" i="3" s="1"/>
  <c r="X82" i="3"/>
  <c r="AH82" i="3" s="1"/>
  <c r="S82" i="3"/>
  <c r="R82" i="3"/>
  <c r="W82" i="3" s="1"/>
  <c r="AG82" i="3" s="1"/>
  <c r="X81" i="3"/>
  <c r="AH81" i="3" s="1"/>
  <c r="S81" i="3"/>
  <c r="R81" i="3"/>
  <c r="W81" i="3" s="1"/>
  <c r="AG81" i="3" s="1"/>
  <c r="X80" i="3"/>
  <c r="AH80" i="3" s="1"/>
  <c r="S80" i="3"/>
  <c r="R80" i="3"/>
  <c r="W80" i="3" s="1"/>
  <c r="AG80" i="3" s="1"/>
  <c r="AG79" i="3"/>
  <c r="X79" i="3"/>
  <c r="AH79" i="3" s="1"/>
  <c r="S79" i="3"/>
  <c r="R79" i="3"/>
  <c r="W79" i="3" s="1"/>
  <c r="X78" i="3"/>
  <c r="AH78" i="3" s="1"/>
  <c r="S78" i="3"/>
  <c r="R78" i="3"/>
  <c r="W78" i="3" s="1"/>
  <c r="AG78" i="3" s="1"/>
  <c r="X77" i="3"/>
  <c r="AH77" i="3" s="1"/>
  <c r="S77" i="3"/>
  <c r="R77" i="3"/>
  <c r="W77" i="3" s="1"/>
  <c r="AG77" i="3" s="1"/>
  <c r="X76" i="3"/>
  <c r="AH76" i="3" s="1"/>
  <c r="S76" i="3"/>
  <c r="R76" i="3"/>
  <c r="W76" i="3" s="1"/>
  <c r="AG76" i="3" s="1"/>
  <c r="AG75" i="3"/>
  <c r="X75" i="3"/>
  <c r="AH75" i="3" s="1"/>
  <c r="S75" i="3"/>
  <c r="R75" i="3"/>
  <c r="W75" i="3" s="1"/>
  <c r="X74" i="3"/>
  <c r="AH74" i="3" s="1"/>
  <c r="S74" i="3"/>
  <c r="R74" i="3"/>
  <c r="W74" i="3" s="1"/>
  <c r="AG74" i="3" s="1"/>
  <c r="X73" i="3"/>
  <c r="AH73" i="3" s="1"/>
  <c r="S73" i="3"/>
  <c r="R73" i="3"/>
  <c r="W73" i="3" s="1"/>
  <c r="AG73" i="3" s="1"/>
  <c r="X72" i="3"/>
  <c r="AH72" i="3" s="1"/>
  <c r="S72" i="3"/>
  <c r="R72" i="3"/>
  <c r="W72" i="3" s="1"/>
  <c r="AG72" i="3" s="1"/>
  <c r="AG71" i="3"/>
  <c r="X71" i="3"/>
  <c r="AH71" i="3" s="1"/>
  <c r="S71" i="3"/>
  <c r="R71" i="3"/>
  <c r="W71" i="3" s="1"/>
  <c r="X70" i="3"/>
  <c r="AH70" i="3" s="1"/>
  <c r="S70" i="3"/>
  <c r="R70" i="3"/>
  <c r="W70" i="3" s="1"/>
  <c r="AG70" i="3" s="1"/>
  <c r="X69" i="3"/>
  <c r="AH69" i="3" s="1"/>
  <c r="S69" i="3"/>
  <c r="R69" i="3"/>
  <c r="W69" i="3" s="1"/>
  <c r="AG69" i="3" s="1"/>
  <c r="X68" i="3"/>
  <c r="AH68" i="3" s="1"/>
  <c r="S68" i="3"/>
  <c r="R68" i="3"/>
  <c r="W68" i="3" s="1"/>
  <c r="AG68" i="3" s="1"/>
  <c r="AG67" i="3"/>
  <c r="X67" i="3"/>
  <c r="AH67" i="3" s="1"/>
  <c r="S67" i="3"/>
  <c r="R67" i="3"/>
  <c r="W67" i="3" s="1"/>
  <c r="X66" i="3"/>
  <c r="AH66" i="3" s="1"/>
  <c r="S66" i="3"/>
  <c r="R66" i="3"/>
  <c r="W66" i="3" s="1"/>
  <c r="AG66" i="3" s="1"/>
  <c r="X65" i="3"/>
  <c r="AH65" i="3" s="1"/>
  <c r="S65" i="3"/>
  <c r="R65" i="3"/>
  <c r="W65" i="3" s="1"/>
  <c r="AG65" i="3" s="1"/>
  <c r="X64" i="3"/>
  <c r="AH64" i="3" s="1"/>
  <c r="S64" i="3"/>
  <c r="R64" i="3"/>
  <c r="W64" i="3" s="1"/>
  <c r="AG64" i="3" s="1"/>
  <c r="AG63" i="3"/>
  <c r="X63" i="3"/>
  <c r="AH63" i="3" s="1"/>
  <c r="S63" i="3"/>
  <c r="R63" i="3"/>
  <c r="W63" i="3" s="1"/>
  <c r="X62" i="3"/>
  <c r="AH62" i="3" s="1"/>
  <c r="S62" i="3"/>
  <c r="R62" i="3"/>
  <c r="W62" i="3" s="1"/>
  <c r="AG62" i="3" s="1"/>
  <c r="X61" i="3"/>
  <c r="AH61" i="3" s="1"/>
  <c r="S61" i="3"/>
  <c r="R61" i="3"/>
  <c r="W61" i="3" s="1"/>
  <c r="AG61" i="3" s="1"/>
  <c r="X60" i="3"/>
  <c r="AH60" i="3" s="1"/>
  <c r="S60" i="3"/>
  <c r="R60" i="3"/>
  <c r="W60" i="3" s="1"/>
  <c r="AG60" i="3" s="1"/>
  <c r="AG59" i="3"/>
  <c r="X59" i="3"/>
  <c r="AH59" i="3" s="1"/>
  <c r="S59" i="3"/>
  <c r="R59" i="3"/>
  <c r="W59" i="3" s="1"/>
  <c r="X58" i="3"/>
  <c r="AH58" i="3" s="1"/>
  <c r="S58" i="3"/>
  <c r="R58" i="3"/>
  <c r="W58" i="3" s="1"/>
  <c r="AG58" i="3" s="1"/>
  <c r="X57" i="3"/>
  <c r="AH57" i="3" s="1"/>
  <c r="S57" i="3"/>
  <c r="R57" i="3"/>
  <c r="W57" i="3" s="1"/>
  <c r="AG57" i="3" s="1"/>
  <c r="X56" i="3"/>
  <c r="AH56" i="3" s="1"/>
  <c r="S56" i="3"/>
  <c r="R56" i="3"/>
  <c r="W56" i="3" s="1"/>
  <c r="AG56" i="3" s="1"/>
  <c r="AG55" i="3"/>
  <c r="X55" i="3"/>
  <c r="AH55" i="3" s="1"/>
  <c r="S55" i="3"/>
  <c r="R55" i="3"/>
  <c r="W55" i="3" s="1"/>
  <c r="X54" i="3"/>
  <c r="AH54" i="3" s="1"/>
  <c r="S54" i="3"/>
  <c r="R54" i="3"/>
  <c r="W54" i="3" s="1"/>
  <c r="AG54" i="3" s="1"/>
  <c r="X53" i="3"/>
  <c r="AH53" i="3" s="1"/>
  <c r="S53" i="3"/>
  <c r="R53" i="3"/>
  <c r="W53" i="3" s="1"/>
  <c r="AG53" i="3" s="1"/>
  <c r="X52" i="3"/>
  <c r="AH52" i="3" s="1"/>
  <c r="S52" i="3"/>
  <c r="R52" i="3"/>
  <c r="W52" i="3" s="1"/>
  <c r="AG52" i="3" s="1"/>
  <c r="AG51" i="3"/>
  <c r="X51" i="3"/>
  <c r="AH51" i="3" s="1"/>
  <c r="S51" i="3"/>
  <c r="R51" i="3"/>
  <c r="W51" i="3" s="1"/>
  <c r="X50" i="3"/>
  <c r="AH50" i="3" s="1"/>
  <c r="S50" i="3"/>
  <c r="R50" i="3"/>
  <c r="W50" i="3" s="1"/>
  <c r="AG50" i="3" s="1"/>
  <c r="X49" i="3"/>
  <c r="AH49" i="3" s="1"/>
  <c r="S49" i="3"/>
  <c r="R49" i="3"/>
  <c r="W49" i="3" s="1"/>
  <c r="AG49" i="3" s="1"/>
  <c r="CC48" i="3"/>
  <c r="BY48" i="3"/>
  <c r="BU48" i="3"/>
  <c r="BS48" i="3"/>
  <c r="CB48" i="3" s="1"/>
  <c r="W48" i="3"/>
  <c r="AG48" i="3" s="1"/>
  <c r="S48" i="3"/>
  <c r="R48" i="3"/>
  <c r="CD47" i="3"/>
  <c r="CB47" i="3"/>
  <c r="BZ47" i="3"/>
  <c r="BX47" i="3"/>
  <c r="BV47" i="3"/>
  <c r="BT47" i="3"/>
  <c r="BS47" i="3"/>
  <c r="CC47" i="3" s="1"/>
  <c r="X47" i="3"/>
  <c r="AH47" i="3" s="1"/>
  <c r="S47" i="3"/>
  <c r="R47" i="3"/>
  <c r="W47" i="3" s="1"/>
  <c r="AG47" i="3" s="1"/>
  <c r="BS46" i="3"/>
  <c r="CA46" i="3" s="1"/>
  <c r="W46" i="3"/>
  <c r="AG46" i="3" s="1"/>
  <c r="S46" i="3"/>
  <c r="R46" i="3"/>
  <c r="CH45" i="3"/>
  <c r="CC45" i="3"/>
  <c r="BY45" i="3"/>
  <c r="BU45" i="3"/>
  <c r="BS45" i="3"/>
  <c r="CB45" i="3" s="1"/>
  <c r="W45" i="3"/>
  <c r="AG45" i="3" s="1"/>
  <c r="S45" i="3"/>
  <c r="R45" i="3"/>
  <c r="CH44" i="3"/>
  <c r="CE44" i="3"/>
  <c r="CA44" i="3"/>
  <c r="BW44" i="3"/>
  <c r="BS44" i="3"/>
  <c r="W44" i="3"/>
  <c r="AG44" i="3" s="1"/>
  <c r="S44" i="3"/>
  <c r="R44" i="3"/>
  <c r="CH43" i="3"/>
  <c r="CC43" i="3"/>
  <c r="BY43" i="3"/>
  <c r="BU43" i="3"/>
  <c r="BS43" i="3"/>
  <c r="CB43" i="3" s="1"/>
  <c r="W43" i="3"/>
  <c r="AG43" i="3" s="1"/>
  <c r="S43" i="3"/>
  <c r="R43" i="3"/>
  <c r="CH42" i="3"/>
  <c r="CA42" i="3"/>
  <c r="BS42" i="3"/>
  <c r="CE42" i="3" s="1"/>
  <c r="W42" i="3"/>
  <c r="AG42" i="3" s="1"/>
  <c r="S42" i="3"/>
  <c r="R42" i="3"/>
  <c r="CH41" i="3"/>
  <c r="CC41" i="3"/>
  <c r="BY41" i="3"/>
  <c r="BU41" i="3"/>
  <c r="BS41" i="3"/>
  <c r="CB41" i="3" s="1"/>
  <c r="W41" i="3"/>
  <c r="AG41" i="3" s="1"/>
  <c r="S41" i="3"/>
  <c r="R41" i="3"/>
  <c r="CH40" i="3"/>
  <c r="CE40" i="3"/>
  <c r="BW40" i="3"/>
  <c r="BS40" i="3"/>
  <c r="CA40" i="3" s="1"/>
  <c r="W40" i="3"/>
  <c r="AG40" i="3" s="1"/>
  <c r="S40" i="3"/>
  <c r="R40" i="3"/>
  <c r="CH39" i="3"/>
  <c r="CC39" i="3"/>
  <c r="BY39" i="3"/>
  <c r="BU39" i="3"/>
  <c r="BS39" i="3"/>
  <c r="CB39" i="3" s="1"/>
  <c r="W39" i="3"/>
  <c r="AG39" i="3" s="1"/>
  <c r="S39" i="3"/>
  <c r="R39" i="3"/>
  <c r="CH38" i="3"/>
  <c r="BS38" i="3"/>
  <c r="BW38" i="3" s="1"/>
  <c r="W38" i="3"/>
  <c r="AG38" i="3" s="1"/>
  <c r="S38" i="3"/>
  <c r="R38" i="3"/>
  <c r="CH37" i="3"/>
  <c r="CC37" i="3"/>
  <c r="BY37" i="3"/>
  <c r="BU37" i="3"/>
  <c r="BS37" i="3"/>
  <c r="CB37" i="3" s="1"/>
  <c r="W37" i="3"/>
  <c r="AG37" i="3" s="1"/>
  <c r="S37" i="3"/>
  <c r="R37" i="3"/>
  <c r="CH36" i="3"/>
  <c r="CE36" i="3"/>
  <c r="CA36" i="3"/>
  <c r="BW36" i="3"/>
  <c r="BS36" i="3"/>
  <c r="W36" i="3"/>
  <c r="AG36" i="3" s="1"/>
  <c r="S36" i="3"/>
  <c r="R36" i="3"/>
  <c r="CH35" i="3"/>
  <c r="CC35" i="3"/>
  <c r="BY35" i="3"/>
  <c r="BU35" i="3"/>
  <c r="BS35" i="3"/>
  <c r="CB35" i="3" s="1"/>
  <c r="W35" i="3"/>
  <c r="AG35" i="3" s="1"/>
  <c r="S35" i="3"/>
  <c r="R35" i="3"/>
  <c r="CH34" i="3"/>
  <c r="CA34" i="3"/>
  <c r="BS34" i="3"/>
  <c r="CE34" i="3" s="1"/>
  <c r="W34" i="3"/>
  <c r="AG34" i="3" s="1"/>
  <c r="S34" i="3"/>
  <c r="R34" i="3"/>
  <c r="CH33" i="3"/>
  <c r="CE33" i="3"/>
  <c r="BW33" i="3"/>
  <c r="BS33" i="3"/>
  <c r="BY33" i="3" s="1"/>
  <c r="W33" i="3"/>
  <c r="AG33" i="3" s="1"/>
  <c r="S33" i="3"/>
  <c r="R33" i="3"/>
  <c r="CH32" i="3"/>
  <c r="BS32" i="3"/>
  <c r="W32" i="3"/>
  <c r="AG32" i="3" s="1"/>
  <c r="S32" i="3"/>
  <c r="R32" i="3"/>
  <c r="CH31" i="3"/>
  <c r="CE31" i="3"/>
  <c r="BW31" i="3"/>
  <c r="BS31" i="3"/>
  <c r="BY31" i="3" s="1"/>
  <c r="W31" i="3"/>
  <c r="AG31" i="3" s="1"/>
  <c r="S31" i="3"/>
  <c r="R31" i="3"/>
  <c r="CH30" i="3"/>
  <c r="BS30" i="3"/>
  <c r="W30" i="3"/>
  <c r="AG30" i="3" s="1"/>
  <c r="S30" i="3"/>
  <c r="R30" i="3"/>
  <c r="CH29" i="3"/>
  <c r="CE29" i="3"/>
  <c r="BW29" i="3"/>
  <c r="BS29" i="3"/>
  <c r="BY29" i="3" s="1"/>
  <c r="W29" i="3"/>
  <c r="AG29" i="3" s="1"/>
  <c r="S29" i="3"/>
  <c r="R29" i="3"/>
  <c r="CH28" i="3"/>
  <c r="BS28" i="3"/>
  <c r="CE28" i="3" s="1"/>
  <c r="W28" i="3"/>
  <c r="AG28" i="3" s="1"/>
  <c r="S28" i="3"/>
  <c r="R28" i="3"/>
  <c r="CH27" i="3"/>
  <c r="CE27" i="3"/>
  <c r="BW27" i="3"/>
  <c r="BS27" i="3"/>
  <c r="BY27" i="3" s="1"/>
  <c r="X27" i="3"/>
  <c r="AH27" i="3" s="1"/>
  <c r="S27" i="3"/>
  <c r="R27" i="3"/>
  <c r="W27" i="3" s="1"/>
  <c r="AG27" i="3" s="1"/>
  <c r="CH26" i="3"/>
  <c r="CD26" i="3"/>
  <c r="CB26" i="3"/>
  <c r="BZ26" i="3"/>
  <c r="BX26" i="3"/>
  <c r="BV26" i="3"/>
  <c r="BT26" i="3"/>
  <c r="BS26" i="3"/>
  <c r="CE26" i="3" s="1"/>
  <c r="AG26" i="3"/>
  <c r="W26" i="3"/>
  <c r="S26" i="3"/>
  <c r="R26" i="3"/>
  <c r="CH25" i="3"/>
  <c r="CC25" i="3"/>
  <c r="BY25" i="3"/>
  <c r="BU25" i="3"/>
  <c r="BS25" i="3"/>
  <c r="CE25" i="3" s="1"/>
  <c r="W25" i="3"/>
  <c r="AG25" i="3" s="1"/>
  <c r="S25" i="3"/>
  <c r="R25" i="3"/>
  <c r="CH24" i="3"/>
  <c r="CC24" i="3"/>
  <c r="BY24" i="3"/>
  <c r="BU24" i="3"/>
  <c r="BS24" i="3"/>
  <c r="CB24" i="3" s="1"/>
  <c r="AH24" i="3"/>
  <c r="X24" i="3"/>
  <c r="S24" i="3"/>
  <c r="R24" i="3"/>
  <c r="W24" i="3" s="1"/>
  <c r="AG24" i="3" s="1"/>
  <c r="CH23" i="3"/>
  <c r="CD23" i="3"/>
  <c r="CB23" i="3"/>
  <c r="BZ23" i="3"/>
  <c r="BX23" i="3"/>
  <c r="BV23" i="3"/>
  <c r="BT23" i="3"/>
  <c r="BS23" i="3"/>
  <c r="CE23" i="3" s="1"/>
  <c r="AG23" i="3"/>
  <c r="W23" i="3"/>
  <c r="S23" i="3"/>
  <c r="X23" i="3" s="1"/>
  <c r="AH23" i="3" s="1"/>
  <c r="R23" i="3"/>
  <c r="CH22" i="3"/>
  <c r="BS22" i="3"/>
  <c r="CD22" i="3" s="1"/>
  <c r="X22" i="3"/>
  <c r="AH22" i="3" s="1"/>
  <c r="S22" i="3"/>
  <c r="R22" i="3"/>
  <c r="W22" i="3" s="1"/>
  <c r="AG22" i="3" s="1"/>
  <c r="CH21" i="3"/>
  <c r="CD21" i="3"/>
  <c r="CB21" i="3"/>
  <c r="BZ21" i="3"/>
  <c r="BX21" i="3"/>
  <c r="BV21" i="3"/>
  <c r="BT21" i="3"/>
  <c r="BS21" i="3"/>
  <c r="CC21" i="3" s="1"/>
  <c r="W21" i="3"/>
  <c r="AG21" i="3" s="1"/>
  <c r="S21" i="3"/>
  <c r="R21" i="3"/>
  <c r="CH20" i="3"/>
  <c r="CD20" i="3"/>
  <c r="CB20" i="3"/>
  <c r="BZ20" i="3"/>
  <c r="BX20" i="3"/>
  <c r="BV20" i="3"/>
  <c r="BT20" i="3"/>
  <c r="BS20" i="3"/>
  <c r="CE20" i="3" s="1"/>
  <c r="AG20" i="3"/>
  <c r="W20" i="3"/>
  <c r="S20" i="3"/>
  <c r="X20" i="3" s="1"/>
  <c r="AH20" i="3" s="1"/>
  <c r="R20" i="3"/>
  <c r="CH19" i="3"/>
  <c r="CD19" i="3"/>
  <c r="CB19" i="3"/>
  <c r="BZ19" i="3"/>
  <c r="BX19" i="3"/>
  <c r="BV19" i="3"/>
  <c r="BT19" i="3"/>
  <c r="BS19" i="3"/>
  <c r="CC19" i="3" s="1"/>
  <c r="W19" i="3"/>
  <c r="AG19" i="3" s="1"/>
  <c r="S19" i="3"/>
  <c r="R19" i="3"/>
  <c r="CH18" i="3"/>
  <c r="CD18" i="3"/>
  <c r="CB18" i="3"/>
  <c r="BZ18" i="3"/>
  <c r="BX18" i="3"/>
  <c r="BV18" i="3"/>
  <c r="BT18" i="3"/>
  <c r="BS18" i="3"/>
  <c r="CE18" i="3" s="1"/>
  <c r="AG18" i="3"/>
  <c r="W18" i="3"/>
  <c r="S18" i="3"/>
  <c r="X18" i="3" s="1"/>
  <c r="AH18" i="3" s="1"/>
  <c r="R18" i="3"/>
  <c r="CH17" i="3"/>
  <c r="CD17" i="3"/>
  <c r="CB17" i="3"/>
  <c r="BZ17" i="3"/>
  <c r="BX17" i="3"/>
  <c r="BV17" i="3"/>
  <c r="BT17" i="3"/>
  <c r="BS17" i="3"/>
  <c r="CC17" i="3" s="1"/>
  <c r="X17" i="3"/>
  <c r="AH17" i="3" s="1"/>
  <c r="S17" i="3"/>
  <c r="R17" i="3"/>
  <c r="W17" i="3" s="1"/>
  <c r="AG17" i="3" s="1"/>
  <c r="CH16" i="3"/>
  <c r="BS16" i="3"/>
  <c r="CD16" i="3" s="1"/>
  <c r="W16" i="3"/>
  <c r="AG16" i="3" s="1"/>
  <c r="S16" i="3"/>
  <c r="R16" i="3"/>
  <c r="CH15" i="3"/>
  <c r="CD15" i="3"/>
  <c r="CB15" i="3"/>
  <c r="BZ15" i="3"/>
  <c r="BX15" i="3"/>
  <c r="BV15" i="3"/>
  <c r="BT15" i="3"/>
  <c r="BS15" i="3"/>
  <c r="CE15" i="3" s="1"/>
  <c r="X15" i="3"/>
  <c r="AH15" i="3" s="1"/>
  <c r="S15" i="3"/>
  <c r="R15" i="3"/>
  <c r="W15" i="3" s="1"/>
  <c r="AG15" i="3" s="1"/>
  <c r="CH14" i="3"/>
  <c r="CC14" i="3"/>
  <c r="BY14" i="3"/>
  <c r="BU14" i="3"/>
  <c r="BS14" i="3"/>
  <c r="CB14" i="3" s="1"/>
  <c r="W14" i="3"/>
  <c r="AG14" i="3" s="1"/>
  <c r="S14" i="3"/>
  <c r="X14" i="3" s="1"/>
  <c r="AH14" i="3" s="1"/>
  <c r="R14" i="3"/>
  <c r="CH13" i="3"/>
  <c r="CD13" i="3"/>
  <c r="CB13" i="3"/>
  <c r="BZ13" i="3"/>
  <c r="BX13" i="3"/>
  <c r="BV13" i="3"/>
  <c r="BT13" i="3"/>
  <c r="BS13" i="3"/>
  <c r="CE13" i="3" s="1"/>
  <c r="X13" i="3"/>
  <c r="AH13" i="3" s="1"/>
  <c r="S13" i="3"/>
  <c r="R13" i="3"/>
  <c r="W13" i="3" s="1"/>
  <c r="AG13" i="3" s="1"/>
  <c r="CH12" i="3"/>
  <c r="BS12" i="3"/>
  <c r="CD12" i="3" s="1"/>
  <c r="W12" i="3"/>
  <c r="AG12" i="3" s="1"/>
  <c r="S12" i="3"/>
  <c r="R12" i="3"/>
  <c r="H12" i="3"/>
  <c r="CH11" i="3"/>
  <c r="CD11" i="3"/>
  <c r="CB11" i="3"/>
  <c r="BZ11" i="3"/>
  <c r="BX11" i="3"/>
  <c r="BV11" i="3"/>
  <c r="BT11" i="3"/>
  <c r="BS11" i="3"/>
  <c r="CC11" i="3" s="1"/>
  <c r="X11" i="3"/>
  <c r="AH11" i="3" s="1"/>
  <c r="S11" i="3"/>
  <c r="R11" i="3"/>
  <c r="W11" i="3" s="1"/>
  <c r="AG11" i="3" s="1"/>
  <c r="CH10" i="3"/>
  <c r="CD10" i="3"/>
  <c r="CB10" i="3"/>
  <c r="BZ10" i="3"/>
  <c r="BX10" i="3"/>
  <c r="BV10" i="3"/>
  <c r="BT10" i="3"/>
  <c r="BS10" i="3"/>
  <c r="CC10" i="3" s="1"/>
  <c r="X10" i="3"/>
  <c r="AH10" i="3" s="1"/>
  <c r="S10" i="3"/>
  <c r="R10" i="3"/>
  <c r="W10" i="3" s="1"/>
  <c r="AG10" i="3" s="1"/>
  <c r="CH9" i="3"/>
  <c r="CD9" i="3"/>
  <c r="CB9" i="3"/>
  <c r="BZ9" i="3"/>
  <c r="BX9" i="3"/>
  <c r="BV9" i="3"/>
  <c r="BT9" i="3"/>
  <c r="BS9" i="3"/>
  <c r="CC9" i="3" s="1"/>
  <c r="X9" i="3"/>
  <c r="AH9" i="3" s="1"/>
  <c r="S9" i="3"/>
  <c r="R9" i="3"/>
  <c r="W9" i="3" s="1"/>
  <c r="AG9" i="3" s="1"/>
  <c r="CH8" i="3"/>
  <c r="X8" i="3"/>
  <c r="AH8" i="3" s="1"/>
  <c r="S8" i="3"/>
  <c r="R8" i="3"/>
  <c r="W8" i="3" s="1"/>
  <c r="AG8" i="3" s="1"/>
  <c r="CH7" i="3"/>
  <c r="X7" i="3"/>
  <c r="AH7" i="3" s="1"/>
  <c r="S7" i="3"/>
  <c r="R7" i="3"/>
  <c r="W7" i="3" s="1"/>
  <c r="AG7" i="3" s="1"/>
  <c r="CH6" i="3"/>
  <c r="BM6" i="3"/>
  <c r="BS8" i="3" s="1"/>
  <c r="BL6" i="3"/>
  <c r="BD6" i="3"/>
  <c r="W6" i="3"/>
  <c r="AG6" i="3" s="1"/>
  <c r="S6" i="3"/>
  <c r="R6" i="3"/>
  <c r="CH5" i="3"/>
  <c r="BM5" i="3"/>
  <c r="BS7" i="3" s="1"/>
  <c r="BL5" i="3"/>
  <c r="BD5" i="3"/>
  <c r="W5" i="3"/>
  <c r="AG5" i="3" s="1"/>
  <c r="S5" i="3"/>
  <c r="X5" i="3" s="1"/>
  <c r="AH5" i="3" s="1"/>
  <c r="BC5" i="3" s="1"/>
  <c r="R5" i="3"/>
  <c r="H5" i="3"/>
  <c r="H6" i="3" s="1"/>
  <c r="CH4" i="3"/>
  <c r="BM4" i="3"/>
  <c r="BL4" i="3"/>
  <c r="BD4" i="3"/>
  <c r="AJ4" i="3"/>
  <c r="X4" i="3"/>
  <c r="AH4" i="3" s="1"/>
  <c r="BC4" i="3" s="1"/>
  <c r="S4" i="3"/>
  <c r="R4" i="3"/>
  <c r="W4" i="3" s="1"/>
  <c r="AG4" i="3" s="1"/>
  <c r="I4" i="3"/>
  <c r="H7" i="3" s="1"/>
  <c r="H4" i="3"/>
  <c r="I21" i="3" s="1"/>
  <c r="M14" i="3" s="1"/>
  <c r="W386" i="2"/>
  <c r="AG386" i="2" s="1"/>
  <c r="BB386" i="2" s="1"/>
  <c r="S386" i="2"/>
  <c r="X386" i="2" s="1"/>
  <c r="AH386" i="2" s="1"/>
  <c r="R386" i="2"/>
  <c r="S385" i="2"/>
  <c r="X385" i="2" s="1"/>
  <c r="AH385" i="2" s="1"/>
  <c r="R385" i="2"/>
  <c r="W385" i="2" s="1"/>
  <c r="AG385" i="2" s="1"/>
  <c r="BB385" i="2" s="1"/>
  <c r="W384" i="2"/>
  <c r="AG384" i="2" s="1"/>
  <c r="BB384" i="2" s="1"/>
  <c r="S384" i="2"/>
  <c r="R384" i="2"/>
  <c r="AG383" i="2"/>
  <c r="BB383" i="2" s="1"/>
  <c r="X383" i="2"/>
  <c r="AH383" i="2" s="1"/>
  <c r="S383" i="2"/>
  <c r="R383" i="2"/>
  <c r="W383" i="2" s="1"/>
  <c r="AH382" i="2"/>
  <c r="W382" i="2"/>
  <c r="AG382" i="2" s="1"/>
  <c r="BB382" i="2" s="1"/>
  <c r="S382" i="2"/>
  <c r="X382" i="2" s="1"/>
  <c r="R382" i="2"/>
  <c r="X381" i="2"/>
  <c r="AH381" i="2" s="1"/>
  <c r="W381" i="2"/>
  <c r="AG381" i="2" s="1"/>
  <c r="BB381" i="2" s="1"/>
  <c r="S381" i="2"/>
  <c r="R381" i="2"/>
  <c r="X380" i="2"/>
  <c r="AH380" i="2" s="1"/>
  <c r="S380" i="2"/>
  <c r="R380" i="2"/>
  <c r="W380" i="2" s="1"/>
  <c r="AG380" i="2" s="1"/>
  <c r="BB380" i="2" s="1"/>
  <c r="W379" i="2"/>
  <c r="AG379" i="2" s="1"/>
  <c r="BB379" i="2" s="1"/>
  <c r="S379" i="2"/>
  <c r="X379" i="2" s="1"/>
  <c r="AH379" i="2" s="1"/>
  <c r="R379" i="2"/>
  <c r="AG378" i="2"/>
  <c r="BB378" i="2" s="1"/>
  <c r="X378" i="2"/>
  <c r="AH378" i="2" s="1"/>
  <c r="S378" i="2"/>
  <c r="R378" i="2"/>
  <c r="W378" i="2" s="1"/>
  <c r="W377" i="2"/>
  <c r="AG377" i="2" s="1"/>
  <c r="BB377" i="2" s="1"/>
  <c r="S377" i="2"/>
  <c r="R377" i="2"/>
  <c r="X376" i="2"/>
  <c r="AH376" i="2" s="1"/>
  <c r="S376" i="2"/>
  <c r="R376" i="2"/>
  <c r="W376" i="2" s="1"/>
  <c r="AG376" i="2" s="1"/>
  <c r="BB376" i="2" s="1"/>
  <c r="X375" i="2"/>
  <c r="AH375" i="2" s="1"/>
  <c r="W375" i="2"/>
  <c r="AG375" i="2" s="1"/>
  <c r="BB375" i="2" s="1"/>
  <c r="S375" i="2"/>
  <c r="R375" i="2"/>
  <c r="X374" i="2"/>
  <c r="AH374" i="2" s="1"/>
  <c r="S374" i="2"/>
  <c r="R374" i="2"/>
  <c r="W374" i="2" s="1"/>
  <c r="AG374" i="2" s="1"/>
  <c r="BB374" i="2" s="1"/>
  <c r="S373" i="2"/>
  <c r="X373" i="2" s="1"/>
  <c r="AH373" i="2" s="1"/>
  <c r="R373" i="2"/>
  <c r="W373" i="2" s="1"/>
  <c r="AG373" i="2" s="1"/>
  <c r="BB373" i="2" s="1"/>
  <c r="S372" i="2"/>
  <c r="X372" i="2" s="1"/>
  <c r="AH372" i="2" s="1"/>
  <c r="R372" i="2"/>
  <c r="W372" i="2" s="1"/>
  <c r="AG372" i="2" s="1"/>
  <c r="BB372" i="2" s="1"/>
  <c r="W371" i="2"/>
  <c r="AG371" i="2" s="1"/>
  <c r="BB371" i="2" s="1"/>
  <c r="S371" i="2"/>
  <c r="X371" i="2" s="1"/>
  <c r="AH371" i="2" s="1"/>
  <c r="R371" i="2"/>
  <c r="AG370" i="2"/>
  <c r="BB370" i="2" s="1"/>
  <c r="X370" i="2"/>
  <c r="AH370" i="2" s="1"/>
  <c r="W370" i="2"/>
  <c r="S370" i="2"/>
  <c r="R370" i="2"/>
  <c r="X369" i="2"/>
  <c r="AH369" i="2" s="1"/>
  <c r="W369" i="2"/>
  <c r="AG369" i="2" s="1"/>
  <c r="BB369" i="2" s="1"/>
  <c r="S369" i="2"/>
  <c r="R369" i="2"/>
  <c r="X368" i="2"/>
  <c r="AH368" i="2" s="1"/>
  <c r="S368" i="2"/>
  <c r="R368" i="2"/>
  <c r="W368" i="2" s="1"/>
  <c r="AG368" i="2" s="1"/>
  <c r="BB368" i="2" s="1"/>
  <c r="S367" i="2"/>
  <c r="R367" i="2"/>
  <c r="W367" i="2" s="1"/>
  <c r="AG367" i="2" s="1"/>
  <c r="BB367" i="2" s="1"/>
  <c r="W366" i="2"/>
  <c r="AG366" i="2" s="1"/>
  <c r="BB366" i="2" s="1"/>
  <c r="S366" i="2"/>
  <c r="X366" i="2" s="1"/>
  <c r="AH366" i="2" s="1"/>
  <c r="R366" i="2"/>
  <c r="X365" i="2"/>
  <c r="AH365" i="2" s="1"/>
  <c r="S365" i="2"/>
  <c r="R365" i="2"/>
  <c r="W365" i="2" s="1"/>
  <c r="AG365" i="2" s="1"/>
  <c r="BB365" i="2" s="1"/>
  <c r="S364" i="2"/>
  <c r="R364" i="2"/>
  <c r="W364" i="2" s="1"/>
  <c r="AG364" i="2" s="1"/>
  <c r="BB364" i="2" s="1"/>
  <c r="S363" i="2"/>
  <c r="X363" i="2" s="1"/>
  <c r="AH363" i="2" s="1"/>
  <c r="R363" i="2"/>
  <c r="W363" i="2" s="1"/>
  <c r="AG363" i="2" s="1"/>
  <c r="BB363" i="2" s="1"/>
  <c r="W362" i="2"/>
  <c r="AG362" i="2" s="1"/>
  <c r="BB362" i="2" s="1"/>
  <c r="S362" i="2"/>
  <c r="X362" i="2" s="1"/>
  <c r="AH362" i="2" s="1"/>
  <c r="R362" i="2"/>
  <c r="AG361" i="2"/>
  <c r="BB361" i="2" s="1"/>
  <c r="X361" i="2"/>
  <c r="AH361" i="2" s="1"/>
  <c r="W361" i="2"/>
  <c r="S361" i="2"/>
  <c r="R361" i="2"/>
  <c r="X360" i="2"/>
  <c r="AH360" i="2" s="1"/>
  <c r="W360" i="2"/>
  <c r="AG360" i="2" s="1"/>
  <c r="BB360" i="2" s="1"/>
  <c r="S360" i="2"/>
  <c r="R360" i="2"/>
  <c r="X359" i="2"/>
  <c r="AH359" i="2" s="1"/>
  <c r="S359" i="2"/>
  <c r="R359" i="2"/>
  <c r="W359" i="2" s="1"/>
  <c r="AG359" i="2" s="1"/>
  <c r="BB359" i="2" s="1"/>
  <c r="S358" i="2"/>
  <c r="X358" i="2" s="1"/>
  <c r="AH358" i="2" s="1"/>
  <c r="R358" i="2"/>
  <c r="W358" i="2" s="1"/>
  <c r="AG358" i="2" s="1"/>
  <c r="BB358" i="2" s="1"/>
  <c r="S357" i="2"/>
  <c r="R357" i="2"/>
  <c r="W357" i="2" s="1"/>
  <c r="AG357" i="2" s="1"/>
  <c r="BB357" i="2" s="1"/>
  <c r="W356" i="2"/>
  <c r="AG356" i="2" s="1"/>
  <c r="BB356" i="2" s="1"/>
  <c r="S356" i="2"/>
  <c r="X356" i="2" s="1"/>
  <c r="AH356" i="2" s="1"/>
  <c r="R356" i="2"/>
  <c r="X355" i="2"/>
  <c r="AH355" i="2" s="1"/>
  <c r="S355" i="2"/>
  <c r="R355" i="2"/>
  <c r="W355" i="2" s="1"/>
  <c r="AG355" i="2" s="1"/>
  <c r="BB355" i="2" s="1"/>
  <c r="S354" i="2"/>
  <c r="R354" i="2"/>
  <c r="W354" i="2" s="1"/>
  <c r="AG354" i="2" s="1"/>
  <c r="BB354" i="2" s="1"/>
  <c r="S353" i="2"/>
  <c r="X353" i="2" s="1"/>
  <c r="AH353" i="2" s="1"/>
  <c r="R353" i="2"/>
  <c r="W353" i="2" s="1"/>
  <c r="AG353" i="2" s="1"/>
  <c r="BB353" i="2" s="1"/>
  <c r="W352" i="2"/>
  <c r="AG352" i="2" s="1"/>
  <c r="BB352" i="2" s="1"/>
  <c r="S352" i="2"/>
  <c r="X352" i="2" s="1"/>
  <c r="AH352" i="2" s="1"/>
  <c r="R352" i="2"/>
  <c r="X351" i="2"/>
  <c r="AH351" i="2" s="1"/>
  <c r="S351" i="2"/>
  <c r="R351" i="2"/>
  <c r="W351" i="2" s="1"/>
  <c r="AG351" i="2" s="1"/>
  <c r="BB351" i="2" s="1"/>
  <c r="S350" i="2"/>
  <c r="R350" i="2"/>
  <c r="W350" i="2" s="1"/>
  <c r="AG350" i="2" s="1"/>
  <c r="BB350" i="2" s="1"/>
  <c r="S349" i="2"/>
  <c r="X349" i="2" s="1"/>
  <c r="AH349" i="2" s="1"/>
  <c r="R349" i="2"/>
  <c r="W349" i="2" s="1"/>
  <c r="AG349" i="2" s="1"/>
  <c r="BB349" i="2" s="1"/>
  <c r="S348" i="2"/>
  <c r="X348" i="2" s="1"/>
  <c r="AH348" i="2" s="1"/>
  <c r="R348" i="2"/>
  <c r="W348" i="2" s="1"/>
  <c r="AG348" i="2" s="1"/>
  <c r="BB348" i="2" s="1"/>
  <c r="W347" i="2"/>
  <c r="AG347" i="2" s="1"/>
  <c r="BB347" i="2" s="1"/>
  <c r="S347" i="2"/>
  <c r="R347" i="2"/>
  <c r="X346" i="2"/>
  <c r="AH346" i="2" s="1"/>
  <c r="W346" i="2"/>
  <c r="AG346" i="2" s="1"/>
  <c r="BB346" i="2" s="1"/>
  <c r="S346" i="2"/>
  <c r="R346" i="2"/>
  <c r="X345" i="2"/>
  <c r="AH345" i="2" s="1"/>
  <c r="S345" i="2"/>
  <c r="R345" i="2"/>
  <c r="W345" i="2" s="1"/>
  <c r="AG345" i="2" s="1"/>
  <c r="BB345" i="2" s="1"/>
  <c r="S344" i="2"/>
  <c r="X344" i="2" s="1"/>
  <c r="AH344" i="2" s="1"/>
  <c r="R344" i="2"/>
  <c r="W344" i="2" s="1"/>
  <c r="AG344" i="2" s="1"/>
  <c r="BB344" i="2" s="1"/>
  <c r="S343" i="2"/>
  <c r="R343" i="2"/>
  <c r="W343" i="2" s="1"/>
  <c r="AG343" i="2" s="1"/>
  <c r="BB343" i="2" s="1"/>
  <c r="W342" i="2"/>
  <c r="AG342" i="2" s="1"/>
  <c r="BB342" i="2" s="1"/>
  <c r="S342" i="2"/>
  <c r="X342" i="2" s="1"/>
  <c r="AH342" i="2" s="1"/>
  <c r="R342" i="2"/>
  <c r="X341" i="2"/>
  <c r="AH341" i="2" s="1"/>
  <c r="S341" i="2"/>
  <c r="R341" i="2"/>
  <c r="W341" i="2" s="1"/>
  <c r="AG341" i="2" s="1"/>
  <c r="BB341" i="2" s="1"/>
  <c r="S340" i="2"/>
  <c r="X340" i="2" s="1"/>
  <c r="AH340" i="2" s="1"/>
  <c r="R340" i="2"/>
  <c r="W340" i="2" s="1"/>
  <c r="AG340" i="2" s="1"/>
  <c r="BB340" i="2" s="1"/>
  <c r="S339" i="2"/>
  <c r="R339" i="2"/>
  <c r="W339" i="2" s="1"/>
  <c r="AG339" i="2" s="1"/>
  <c r="BB339" i="2" s="1"/>
  <c r="W338" i="2"/>
  <c r="AG338" i="2" s="1"/>
  <c r="BB338" i="2" s="1"/>
  <c r="S338" i="2"/>
  <c r="X338" i="2" s="1"/>
  <c r="AH338" i="2" s="1"/>
  <c r="R338" i="2"/>
  <c r="X337" i="2"/>
  <c r="AH337" i="2" s="1"/>
  <c r="S337" i="2"/>
  <c r="R337" i="2"/>
  <c r="W337" i="2" s="1"/>
  <c r="AG337" i="2" s="1"/>
  <c r="BB337" i="2" s="1"/>
  <c r="S336" i="2"/>
  <c r="R336" i="2"/>
  <c r="W336" i="2" s="1"/>
  <c r="AG336" i="2" s="1"/>
  <c r="BB336" i="2" s="1"/>
  <c r="S335" i="2"/>
  <c r="X335" i="2" s="1"/>
  <c r="AH335" i="2" s="1"/>
  <c r="R335" i="2"/>
  <c r="W335" i="2" s="1"/>
  <c r="AG335" i="2" s="1"/>
  <c r="BB335" i="2" s="1"/>
  <c r="W334" i="2"/>
  <c r="AG334" i="2" s="1"/>
  <c r="BB334" i="2" s="1"/>
  <c r="S334" i="2"/>
  <c r="X334" i="2" s="1"/>
  <c r="AH334" i="2" s="1"/>
  <c r="R334" i="2"/>
  <c r="X333" i="2"/>
  <c r="AH333" i="2" s="1"/>
  <c r="S333" i="2"/>
  <c r="R333" i="2"/>
  <c r="W333" i="2" s="1"/>
  <c r="AG333" i="2" s="1"/>
  <c r="BB333" i="2" s="1"/>
  <c r="X332" i="2"/>
  <c r="AH332" i="2" s="1"/>
  <c r="S332" i="2"/>
  <c r="R332" i="2"/>
  <c r="W332" i="2" s="1"/>
  <c r="AG332" i="2" s="1"/>
  <c r="BB332" i="2" s="1"/>
  <c r="S331" i="2"/>
  <c r="X331" i="2" s="1"/>
  <c r="AH331" i="2" s="1"/>
  <c r="R331" i="2"/>
  <c r="W331" i="2" s="1"/>
  <c r="AG331" i="2" s="1"/>
  <c r="BB331" i="2" s="1"/>
  <c r="S330" i="2"/>
  <c r="X330" i="2" s="1"/>
  <c r="AH330" i="2" s="1"/>
  <c r="R330" i="2"/>
  <c r="W330" i="2" s="1"/>
  <c r="AG330" i="2" s="1"/>
  <c r="BB330" i="2" s="1"/>
  <c r="S329" i="2"/>
  <c r="X329" i="2" s="1"/>
  <c r="AH329" i="2" s="1"/>
  <c r="R329" i="2"/>
  <c r="W329" i="2" s="1"/>
  <c r="AG329" i="2" s="1"/>
  <c r="BB329" i="2" s="1"/>
  <c r="W328" i="2"/>
  <c r="AG328" i="2" s="1"/>
  <c r="BB328" i="2" s="1"/>
  <c r="S328" i="2"/>
  <c r="X328" i="2" s="1"/>
  <c r="AH328" i="2" s="1"/>
  <c r="R328" i="2"/>
  <c r="X327" i="2"/>
  <c r="AH327" i="2" s="1"/>
  <c r="S327" i="2"/>
  <c r="R327" i="2"/>
  <c r="W327" i="2" s="1"/>
  <c r="AG327" i="2" s="1"/>
  <c r="BB327" i="2" s="1"/>
  <c r="S326" i="2"/>
  <c r="X326" i="2" s="1"/>
  <c r="AH326" i="2" s="1"/>
  <c r="R326" i="2"/>
  <c r="W326" i="2" s="1"/>
  <c r="AG326" i="2" s="1"/>
  <c r="BB326" i="2" s="1"/>
  <c r="S325" i="2"/>
  <c r="X325" i="2" s="1"/>
  <c r="AH325" i="2" s="1"/>
  <c r="R325" i="2"/>
  <c r="W325" i="2" s="1"/>
  <c r="AG325" i="2" s="1"/>
  <c r="BB325" i="2" s="1"/>
  <c r="W324" i="2"/>
  <c r="AG324" i="2" s="1"/>
  <c r="BB324" i="2" s="1"/>
  <c r="S324" i="2"/>
  <c r="X324" i="2" s="1"/>
  <c r="AH324" i="2" s="1"/>
  <c r="R324" i="2"/>
  <c r="X323" i="2"/>
  <c r="AH323" i="2" s="1"/>
  <c r="S323" i="2"/>
  <c r="R323" i="2"/>
  <c r="W323" i="2" s="1"/>
  <c r="AG323" i="2" s="1"/>
  <c r="BB323" i="2" s="1"/>
  <c r="S322" i="2"/>
  <c r="X322" i="2" s="1"/>
  <c r="AH322" i="2" s="1"/>
  <c r="R322" i="2"/>
  <c r="W322" i="2" s="1"/>
  <c r="AG322" i="2" s="1"/>
  <c r="BB322" i="2" s="1"/>
  <c r="S321" i="2"/>
  <c r="R321" i="2"/>
  <c r="W321" i="2" s="1"/>
  <c r="AG321" i="2" s="1"/>
  <c r="BB321" i="2" s="1"/>
  <c r="W320" i="2"/>
  <c r="AG320" i="2" s="1"/>
  <c r="BB320" i="2" s="1"/>
  <c r="S320" i="2"/>
  <c r="X320" i="2" s="1"/>
  <c r="AH320" i="2" s="1"/>
  <c r="R320" i="2"/>
  <c r="X319" i="2"/>
  <c r="AH319" i="2" s="1"/>
  <c r="S319" i="2"/>
  <c r="R319" i="2"/>
  <c r="W319" i="2" s="1"/>
  <c r="AG319" i="2" s="1"/>
  <c r="BB319" i="2" s="1"/>
  <c r="S318" i="2"/>
  <c r="R318" i="2"/>
  <c r="W318" i="2" s="1"/>
  <c r="AG318" i="2" s="1"/>
  <c r="BB318" i="2" s="1"/>
  <c r="S317" i="2"/>
  <c r="X317" i="2" s="1"/>
  <c r="AH317" i="2" s="1"/>
  <c r="R317" i="2"/>
  <c r="W317" i="2" s="1"/>
  <c r="AG317" i="2" s="1"/>
  <c r="BB317" i="2" s="1"/>
  <c r="W316" i="2"/>
  <c r="AG316" i="2" s="1"/>
  <c r="BB316" i="2" s="1"/>
  <c r="S316" i="2"/>
  <c r="X316" i="2" s="1"/>
  <c r="AH316" i="2" s="1"/>
  <c r="R316" i="2"/>
  <c r="X315" i="2"/>
  <c r="AH315" i="2" s="1"/>
  <c r="W315" i="2"/>
  <c r="AG315" i="2" s="1"/>
  <c r="BB315" i="2" s="1"/>
  <c r="S315" i="2"/>
  <c r="R315" i="2"/>
  <c r="S314" i="2"/>
  <c r="R314" i="2"/>
  <c r="W314" i="2" s="1"/>
  <c r="AG314" i="2" s="1"/>
  <c r="BB314" i="2" s="1"/>
  <c r="S313" i="2"/>
  <c r="X313" i="2" s="1"/>
  <c r="AH313" i="2" s="1"/>
  <c r="R313" i="2"/>
  <c r="W313" i="2" s="1"/>
  <c r="AG313" i="2" s="1"/>
  <c r="BB313" i="2" s="1"/>
  <c r="X312" i="2"/>
  <c r="AH312" i="2" s="1"/>
  <c r="W312" i="2"/>
  <c r="AG312" i="2" s="1"/>
  <c r="BB312" i="2" s="1"/>
  <c r="S312" i="2"/>
  <c r="R312" i="2"/>
  <c r="X311" i="2"/>
  <c r="AH311" i="2" s="1"/>
  <c r="S311" i="2"/>
  <c r="R311" i="2"/>
  <c r="W311" i="2" s="1"/>
  <c r="AG311" i="2" s="1"/>
  <c r="BB311" i="2" s="1"/>
  <c r="S310" i="2"/>
  <c r="R310" i="2"/>
  <c r="W310" i="2" s="1"/>
  <c r="AG310" i="2" s="1"/>
  <c r="BB310" i="2" s="1"/>
  <c r="W309" i="2"/>
  <c r="AG309" i="2" s="1"/>
  <c r="BB309" i="2" s="1"/>
  <c r="S309" i="2"/>
  <c r="X309" i="2" s="1"/>
  <c r="AH309" i="2" s="1"/>
  <c r="R309" i="2"/>
  <c r="X308" i="2"/>
  <c r="AH308" i="2" s="1"/>
  <c r="S308" i="2"/>
  <c r="R308" i="2"/>
  <c r="W308" i="2" s="1"/>
  <c r="AG308" i="2" s="1"/>
  <c r="BB308" i="2" s="1"/>
  <c r="S307" i="2"/>
  <c r="X307" i="2" s="1"/>
  <c r="AH307" i="2" s="1"/>
  <c r="R307" i="2"/>
  <c r="W307" i="2" s="1"/>
  <c r="AG307" i="2" s="1"/>
  <c r="BB307" i="2" s="1"/>
  <c r="S306" i="2"/>
  <c r="R306" i="2"/>
  <c r="W306" i="2" s="1"/>
  <c r="AG306" i="2" s="1"/>
  <c r="BB306" i="2" s="1"/>
  <c r="W305" i="2"/>
  <c r="AG305" i="2" s="1"/>
  <c r="BB305" i="2" s="1"/>
  <c r="S305" i="2"/>
  <c r="X305" i="2" s="1"/>
  <c r="AH305" i="2" s="1"/>
  <c r="R305" i="2"/>
  <c r="X304" i="2"/>
  <c r="AH304" i="2" s="1"/>
  <c r="S304" i="2"/>
  <c r="R304" i="2"/>
  <c r="W304" i="2" s="1"/>
  <c r="AG304" i="2" s="1"/>
  <c r="BB304" i="2" s="1"/>
  <c r="S303" i="2"/>
  <c r="X303" i="2" s="1"/>
  <c r="AH303" i="2" s="1"/>
  <c r="R303" i="2"/>
  <c r="W303" i="2" s="1"/>
  <c r="AG303" i="2" s="1"/>
  <c r="BB303" i="2" s="1"/>
  <c r="S302" i="2"/>
  <c r="R302" i="2"/>
  <c r="W302" i="2" s="1"/>
  <c r="AG302" i="2" s="1"/>
  <c r="BB302" i="2" s="1"/>
  <c r="W301" i="2"/>
  <c r="AG301" i="2" s="1"/>
  <c r="BB301" i="2" s="1"/>
  <c r="S301" i="2"/>
  <c r="X301" i="2" s="1"/>
  <c r="AH301" i="2" s="1"/>
  <c r="R301" i="2"/>
  <c r="X300" i="2"/>
  <c r="AH300" i="2" s="1"/>
  <c r="S300" i="2"/>
  <c r="R300" i="2"/>
  <c r="W300" i="2" s="1"/>
  <c r="AG300" i="2" s="1"/>
  <c r="BB300" i="2" s="1"/>
  <c r="S299" i="2"/>
  <c r="X299" i="2" s="1"/>
  <c r="AH299" i="2" s="1"/>
  <c r="R299" i="2"/>
  <c r="W299" i="2" s="1"/>
  <c r="AG299" i="2" s="1"/>
  <c r="BB299" i="2" s="1"/>
  <c r="S298" i="2"/>
  <c r="X298" i="2" s="1"/>
  <c r="AH298" i="2" s="1"/>
  <c r="R298" i="2"/>
  <c r="W298" i="2" s="1"/>
  <c r="AG298" i="2" s="1"/>
  <c r="BB298" i="2" s="1"/>
  <c r="W297" i="2"/>
  <c r="AG297" i="2" s="1"/>
  <c r="BB297" i="2" s="1"/>
  <c r="S297" i="2"/>
  <c r="X297" i="2" s="1"/>
  <c r="AH297" i="2" s="1"/>
  <c r="R297" i="2"/>
  <c r="X296" i="2"/>
  <c r="AH296" i="2" s="1"/>
  <c r="S296" i="2"/>
  <c r="R296" i="2"/>
  <c r="W296" i="2" s="1"/>
  <c r="AG296" i="2" s="1"/>
  <c r="BB296" i="2" s="1"/>
  <c r="S295" i="2"/>
  <c r="X295" i="2" s="1"/>
  <c r="AH295" i="2" s="1"/>
  <c r="R295" i="2"/>
  <c r="W295" i="2" s="1"/>
  <c r="AG295" i="2" s="1"/>
  <c r="BB295" i="2" s="1"/>
  <c r="S294" i="2"/>
  <c r="X294" i="2" s="1"/>
  <c r="AH294" i="2" s="1"/>
  <c r="R294" i="2"/>
  <c r="W294" i="2" s="1"/>
  <c r="AG294" i="2" s="1"/>
  <c r="BB294" i="2" s="1"/>
  <c r="W293" i="2"/>
  <c r="AG293" i="2" s="1"/>
  <c r="BB293" i="2" s="1"/>
  <c r="S293" i="2"/>
  <c r="X293" i="2" s="1"/>
  <c r="AH293" i="2" s="1"/>
  <c r="R293" i="2"/>
  <c r="X292" i="2"/>
  <c r="AH292" i="2" s="1"/>
  <c r="S292" i="2"/>
  <c r="R292" i="2"/>
  <c r="W292" i="2" s="1"/>
  <c r="AG292" i="2" s="1"/>
  <c r="BB292" i="2" s="1"/>
  <c r="S291" i="2"/>
  <c r="X291" i="2" s="1"/>
  <c r="AH291" i="2" s="1"/>
  <c r="R291" i="2"/>
  <c r="W291" i="2" s="1"/>
  <c r="AG291" i="2" s="1"/>
  <c r="BB291" i="2" s="1"/>
  <c r="S290" i="2"/>
  <c r="X290" i="2" s="1"/>
  <c r="AH290" i="2" s="1"/>
  <c r="R290" i="2"/>
  <c r="W290" i="2" s="1"/>
  <c r="AG290" i="2" s="1"/>
  <c r="BB290" i="2" s="1"/>
  <c r="W289" i="2"/>
  <c r="AG289" i="2" s="1"/>
  <c r="BB289" i="2" s="1"/>
  <c r="S289" i="2"/>
  <c r="X289" i="2" s="1"/>
  <c r="AH289" i="2" s="1"/>
  <c r="R289" i="2"/>
  <c r="AG288" i="2"/>
  <c r="BB288" i="2" s="1"/>
  <c r="X288" i="2"/>
  <c r="AH288" i="2" s="1"/>
  <c r="W288" i="2"/>
  <c r="S288" i="2"/>
  <c r="R288" i="2"/>
  <c r="X287" i="2"/>
  <c r="AH287" i="2" s="1"/>
  <c r="S287" i="2"/>
  <c r="R287" i="2"/>
  <c r="W287" i="2" s="1"/>
  <c r="AG287" i="2" s="1"/>
  <c r="BB287" i="2" s="1"/>
  <c r="S286" i="2"/>
  <c r="X286" i="2" s="1"/>
  <c r="AH286" i="2" s="1"/>
  <c r="R286" i="2"/>
  <c r="W286" i="2" s="1"/>
  <c r="AG286" i="2" s="1"/>
  <c r="BB286" i="2" s="1"/>
  <c r="W285" i="2"/>
  <c r="AG285" i="2" s="1"/>
  <c r="BB285" i="2" s="1"/>
  <c r="S285" i="2"/>
  <c r="R285" i="2"/>
  <c r="X284" i="2"/>
  <c r="AH284" i="2" s="1"/>
  <c r="W284" i="2"/>
  <c r="AG284" i="2" s="1"/>
  <c r="BB284" i="2" s="1"/>
  <c r="S284" i="2"/>
  <c r="R284" i="2"/>
  <c r="X283" i="2"/>
  <c r="AH283" i="2" s="1"/>
  <c r="S283" i="2"/>
  <c r="R283" i="2"/>
  <c r="W283" i="2" s="1"/>
  <c r="AG283" i="2" s="1"/>
  <c r="BB283" i="2" s="1"/>
  <c r="S282" i="2"/>
  <c r="X282" i="2" s="1"/>
  <c r="AH282" i="2" s="1"/>
  <c r="R282" i="2"/>
  <c r="W282" i="2" s="1"/>
  <c r="AG282" i="2" s="1"/>
  <c r="BB282" i="2" s="1"/>
  <c r="S281" i="2"/>
  <c r="R281" i="2"/>
  <c r="W281" i="2" s="1"/>
  <c r="AG281" i="2" s="1"/>
  <c r="BB281" i="2" s="1"/>
  <c r="W280" i="2"/>
  <c r="AG280" i="2" s="1"/>
  <c r="BB280" i="2" s="1"/>
  <c r="S280" i="2"/>
  <c r="X280" i="2" s="1"/>
  <c r="AH280" i="2" s="1"/>
  <c r="R280" i="2"/>
  <c r="X279" i="2"/>
  <c r="AH279" i="2" s="1"/>
  <c r="S279" i="2"/>
  <c r="R279" i="2"/>
  <c r="W279" i="2" s="1"/>
  <c r="AG279" i="2" s="1"/>
  <c r="BB279" i="2" s="1"/>
  <c r="S278" i="2"/>
  <c r="X278" i="2" s="1"/>
  <c r="AH278" i="2" s="1"/>
  <c r="R278" i="2"/>
  <c r="W278" i="2" s="1"/>
  <c r="AG278" i="2" s="1"/>
  <c r="BB278" i="2" s="1"/>
  <c r="S277" i="2"/>
  <c r="R277" i="2"/>
  <c r="W277" i="2" s="1"/>
  <c r="AG277" i="2" s="1"/>
  <c r="BB277" i="2" s="1"/>
  <c r="W276" i="2"/>
  <c r="AG276" i="2" s="1"/>
  <c r="BB276" i="2" s="1"/>
  <c r="S276" i="2"/>
  <c r="X276" i="2" s="1"/>
  <c r="AH276" i="2" s="1"/>
  <c r="R276" i="2"/>
  <c r="X275" i="2"/>
  <c r="AH275" i="2" s="1"/>
  <c r="S275" i="2"/>
  <c r="R275" i="2"/>
  <c r="W275" i="2" s="1"/>
  <c r="AG275" i="2" s="1"/>
  <c r="BB275" i="2" s="1"/>
  <c r="S274" i="2"/>
  <c r="X274" i="2" s="1"/>
  <c r="AH274" i="2" s="1"/>
  <c r="R274" i="2"/>
  <c r="W274" i="2" s="1"/>
  <c r="AG274" i="2" s="1"/>
  <c r="BB274" i="2" s="1"/>
  <c r="S273" i="2"/>
  <c r="R273" i="2"/>
  <c r="W273" i="2" s="1"/>
  <c r="AG273" i="2" s="1"/>
  <c r="BB273" i="2" s="1"/>
  <c r="W272" i="2"/>
  <c r="AG272" i="2" s="1"/>
  <c r="BB272" i="2" s="1"/>
  <c r="S272" i="2"/>
  <c r="X272" i="2" s="1"/>
  <c r="AH272" i="2" s="1"/>
  <c r="R272" i="2"/>
  <c r="X271" i="2"/>
  <c r="AH271" i="2" s="1"/>
  <c r="S271" i="2"/>
  <c r="R271" i="2"/>
  <c r="W271" i="2" s="1"/>
  <c r="AG271" i="2" s="1"/>
  <c r="BB271" i="2" s="1"/>
  <c r="S270" i="2"/>
  <c r="X270" i="2" s="1"/>
  <c r="AH270" i="2" s="1"/>
  <c r="R270" i="2"/>
  <c r="W270" i="2" s="1"/>
  <c r="AG270" i="2" s="1"/>
  <c r="BB270" i="2" s="1"/>
  <c r="S269" i="2"/>
  <c r="R269" i="2"/>
  <c r="W269" i="2" s="1"/>
  <c r="AG269" i="2" s="1"/>
  <c r="BB269" i="2" s="1"/>
  <c r="W268" i="2"/>
  <c r="AG268" i="2" s="1"/>
  <c r="BB268" i="2" s="1"/>
  <c r="S268" i="2"/>
  <c r="X268" i="2" s="1"/>
  <c r="AH268" i="2" s="1"/>
  <c r="R268" i="2"/>
  <c r="X267" i="2"/>
  <c r="AH267" i="2" s="1"/>
  <c r="S267" i="2"/>
  <c r="R267" i="2"/>
  <c r="W267" i="2" s="1"/>
  <c r="AG267" i="2" s="1"/>
  <c r="BB267" i="2" s="1"/>
  <c r="S266" i="2"/>
  <c r="X266" i="2" s="1"/>
  <c r="AH266" i="2" s="1"/>
  <c r="R266" i="2"/>
  <c r="W266" i="2" s="1"/>
  <c r="AG266" i="2" s="1"/>
  <c r="BB266" i="2" s="1"/>
  <c r="S265" i="2"/>
  <c r="R265" i="2"/>
  <c r="W265" i="2" s="1"/>
  <c r="AG265" i="2" s="1"/>
  <c r="BB265" i="2" s="1"/>
  <c r="W264" i="2"/>
  <c r="AG264" i="2" s="1"/>
  <c r="BB264" i="2" s="1"/>
  <c r="S264" i="2"/>
  <c r="X264" i="2" s="1"/>
  <c r="AH264" i="2" s="1"/>
  <c r="R264" i="2"/>
  <c r="X263" i="2"/>
  <c r="AH263" i="2" s="1"/>
  <c r="S263" i="2"/>
  <c r="R263" i="2"/>
  <c r="W263" i="2" s="1"/>
  <c r="AG263" i="2" s="1"/>
  <c r="BB263" i="2" s="1"/>
  <c r="S262" i="2"/>
  <c r="X262" i="2" s="1"/>
  <c r="AH262" i="2" s="1"/>
  <c r="R262" i="2"/>
  <c r="W262" i="2" s="1"/>
  <c r="AG262" i="2" s="1"/>
  <c r="BB262" i="2" s="1"/>
  <c r="S261" i="2"/>
  <c r="X261" i="2" s="1"/>
  <c r="AH261" i="2" s="1"/>
  <c r="R261" i="2"/>
  <c r="W261" i="2" s="1"/>
  <c r="AG261" i="2" s="1"/>
  <c r="BB261" i="2" s="1"/>
  <c r="W260" i="2"/>
  <c r="AG260" i="2" s="1"/>
  <c r="BB260" i="2" s="1"/>
  <c r="S260" i="2"/>
  <c r="X260" i="2" s="1"/>
  <c r="AH260" i="2" s="1"/>
  <c r="R260" i="2"/>
  <c r="X259" i="2"/>
  <c r="AH259" i="2" s="1"/>
  <c r="S259" i="2"/>
  <c r="R259" i="2"/>
  <c r="W259" i="2" s="1"/>
  <c r="AG259" i="2" s="1"/>
  <c r="BB259" i="2" s="1"/>
  <c r="W258" i="2"/>
  <c r="AG258" i="2" s="1"/>
  <c r="BB258" i="2" s="1"/>
  <c r="S258" i="2"/>
  <c r="X258" i="2" s="1"/>
  <c r="AH258" i="2" s="1"/>
  <c r="R258" i="2"/>
  <c r="X257" i="2"/>
  <c r="AH257" i="2" s="1"/>
  <c r="S257" i="2"/>
  <c r="R257" i="2"/>
  <c r="W257" i="2" s="1"/>
  <c r="AG257" i="2" s="1"/>
  <c r="BB257" i="2" s="1"/>
  <c r="S256" i="2"/>
  <c r="X256" i="2" s="1"/>
  <c r="AH256" i="2" s="1"/>
  <c r="R256" i="2"/>
  <c r="W256" i="2" s="1"/>
  <c r="AG256" i="2" s="1"/>
  <c r="BB256" i="2" s="1"/>
  <c r="S255" i="2"/>
  <c r="X255" i="2" s="1"/>
  <c r="AH255" i="2" s="1"/>
  <c r="R255" i="2"/>
  <c r="W255" i="2" s="1"/>
  <c r="AG255" i="2" s="1"/>
  <c r="BB255" i="2" s="1"/>
  <c r="W254" i="2"/>
  <c r="AG254" i="2" s="1"/>
  <c r="BB254" i="2" s="1"/>
  <c r="S254" i="2"/>
  <c r="X254" i="2" s="1"/>
  <c r="AH254" i="2" s="1"/>
  <c r="R254" i="2"/>
  <c r="X253" i="2"/>
  <c r="AH253" i="2" s="1"/>
  <c r="S253" i="2"/>
  <c r="R253" i="2"/>
  <c r="W253" i="2" s="1"/>
  <c r="AG253" i="2" s="1"/>
  <c r="BB253" i="2" s="1"/>
  <c r="S252" i="2"/>
  <c r="X252" i="2" s="1"/>
  <c r="AH252" i="2" s="1"/>
  <c r="R252" i="2"/>
  <c r="W252" i="2" s="1"/>
  <c r="AG252" i="2" s="1"/>
  <c r="BB252" i="2" s="1"/>
  <c r="S251" i="2"/>
  <c r="X251" i="2" s="1"/>
  <c r="AH251" i="2" s="1"/>
  <c r="R251" i="2"/>
  <c r="W251" i="2" s="1"/>
  <c r="AG251" i="2" s="1"/>
  <c r="BB251" i="2" s="1"/>
  <c r="W250" i="2"/>
  <c r="AG250" i="2" s="1"/>
  <c r="BB250" i="2" s="1"/>
  <c r="S250" i="2"/>
  <c r="X250" i="2" s="1"/>
  <c r="AH250" i="2" s="1"/>
  <c r="R250" i="2"/>
  <c r="X249" i="2"/>
  <c r="AH249" i="2" s="1"/>
  <c r="S249" i="2"/>
  <c r="R249" i="2"/>
  <c r="W249" i="2" s="1"/>
  <c r="AG249" i="2" s="1"/>
  <c r="BB249" i="2" s="1"/>
  <c r="S248" i="2"/>
  <c r="X248" i="2" s="1"/>
  <c r="AH248" i="2" s="1"/>
  <c r="R248" i="2"/>
  <c r="W248" i="2" s="1"/>
  <c r="AG248" i="2" s="1"/>
  <c r="BB248" i="2" s="1"/>
  <c r="S247" i="2"/>
  <c r="X247" i="2" s="1"/>
  <c r="AH247" i="2" s="1"/>
  <c r="R247" i="2"/>
  <c r="W247" i="2" s="1"/>
  <c r="AG247" i="2" s="1"/>
  <c r="BB247" i="2" s="1"/>
  <c r="W246" i="2"/>
  <c r="AG246" i="2" s="1"/>
  <c r="BB246" i="2" s="1"/>
  <c r="S246" i="2"/>
  <c r="X246" i="2" s="1"/>
  <c r="AH246" i="2" s="1"/>
  <c r="R246" i="2"/>
  <c r="X245" i="2"/>
  <c r="AH245" i="2" s="1"/>
  <c r="S245" i="2"/>
  <c r="R245" i="2"/>
  <c r="W245" i="2" s="1"/>
  <c r="AG245" i="2" s="1"/>
  <c r="BB245" i="2" s="1"/>
  <c r="S244" i="2"/>
  <c r="X244" i="2" s="1"/>
  <c r="AH244" i="2" s="1"/>
  <c r="R244" i="2"/>
  <c r="W244" i="2" s="1"/>
  <c r="AG244" i="2" s="1"/>
  <c r="BB244" i="2" s="1"/>
  <c r="S243" i="2"/>
  <c r="X243" i="2" s="1"/>
  <c r="AH243" i="2" s="1"/>
  <c r="R243" i="2"/>
  <c r="W243" i="2" s="1"/>
  <c r="AG243" i="2" s="1"/>
  <c r="BB243" i="2" s="1"/>
  <c r="W242" i="2"/>
  <c r="AG242" i="2" s="1"/>
  <c r="BB242" i="2" s="1"/>
  <c r="S242" i="2"/>
  <c r="X242" i="2" s="1"/>
  <c r="AH242" i="2" s="1"/>
  <c r="R242" i="2"/>
  <c r="X241" i="2"/>
  <c r="AH241" i="2" s="1"/>
  <c r="S241" i="2"/>
  <c r="R241" i="2"/>
  <c r="W241" i="2" s="1"/>
  <c r="AG241" i="2" s="1"/>
  <c r="BB241" i="2" s="1"/>
  <c r="S240" i="2"/>
  <c r="X240" i="2" s="1"/>
  <c r="AH240" i="2" s="1"/>
  <c r="R240" i="2"/>
  <c r="W240" i="2" s="1"/>
  <c r="AG240" i="2" s="1"/>
  <c r="BB240" i="2" s="1"/>
  <c r="S239" i="2"/>
  <c r="X239" i="2" s="1"/>
  <c r="AH239" i="2" s="1"/>
  <c r="R239" i="2"/>
  <c r="W239" i="2" s="1"/>
  <c r="AG239" i="2" s="1"/>
  <c r="BB239" i="2" s="1"/>
  <c r="W238" i="2"/>
  <c r="AG238" i="2" s="1"/>
  <c r="BB238" i="2" s="1"/>
  <c r="S238" i="2"/>
  <c r="X238" i="2" s="1"/>
  <c r="AH238" i="2" s="1"/>
  <c r="R238" i="2"/>
  <c r="X237" i="2"/>
  <c r="AH237" i="2" s="1"/>
  <c r="S237" i="2"/>
  <c r="R237" i="2"/>
  <c r="W237" i="2" s="1"/>
  <c r="AG237" i="2" s="1"/>
  <c r="BB237" i="2" s="1"/>
  <c r="S236" i="2"/>
  <c r="X236" i="2" s="1"/>
  <c r="AH236" i="2" s="1"/>
  <c r="R236" i="2"/>
  <c r="W236" i="2" s="1"/>
  <c r="AG236" i="2" s="1"/>
  <c r="BB236" i="2" s="1"/>
  <c r="S235" i="2"/>
  <c r="R235" i="2"/>
  <c r="W235" i="2" s="1"/>
  <c r="AG235" i="2" s="1"/>
  <c r="BB235" i="2" s="1"/>
  <c r="W234" i="2"/>
  <c r="AG234" i="2" s="1"/>
  <c r="BB234" i="2" s="1"/>
  <c r="S234" i="2"/>
  <c r="X234" i="2" s="1"/>
  <c r="AH234" i="2" s="1"/>
  <c r="R234" i="2"/>
  <c r="X233" i="2"/>
  <c r="AH233" i="2" s="1"/>
  <c r="S233" i="2"/>
  <c r="R233" i="2"/>
  <c r="W233" i="2" s="1"/>
  <c r="AG233" i="2" s="1"/>
  <c r="BB233" i="2" s="1"/>
  <c r="S232" i="2"/>
  <c r="X232" i="2" s="1"/>
  <c r="AH232" i="2" s="1"/>
  <c r="R232" i="2"/>
  <c r="W232" i="2" s="1"/>
  <c r="AG232" i="2" s="1"/>
  <c r="BB232" i="2" s="1"/>
  <c r="S231" i="2"/>
  <c r="R231" i="2"/>
  <c r="W231" i="2" s="1"/>
  <c r="AG231" i="2" s="1"/>
  <c r="BB231" i="2" s="1"/>
  <c r="W230" i="2"/>
  <c r="AG230" i="2" s="1"/>
  <c r="BB230" i="2" s="1"/>
  <c r="S230" i="2"/>
  <c r="X230" i="2" s="1"/>
  <c r="AH230" i="2" s="1"/>
  <c r="R230" i="2"/>
  <c r="X229" i="2"/>
  <c r="AH229" i="2" s="1"/>
  <c r="W229" i="2"/>
  <c r="AG229" i="2" s="1"/>
  <c r="BB229" i="2" s="1"/>
  <c r="S229" i="2"/>
  <c r="R229" i="2"/>
  <c r="X228" i="2"/>
  <c r="AH228" i="2" s="1"/>
  <c r="S228" i="2"/>
  <c r="R228" i="2"/>
  <c r="W228" i="2" s="1"/>
  <c r="AG228" i="2" s="1"/>
  <c r="BB228" i="2" s="1"/>
  <c r="S227" i="2"/>
  <c r="X227" i="2" s="1"/>
  <c r="AH227" i="2" s="1"/>
  <c r="R227" i="2"/>
  <c r="W227" i="2" s="1"/>
  <c r="AG227" i="2" s="1"/>
  <c r="BB227" i="2" s="1"/>
  <c r="W226" i="2"/>
  <c r="AG226" i="2" s="1"/>
  <c r="BB226" i="2" s="1"/>
  <c r="S226" i="2"/>
  <c r="X226" i="2" s="1"/>
  <c r="AH226" i="2" s="1"/>
  <c r="R226" i="2"/>
  <c r="X225" i="2"/>
  <c r="AH225" i="2" s="1"/>
  <c r="S225" i="2"/>
  <c r="R225" i="2"/>
  <c r="W225" i="2" s="1"/>
  <c r="AG225" i="2" s="1"/>
  <c r="BB225" i="2" s="1"/>
  <c r="W224" i="2"/>
  <c r="AG224" i="2" s="1"/>
  <c r="BB224" i="2" s="1"/>
  <c r="S224" i="2"/>
  <c r="X224" i="2" s="1"/>
  <c r="AH224" i="2" s="1"/>
  <c r="R224" i="2"/>
  <c r="X223" i="2"/>
  <c r="AH223" i="2" s="1"/>
  <c r="S223" i="2"/>
  <c r="R223" i="2"/>
  <c r="W223" i="2" s="1"/>
  <c r="AG223" i="2" s="1"/>
  <c r="BB223" i="2" s="1"/>
  <c r="S222" i="2"/>
  <c r="X222" i="2" s="1"/>
  <c r="AH222" i="2" s="1"/>
  <c r="R222" i="2"/>
  <c r="W222" i="2" s="1"/>
  <c r="AG222" i="2" s="1"/>
  <c r="BB222" i="2" s="1"/>
  <c r="S221" i="2"/>
  <c r="X221" i="2" s="1"/>
  <c r="AH221" i="2" s="1"/>
  <c r="R221" i="2"/>
  <c r="W221" i="2" s="1"/>
  <c r="AG221" i="2" s="1"/>
  <c r="BB221" i="2" s="1"/>
  <c r="W220" i="2"/>
  <c r="AG220" i="2" s="1"/>
  <c r="BB220" i="2" s="1"/>
  <c r="S220" i="2"/>
  <c r="X220" i="2" s="1"/>
  <c r="AH220" i="2" s="1"/>
  <c r="R220" i="2"/>
  <c r="X219" i="2"/>
  <c r="AH219" i="2" s="1"/>
  <c r="S219" i="2"/>
  <c r="R219" i="2"/>
  <c r="W219" i="2" s="1"/>
  <c r="AG219" i="2" s="1"/>
  <c r="BB219" i="2" s="1"/>
  <c r="S218" i="2"/>
  <c r="X218" i="2" s="1"/>
  <c r="AH218" i="2" s="1"/>
  <c r="R218" i="2"/>
  <c r="W218" i="2" s="1"/>
  <c r="AG218" i="2" s="1"/>
  <c r="BB218" i="2" s="1"/>
  <c r="S217" i="2"/>
  <c r="X217" i="2" s="1"/>
  <c r="AH217" i="2" s="1"/>
  <c r="R217" i="2"/>
  <c r="W217" i="2" s="1"/>
  <c r="AG217" i="2" s="1"/>
  <c r="BB217" i="2" s="1"/>
  <c r="W216" i="2"/>
  <c r="AG216" i="2" s="1"/>
  <c r="BB216" i="2" s="1"/>
  <c r="S216" i="2"/>
  <c r="X216" i="2" s="1"/>
  <c r="AH216" i="2" s="1"/>
  <c r="R216" i="2"/>
  <c r="X215" i="2"/>
  <c r="AH215" i="2" s="1"/>
  <c r="S215" i="2"/>
  <c r="R215" i="2"/>
  <c r="W215" i="2" s="1"/>
  <c r="AG215" i="2" s="1"/>
  <c r="BB215" i="2" s="1"/>
  <c r="S214" i="2"/>
  <c r="X214" i="2" s="1"/>
  <c r="AH214" i="2" s="1"/>
  <c r="R214" i="2"/>
  <c r="W214" i="2" s="1"/>
  <c r="AG214" i="2" s="1"/>
  <c r="BB214" i="2" s="1"/>
  <c r="S213" i="2"/>
  <c r="X213" i="2" s="1"/>
  <c r="AH213" i="2" s="1"/>
  <c r="R213" i="2"/>
  <c r="W213" i="2" s="1"/>
  <c r="AG213" i="2" s="1"/>
  <c r="BB213" i="2" s="1"/>
  <c r="W212" i="2"/>
  <c r="AG212" i="2" s="1"/>
  <c r="BB212" i="2" s="1"/>
  <c r="S212" i="2"/>
  <c r="X212" i="2" s="1"/>
  <c r="AH212" i="2" s="1"/>
  <c r="R212" i="2"/>
  <c r="X211" i="2"/>
  <c r="AH211" i="2" s="1"/>
  <c r="S211" i="2"/>
  <c r="R211" i="2"/>
  <c r="W211" i="2" s="1"/>
  <c r="AG211" i="2" s="1"/>
  <c r="BB211" i="2" s="1"/>
  <c r="S210" i="2"/>
  <c r="X210" i="2" s="1"/>
  <c r="AH210" i="2" s="1"/>
  <c r="R210" i="2"/>
  <c r="W210" i="2" s="1"/>
  <c r="AG210" i="2" s="1"/>
  <c r="BB210" i="2" s="1"/>
  <c r="S209" i="2"/>
  <c r="X209" i="2" s="1"/>
  <c r="AH209" i="2" s="1"/>
  <c r="R209" i="2"/>
  <c r="W209" i="2" s="1"/>
  <c r="AG209" i="2" s="1"/>
  <c r="BB209" i="2" s="1"/>
  <c r="W208" i="2"/>
  <c r="AG208" i="2" s="1"/>
  <c r="BB208" i="2" s="1"/>
  <c r="S208" i="2"/>
  <c r="X208" i="2" s="1"/>
  <c r="AH208" i="2" s="1"/>
  <c r="R208" i="2"/>
  <c r="X207" i="2"/>
  <c r="AH207" i="2" s="1"/>
  <c r="S207" i="2"/>
  <c r="R207" i="2"/>
  <c r="W207" i="2" s="1"/>
  <c r="AG207" i="2" s="1"/>
  <c r="BB207" i="2" s="1"/>
  <c r="S206" i="2"/>
  <c r="X206" i="2" s="1"/>
  <c r="AH206" i="2" s="1"/>
  <c r="R206" i="2"/>
  <c r="W206" i="2" s="1"/>
  <c r="AG206" i="2" s="1"/>
  <c r="BB206" i="2" s="1"/>
  <c r="S205" i="2"/>
  <c r="R205" i="2"/>
  <c r="W205" i="2" s="1"/>
  <c r="AG205" i="2" s="1"/>
  <c r="BB205" i="2" s="1"/>
  <c r="W204" i="2"/>
  <c r="AG204" i="2" s="1"/>
  <c r="BB204" i="2" s="1"/>
  <c r="S204" i="2"/>
  <c r="X204" i="2" s="1"/>
  <c r="AH204" i="2" s="1"/>
  <c r="R204" i="2"/>
  <c r="X203" i="2"/>
  <c r="AH203" i="2" s="1"/>
  <c r="S203" i="2"/>
  <c r="R203" i="2"/>
  <c r="W203" i="2" s="1"/>
  <c r="AG203" i="2" s="1"/>
  <c r="BB203" i="2" s="1"/>
  <c r="S202" i="2"/>
  <c r="X202" i="2" s="1"/>
  <c r="AH202" i="2" s="1"/>
  <c r="R202" i="2"/>
  <c r="W202" i="2" s="1"/>
  <c r="AG202" i="2" s="1"/>
  <c r="BB202" i="2" s="1"/>
  <c r="S201" i="2"/>
  <c r="R201" i="2"/>
  <c r="W201" i="2" s="1"/>
  <c r="AG201" i="2" s="1"/>
  <c r="BB201" i="2" s="1"/>
  <c r="W200" i="2"/>
  <c r="AG200" i="2" s="1"/>
  <c r="BB200" i="2" s="1"/>
  <c r="S200" i="2"/>
  <c r="X200" i="2" s="1"/>
  <c r="AH200" i="2" s="1"/>
  <c r="R200" i="2"/>
  <c r="X199" i="2"/>
  <c r="AH199" i="2" s="1"/>
  <c r="S199" i="2"/>
  <c r="R199" i="2"/>
  <c r="W199" i="2" s="1"/>
  <c r="AG199" i="2" s="1"/>
  <c r="BB199" i="2" s="1"/>
  <c r="S198" i="2"/>
  <c r="X198" i="2" s="1"/>
  <c r="AH198" i="2" s="1"/>
  <c r="R198" i="2"/>
  <c r="W198" i="2" s="1"/>
  <c r="AG198" i="2" s="1"/>
  <c r="BB198" i="2" s="1"/>
  <c r="S197" i="2"/>
  <c r="R197" i="2"/>
  <c r="W197" i="2" s="1"/>
  <c r="AG197" i="2" s="1"/>
  <c r="BB197" i="2" s="1"/>
  <c r="W196" i="2"/>
  <c r="AG196" i="2" s="1"/>
  <c r="BB196" i="2" s="1"/>
  <c r="S196" i="2"/>
  <c r="X196" i="2" s="1"/>
  <c r="AH196" i="2" s="1"/>
  <c r="R196" i="2"/>
  <c r="X195" i="2"/>
  <c r="AH195" i="2" s="1"/>
  <c r="S195" i="2"/>
  <c r="R195" i="2"/>
  <c r="W195" i="2" s="1"/>
  <c r="AG195" i="2" s="1"/>
  <c r="BB195" i="2" s="1"/>
  <c r="S194" i="2"/>
  <c r="X194" i="2" s="1"/>
  <c r="AH194" i="2" s="1"/>
  <c r="R194" i="2"/>
  <c r="W194" i="2" s="1"/>
  <c r="AG194" i="2" s="1"/>
  <c r="BB194" i="2" s="1"/>
  <c r="S193" i="2"/>
  <c r="R193" i="2"/>
  <c r="W193" i="2" s="1"/>
  <c r="AG193" i="2" s="1"/>
  <c r="BB193" i="2" s="1"/>
  <c r="W192" i="2"/>
  <c r="AG192" i="2" s="1"/>
  <c r="BB192" i="2" s="1"/>
  <c r="S192" i="2"/>
  <c r="X192" i="2" s="1"/>
  <c r="AH192" i="2" s="1"/>
  <c r="R192" i="2"/>
  <c r="X191" i="2"/>
  <c r="AH191" i="2" s="1"/>
  <c r="S191" i="2"/>
  <c r="R191" i="2"/>
  <c r="W191" i="2" s="1"/>
  <c r="AG191" i="2" s="1"/>
  <c r="BB191" i="2" s="1"/>
  <c r="S190" i="2"/>
  <c r="X190" i="2" s="1"/>
  <c r="AH190" i="2" s="1"/>
  <c r="R190" i="2"/>
  <c r="W190" i="2" s="1"/>
  <c r="AG190" i="2" s="1"/>
  <c r="BB190" i="2" s="1"/>
  <c r="S189" i="2"/>
  <c r="R189" i="2"/>
  <c r="W189" i="2" s="1"/>
  <c r="AG189" i="2" s="1"/>
  <c r="BB189" i="2" s="1"/>
  <c r="W188" i="2"/>
  <c r="AG188" i="2" s="1"/>
  <c r="BB188" i="2" s="1"/>
  <c r="S188" i="2"/>
  <c r="X188" i="2" s="1"/>
  <c r="AH188" i="2" s="1"/>
  <c r="R188" i="2"/>
  <c r="X187" i="2"/>
  <c r="AH187" i="2" s="1"/>
  <c r="S187" i="2"/>
  <c r="R187" i="2"/>
  <c r="W187" i="2" s="1"/>
  <c r="AG187" i="2" s="1"/>
  <c r="BB187" i="2" s="1"/>
  <c r="S186" i="2"/>
  <c r="X186" i="2" s="1"/>
  <c r="AH186" i="2" s="1"/>
  <c r="R186" i="2"/>
  <c r="W186" i="2" s="1"/>
  <c r="AG186" i="2" s="1"/>
  <c r="BB186" i="2" s="1"/>
  <c r="S185" i="2"/>
  <c r="R185" i="2"/>
  <c r="W185" i="2" s="1"/>
  <c r="AG185" i="2" s="1"/>
  <c r="BB185" i="2" s="1"/>
  <c r="W184" i="2"/>
  <c r="AG184" i="2" s="1"/>
  <c r="BB184" i="2" s="1"/>
  <c r="S184" i="2"/>
  <c r="X184" i="2" s="1"/>
  <c r="AH184" i="2" s="1"/>
  <c r="R184" i="2"/>
  <c r="X183" i="2"/>
  <c r="AH183" i="2" s="1"/>
  <c r="S183" i="2"/>
  <c r="R183" i="2"/>
  <c r="W183" i="2" s="1"/>
  <c r="AG183" i="2" s="1"/>
  <c r="BB183" i="2" s="1"/>
  <c r="S182" i="2"/>
  <c r="X182" i="2" s="1"/>
  <c r="AH182" i="2" s="1"/>
  <c r="R182" i="2"/>
  <c r="W182" i="2" s="1"/>
  <c r="AG182" i="2" s="1"/>
  <c r="BB182" i="2" s="1"/>
  <c r="S181" i="2"/>
  <c r="R181" i="2"/>
  <c r="W181" i="2" s="1"/>
  <c r="AG181" i="2" s="1"/>
  <c r="BB181" i="2" s="1"/>
  <c r="W180" i="2"/>
  <c r="AG180" i="2" s="1"/>
  <c r="BB180" i="2" s="1"/>
  <c r="S180" i="2"/>
  <c r="X180" i="2" s="1"/>
  <c r="AH180" i="2" s="1"/>
  <c r="R180" i="2"/>
  <c r="X179" i="2"/>
  <c r="AH179" i="2" s="1"/>
  <c r="S179" i="2"/>
  <c r="R179" i="2"/>
  <c r="W179" i="2" s="1"/>
  <c r="AG179" i="2" s="1"/>
  <c r="BB179" i="2" s="1"/>
  <c r="S178" i="2"/>
  <c r="X178" i="2" s="1"/>
  <c r="AH178" i="2" s="1"/>
  <c r="R178" i="2"/>
  <c r="W178" i="2" s="1"/>
  <c r="AG178" i="2" s="1"/>
  <c r="BB178" i="2" s="1"/>
  <c r="S177" i="2"/>
  <c r="R177" i="2"/>
  <c r="W177" i="2" s="1"/>
  <c r="AG177" i="2" s="1"/>
  <c r="BB177" i="2" s="1"/>
  <c r="W176" i="2"/>
  <c r="AG176" i="2" s="1"/>
  <c r="BB176" i="2" s="1"/>
  <c r="S176" i="2"/>
  <c r="X176" i="2" s="1"/>
  <c r="AH176" i="2" s="1"/>
  <c r="R176" i="2"/>
  <c r="X175" i="2"/>
  <c r="AH175" i="2" s="1"/>
  <c r="S175" i="2"/>
  <c r="R175" i="2"/>
  <c r="W175" i="2" s="1"/>
  <c r="AG175" i="2" s="1"/>
  <c r="BB175" i="2" s="1"/>
  <c r="S174" i="2"/>
  <c r="R174" i="2"/>
  <c r="W174" i="2" s="1"/>
  <c r="AG174" i="2" s="1"/>
  <c r="BB174" i="2" s="1"/>
  <c r="S173" i="2"/>
  <c r="X173" i="2" s="1"/>
  <c r="AH173" i="2" s="1"/>
  <c r="R173" i="2"/>
  <c r="W173" i="2" s="1"/>
  <c r="AG173" i="2" s="1"/>
  <c r="BB173" i="2" s="1"/>
  <c r="W172" i="2"/>
  <c r="AG172" i="2" s="1"/>
  <c r="BB172" i="2" s="1"/>
  <c r="S172" i="2"/>
  <c r="X172" i="2" s="1"/>
  <c r="AH172" i="2" s="1"/>
  <c r="R172" i="2"/>
  <c r="X171" i="2"/>
  <c r="AH171" i="2" s="1"/>
  <c r="S171" i="2"/>
  <c r="R171" i="2"/>
  <c r="W171" i="2" s="1"/>
  <c r="AG171" i="2" s="1"/>
  <c r="BB171" i="2" s="1"/>
  <c r="S170" i="2"/>
  <c r="X170" i="2" s="1"/>
  <c r="AH170" i="2" s="1"/>
  <c r="R170" i="2"/>
  <c r="W170" i="2" s="1"/>
  <c r="AG170" i="2" s="1"/>
  <c r="BB170" i="2" s="1"/>
  <c r="X169" i="2"/>
  <c r="AH169" i="2" s="1"/>
  <c r="S169" i="2"/>
  <c r="R169" i="2"/>
  <c r="W169" i="2" s="1"/>
  <c r="AG169" i="2" s="1"/>
  <c r="BB169" i="2" s="1"/>
  <c r="S168" i="2"/>
  <c r="X168" i="2" s="1"/>
  <c r="AH168" i="2" s="1"/>
  <c r="R168" i="2"/>
  <c r="W168" i="2" s="1"/>
  <c r="AG168" i="2" s="1"/>
  <c r="BB168" i="2" s="1"/>
  <c r="S167" i="2"/>
  <c r="X167" i="2" s="1"/>
  <c r="AH167" i="2" s="1"/>
  <c r="R167" i="2"/>
  <c r="W167" i="2" s="1"/>
  <c r="AG167" i="2" s="1"/>
  <c r="BB167" i="2" s="1"/>
  <c r="W166" i="2"/>
  <c r="AG166" i="2" s="1"/>
  <c r="BB166" i="2" s="1"/>
  <c r="S166" i="2"/>
  <c r="X166" i="2" s="1"/>
  <c r="AH166" i="2" s="1"/>
  <c r="R166" i="2"/>
  <c r="X165" i="2"/>
  <c r="AH165" i="2" s="1"/>
  <c r="S165" i="2"/>
  <c r="R165" i="2"/>
  <c r="W165" i="2" s="1"/>
  <c r="AG165" i="2" s="1"/>
  <c r="BB165" i="2" s="1"/>
  <c r="S164" i="2"/>
  <c r="X164" i="2" s="1"/>
  <c r="AH164" i="2" s="1"/>
  <c r="R164" i="2"/>
  <c r="W164" i="2" s="1"/>
  <c r="AG164" i="2" s="1"/>
  <c r="BB164" i="2" s="1"/>
  <c r="S163" i="2"/>
  <c r="X163" i="2" s="1"/>
  <c r="AH163" i="2" s="1"/>
  <c r="R163" i="2"/>
  <c r="W163" i="2" s="1"/>
  <c r="AG163" i="2" s="1"/>
  <c r="BB163" i="2" s="1"/>
  <c r="W162" i="2"/>
  <c r="AG162" i="2" s="1"/>
  <c r="BB162" i="2" s="1"/>
  <c r="S162" i="2"/>
  <c r="X162" i="2" s="1"/>
  <c r="AH162" i="2" s="1"/>
  <c r="R162" i="2"/>
  <c r="X161" i="2"/>
  <c r="AH161" i="2" s="1"/>
  <c r="S161" i="2"/>
  <c r="R161" i="2"/>
  <c r="W161" i="2" s="1"/>
  <c r="AG161" i="2" s="1"/>
  <c r="BB161" i="2" s="1"/>
  <c r="S160" i="2"/>
  <c r="X160" i="2" s="1"/>
  <c r="AH160" i="2" s="1"/>
  <c r="R160" i="2"/>
  <c r="W160" i="2" s="1"/>
  <c r="AG160" i="2" s="1"/>
  <c r="BB160" i="2" s="1"/>
  <c r="S159" i="2"/>
  <c r="X159" i="2" s="1"/>
  <c r="AH159" i="2" s="1"/>
  <c r="R159" i="2"/>
  <c r="W159" i="2" s="1"/>
  <c r="AG159" i="2" s="1"/>
  <c r="BB159" i="2" s="1"/>
  <c r="W158" i="2"/>
  <c r="AG158" i="2" s="1"/>
  <c r="BB158" i="2" s="1"/>
  <c r="S158" i="2"/>
  <c r="X158" i="2" s="1"/>
  <c r="AH158" i="2" s="1"/>
  <c r="R158" i="2"/>
  <c r="X157" i="2"/>
  <c r="AH157" i="2" s="1"/>
  <c r="S157" i="2"/>
  <c r="R157" i="2"/>
  <c r="W157" i="2" s="1"/>
  <c r="AG157" i="2" s="1"/>
  <c r="BB157" i="2" s="1"/>
  <c r="S156" i="2"/>
  <c r="X156" i="2" s="1"/>
  <c r="AH156" i="2" s="1"/>
  <c r="R156" i="2"/>
  <c r="W156" i="2" s="1"/>
  <c r="AG156" i="2" s="1"/>
  <c r="BB156" i="2" s="1"/>
  <c r="S155" i="2"/>
  <c r="X155" i="2" s="1"/>
  <c r="AH155" i="2" s="1"/>
  <c r="R155" i="2"/>
  <c r="W155" i="2" s="1"/>
  <c r="AG155" i="2" s="1"/>
  <c r="BB155" i="2" s="1"/>
  <c r="W154" i="2"/>
  <c r="AG154" i="2" s="1"/>
  <c r="BB154" i="2" s="1"/>
  <c r="S154" i="2"/>
  <c r="X154" i="2" s="1"/>
  <c r="AH154" i="2" s="1"/>
  <c r="R154" i="2"/>
  <c r="X153" i="2"/>
  <c r="AH153" i="2" s="1"/>
  <c r="S153" i="2"/>
  <c r="R153" i="2"/>
  <c r="W153" i="2" s="1"/>
  <c r="AG153" i="2" s="1"/>
  <c r="BB153" i="2" s="1"/>
  <c r="S152" i="2"/>
  <c r="X152" i="2" s="1"/>
  <c r="AH152" i="2" s="1"/>
  <c r="R152" i="2"/>
  <c r="W152" i="2" s="1"/>
  <c r="AG152" i="2" s="1"/>
  <c r="BB152" i="2" s="1"/>
  <c r="S151" i="2"/>
  <c r="X151" i="2" s="1"/>
  <c r="AH151" i="2" s="1"/>
  <c r="R151" i="2"/>
  <c r="W151" i="2" s="1"/>
  <c r="AG151" i="2" s="1"/>
  <c r="BB151" i="2" s="1"/>
  <c r="W150" i="2"/>
  <c r="AG150" i="2" s="1"/>
  <c r="BB150" i="2" s="1"/>
  <c r="S150" i="2"/>
  <c r="X150" i="2" s="1"/>
  <c r="AH150" i="2" s="1"/>
  <c r="R150" i="2"/>
  <c r="X149" i="2"/>
  <c r="AH149" i="2" s="1"/>
  <c r="S149" i="2"/>
  <c r="R149" i="2"/>
  <c r="W149" i="2" s="1"/>
  <c r="AG149" i="2" s="1"/>
  <c r="BB149" i="2" s="1"/>
  <c r="S148" i="2"/>
  <c r="X148" i="2" s="1"/>
  <c r="AH148" i="2" s="1"/>
  <c r="R148" i="2"/>
  <c r="W148" i="2" s="1"/>
  <c r="AG148" i="2" s="1"/>
  <c r="BB148" i="2" s="1"/>
  <c r="S147" i="2"/>
  <c r="X147" i="2" s="1"/>
  <c r="AH147" i="2" s="1"/>
  <c r="R147" i="2"/>
  <c r="W147" i="2" s="1"/>
  <c r="AG147" i="2" s="1"/>
  <c r="BB147" i="2" s="1"/>
  <c r="W146" i="2"/>
  <c r="AG146" i="2" s="1"/>
  <c r="BB146" i="2" s="1"/>
  <c r="S146" i="2"/>
  <c r="X146" i="2" s="1"/>
  <c r="AH146" i="2" s="1"/>
  <c r="R146" i="2"/>
  <c r="X145" i="2"/>
  <c r="AH145" i="2" s="1"/>
  <c r="S145" i="2"/>
  <c r="R145" i="2"/>
  <c r="W145" i="2" s="1"/>
  <c r="AG145" i="2" s="1"/>
  <c r="BB145" i="2" s="1"/>
  <c r="S144" i="2"/>
  <c r="X144" i="2" s="1"/>
  <c r="AH144" i="2" s="1"/>
  <c r="R144" i="2"/>
  <c r="W144" i="2" s="1"/>
  <c r="AG144" i="2" s="1"/>
  <c r="BB144" i="2" s="1"/>
  <c r="S143" i="2"/>
  <c r="X143" i="2" s="1"/>
  <c r="AH143" i="2" s="1"/>
  <c r="R143" i="2"/>
  <c r="W143" i="2" s="1"/>
  <c r="AG143" i="2" s="1"/>
  <c r="BB143" i="2" s="1"/>
  <c r="W142" i="2"/>
  <c r="AG142" i="2" s="1"/>
  <c r="BB142" i="2" s="1"/>
  <c r="S142" i="2"/>
  <c r="X142" i="2" s="1"/>
  <c r="AH142" i="2" s="1"/>
  <c r="R142" i="2"/>
  <c r="X141" i="2"/>
  <c r="AH141" i="2" s="1"/>
  <c r="S141" i="2"/>
  <c r="R141" i="2"/>
  <c r="W141" i="2" s="1"/>
  <c r="AG141" i="2" s="1"/>
  <c r="BB141" i="2" s="1"/>
  <c r="S140" i="2"/>
  <c r="X140" i="2" s="1"/>
  <c r="AH140" i="2" s="1"/>
  <c r="R140" i="2"/>
  <c r="W140" i="2" s="1"/>
  <c r="AG140" i="2" s="1"/>
  <c r="BB140" i="2" s="1"/>
  <c r="S139" i="2"/>
  <c r="X139" i="2" s="1"/>
  <c r="AH139" i="2" s="1"/>
  <c r="R139" i="2"/>
  <c r="W139" i="2" s="1"/>
  <c r="AG139" i="2" s="1"/>
  <c r="BB139" i="2" s="1"/>
  <c r="W138" i="2"/>
  <c r="AG138" i="2" s="1"/>
  <c r="BB138" i="2" s="1"/>
  <c r="S138" i="2"/>
  <c r="X138" i="2" s="1"/>
  <c r="AH138" i="2" s="1"/>
  <c r="R138" i="2"/>
  <c r="X137" i="2"/>
  <c r="AH137" i="2" s="1"/>
  <c r="S137" i="2"/>
  <c r="R137" i="2"/>
  <c r="W137" i="2" s="1"/>
  <c r="AG137" i="2" s="1"/>
  <c r="BB137" i="2" s="1"/>
  <c r="S136" i="2"/>
  <c r="X136" i="2" s="1"/>
  <c r="AH136" i="2" s="1"/>
  <c r="R136" i="2"/>
  <c r="W136" i="2" s="1"/>
  <c r="AG136" i="2" s="1"/>
  <c r="BB136" i="2" s="1"/>
  <c r="S135" i="2"/>
  <c r="X135" i="2" s="1"/>
  <c r="AH135" i="2" s="1"/>
  <c r="R135" i="2"/>
  <c r="W135" i="2" s="1"/>
  <c r="AG135" i="2" s="1"/>
  <c r="BB135" i="2" s="1"/>
  <c r="W134" i="2"/>
  <c r="AG134" i="2" s="1"/>
  <c r="BB134" i="2" s="1"/>
  <c r="S134" i="2"/>
  <c r="X134" i="2" s="1"/>
  <c r="AH134" i="2" s="1"/>
  <c r="R134" i="2"/>
  <c r="X133" i="2"/>
  <c r="AH133" i="2" s="1"/>
  <c r="S133" i="2"/>
  <c r="R133" i="2"/>
  <c r="W133" i="2" s="1"/>
  <c r="AG133" i="2" s="1"/>
  <c r="BB133" i="2" s="1"/>
  <c r="S132" i="2"/>
  <c r="X132" i="2" s="1"/>
  <c r="AH132" i="2" s="1"/>
  <c r="R132" i="2"/>
  <c r="W132" i="2" s="1"/>
  <c r="AG132" i="2" s="1"/>
  <c r="BB132" i="2" s="1"/>
  <c r="S131" i="2"/>
  <c r="X131" i="2" s="1"/>
  <c r="AH131" i="2" s="1"/>
  <c r="R131" i="2"/>
  <c r="W131" i="2" s="1"/>
  <c r="AG131" i="2" s="1"/>
  <c r="BB131" i="2" s="1"/>
  <c r="W130" i="2"/>
  <c r="AG130" i="2" s="1"/>
  <c r="BB130" i="2" s="1"/>
  <c r="S130" i="2"/>
  <c r="X130" i="2" s="1"/>
  <c r="AH130" i="2" s="1"/>
  <c r="R130" i="2"/>
  <c r="X129" i="2"/>
  <c r="AH129" i="2" s="1"/>
  <c r="S129" i="2"/>
  <c r="R129" i="2"/>
  <c r="W129" i="2" s="1"/>
  <c r="AG129" i="2" s="1"/>
  <c r="BB129" i="2" s="1"/>
  <c r="S128" i="2"/>
  <c r="X128" i="2" s="1"/>
  <c r="AH128" i="2" s="1"/>
  <c r="R128" i="2"/>
  <c r="W128" i="2" s="1"/>
  <c r="AG128" i="2" s="1"/>
  <c r="BB128" i="2" s="1"/>
  <c r="S127" i="2"/>
  <c r="R127" i="2"/>
  <c r="W127" i="2" s="1"/>
  <c r="AG127" i="2" s="1"/>
  <c r="BB127" i="2" s="1"/>
  <c r="W126" i="2"/>
  <c r="AG126" i="2" s="1"/>
  <c r="BB126" i="2" s="1"/>
  <c r="S126" i="2"/>
  <c r="X126" i="2" s="1"/>
  <c r="AH126" i="2" s="1"/>
  <c r="R126" i="2"/>
  <c r="X125" i="2"/>
  <c r="AH125" i="2" s="1"/>
  <c r="S125" i="2"/>
  <c r="R125" i="2"/>
  <c r="W125" i="2" s="1"/>
  <c r="AG125" i="2" s="1"/>
  <c r="BB125" i="2" s="1"/>
  <c r="S124" i="2"/>
  <c r="X124" i="2" s="1"/>
  <c r="AH124" i="2" s="1"/>
  <c r="R124" i="2"/>
  <c r="W124" i="2" s="1"/>
  <c r="AG124" i="2" s="1"/>
  <c r="BB124" i="2" s="1"/>
  <c r="S123" i="2"/>
  <c r="R123" i="2"/>
  <c r="W123" i="2" s="1"/>
  <c r="AG123" i="2" s="1"/>
  <c r="BB123" i="2" s="1"/>
  <c r="W122" i="2"/>
  <c r="AG122" i="2" s="1"/>
  <c r="BB122" i="2" s="1"/>
  <c r="S122" i="2"/>
  <c r="X122" i="2" s="1"/>
  <c r="AH122" i="2" s="1"/>
  <c r="R122" i="2"/>
  <c r="X121" i="2"/>
  <c r="AH121" i="2" s="1"/>
  <c r="S121" i="2"/>
  <c r="R121" i="2"/>
  <c r="W121" i="2" s="1"/>
  <c r="AG121" i="2" s="1"/>
  <c r="BB121" i="2" s="1"/>
  <c r="S120" i="2"/>
  <c r="X120" i="2" s="1"/>
  <c r="AH120" i="2" s="1"/>
  <c r="R120" i="2"/>
  <c r="W120" i="2" s="1"/>
  <c r="AG120" i="2" s="1"/>
  <c r="BB120" i="2" s="1"/>
  <c r="S119" i="2"/>
  <c r="R119" i="2"/>
  <c r="W119" i="2" s="1"/>
  <c r="AG119" i="2" s="1"/>
  <c r="BB119" i="2" s="1"/>
  <c r="W118" i="2"/>
  <c r="AG118" i="2" s="1"/>
  <c r="BB118" i="2" s="1"/>
  <c r="S118" i="2"/>
  <c r="X118" i="2" s="1"/>
  <c r="AH118" i="2" s="1"/>
  <c r="R118" i="2"/>
  <c r="X117" i="2"/>
  <c r="AH117" i="2" s="1"/>
  <c r="S117" i="2"/>
  <c r="R117" i="2"/>
  <c r="W117" i="2" s="1"/>
  <c r="AG117" i="2" s="1"/>
  <c r="BB117" i="2" s="1"/>
  <c r="S116" i="2"/>
  <c r="X116" i="2" s="1"/>
  <c r="AH116" i="2" s="1"/>
  <c r="R116" i="2"/>
  <c r="W116" i="2" s="1"/>
  <c r="AG116" i="2" s="1"/>
  <c r="BB116" i="2" s="1"/>
  <c r="S115" i="2"/>
  <c r="R115" i="2"/>
  <c r="W115" i="2" s="1"/>
  <c r="AG115" i="2" s="1"/>
  <c r="BB115" i="2" s="1"/>
  <c r="W114" i="2"/>
  <c r="AG114" i="2" s="1"/>
  <c r="BB114" i="2" s="1"/>
  <c r="S114" i="2"/>
  <c r="X114" i="2" s="1"/>
  <c r="AH114" i="2" s="1"/>
  <c r="R114" i="2"/>
  <c r="AG113" i="2"/>
  <c r="BB113" i="2" s="1"/>
  <c r="X113" i="2"/>
  <c r="AH113" i="2" s="1"/>
  <c r="W113" i="2"/>
  <c r="S113" i="2"/>
  <c r="R113" i="2"/>
  <c r="X112" i="2"/>
  <c r="AH112" i="2" s="1"/>
  <c r="S112" i="2"/>
  <c r="R112" i="2"/>
  <c r="W112" i="2" s="1"/>
  <c r="AG112" i="2" s="1"/>
  <c r="BB112" i="2" s="1"/>
  <c r="S111" i="2"/>
  <c r="X111" i="2" s="1"/>
  <c r="AH111" i="2" s="1"/>
  <c r="R111" i="2"/>
  <c r="W111" i="2" s="1"/>
  <c r="AG111" i="2" s="1"/>
  <c r="BB111" i="2" s="1"/>
  <c r="W110" i="2"/>
  <c r="AG110" i="2" s="1"/>
  <c r="BB110" i="2" s="1"/>
  <c r="S110" i="2"/>
  <c r="X110" i="2" s="1"/>
  <c r="AH110" i="2" s="1"/>
  <c r="R110" i="2"/>
  <c r="X109" i="2"/>
  <c r="AH109" i="2" s="1"/>
  <c r="S109" i="2"/>
  <c r="R109" i="2"/>
  <c r="W109" i="2" s="1"/>
  <c r="AG109" i="2" s="1"/>
  <c r="BB109" i="2" s="1"/>
  <c r="W108" i="2"/>
  <c r="AG108" i="2" s="1"/>
  <c r="BB108" i="2" s="1"/>
  <c r="S108" i="2"/>
  <c r="R108" i="2"/>
  <c r="X107" i="2"/>
  <c r="AH107" i="2" s="1"/>
  <c r="W107" i="2"/>
  <c r="AG107" i="2" s="1"/>
  <c r="BB107" i="2" s="1"/>
  <c r="S107" i="2"/>
  <c r="R107" i="2"/>
  <c r="X106" i="2"/>
  <c r="AH106" i="2" s="1"/>
  <c r="W106" i="2"/>
  <c r="AG106" i="2" s="1"/>
  <c r="BB106" i="2" s="1"/>
  <c r="S106" i="2"/>
  <c r="R106" i="2"/>
  <c r="X105" i="2"/>
  <c r="AH105" i="2" s="1"/>
  <c r="S105" i="2"/>
  <c r="R105" i="2"/>
  <c r="W105" i="2" s="1"/>
  <c r="AG105" i="2" s="1"/>
  <c r="BB105" i="2" s="1"/>
  <c r="W104" i="2"/>
  <c r="AG104" i="2" s="1"/>
  <c r="BB104" i="2" s="1"/>
  <c r="S104" i="2"/>
  <c r="R104" i="2"/>
  <c r="X103" i="2"/>
  <c r="AH103" i="2" s="1"/>
  <c r="W103" i="2"/>
  <c r="AG103" i="2" s="1"/>
  <c r="BB103" i="2" s="1"/>
  <c r="S103" i="2"/>
  <c r="R103" i="2"/>
  <c r="X102" i="2"/>
  <c r="AH102" i="2" s="1"/>
  <c r="W102" i="2"/>
  <c r="AG102" i="2" s="1"/>
  <c r="BB102" i="2" s="1"/>
  <c r="S102" i="2"/>
  <c r="R102" i="2"/>
  <c r="X101" i="2"/>
  <c r="AH101" i="2" s="1"/>
  <c r="S101" i="2"/>
  <c r="R101" i="2"/>
  <c r="W101" i="2" s="1"/>
  <c r="AG101" i="2" s="1"/>
  <c r="BB101" i="2" s="1"/>
  <c r="W100" i="2"/>
  <c r="AG100" i="2" s="1"/>
  <c r="BB100" i="2" s="1"/>
  <c r="S100" i="2"/>
  <c r="R100" i="2"/>
  <c r="X99" i="2"/>
  <c r="AH99" i="2" s="1"/>
  <c r="W99" i="2"/>
  <c r="AG99" i="2" s="1"/>
  <c r="BB99" i="2" s="1"/>
  <c r="S99" i="2"/>
  <c r="R99" i="2"/>
  <c r="X98" i="2"/>
  <c r="AH98" i="2" s="1"/>
  <c r="W98" i="2"/>
  <c r="AG98" i="2" s="1"/>
  <c r="BB98" i="2" s="1"/>
  <c r="S98" i="2"/>
  <c r="R98" i="2"/>
  <c r="X97" i="2"/>
  <c r="AH97" i="2" s="1"/>
  <c r="S97" i="2"/>
  <c r="R97" i="2"/>
  <c r="W97" i="2" s="1"/>
  <c r="AG97" i="2" s="1"/>
  <c r="BB97" i="2" s="1"/>
  <c r="W96" i="2"/>
  <c r="AG96" i="2" s="1"/>
  <c r="BB96" i="2" s="1"/>
  <c r="S96" i="2"/>
  <c r="R96" i="2"/>
  <c r="X95" i="2"/>
  <c r="AH95" i="2" s="1"/>
  <c r="W95" i="2"/>
  <c r="AG95" i="2" s="1"/>
  <c r="BB95" i="2" s="1"/>
  <c r="S95" i="2"/>
  <c r="R95" i="2"/>
  <c r="X94" i="2"/>
  <c r="AH94" i="2" s="1"/>
  <c r="W94" i="2"/>
  <c r="AG94" i="2" s="1"/>
  <c r="BB94" i="2" s="1"/>
  <c r="S94" i="2"/>
  <c r="R94" i="2"/>
  <c r="X93" i="2"/>
  <c r="AH93" i="2" s="1"/>
  <c r="S93" i="2"/>
  <c r="R93" i="2"/>
  <c r="W93" i="2" s="1"/>
  <c r="AG93" i="2" s="1"/>
  <c r="BB93" i="2" s="1"/>
  <c r="W92" i="2"/>
  <c r="AG92" i="2" s="1"/>
  <c r="BB92" i="2" s="1"/>
  <c r="S92" i="2"/>
  <c r="R92" i="2"/>
  <c r="X91" i="2"/>
  <c r="AH91" i="2" s="1"/>
  <c r="W91" i="2"/>
  <c r="AG91" i="2" s="1"/>
  <c r="BB91" i="2" s="1"/>
  <c r="S91" i="2"/>
  <c r="R91" i="2"/>
  <c r="X90" i="2"/>
  <c r="AH90" i="2" s="1"/>
  <c r="W90" i="2"/>
  <c r="AG90" i="2" s="1"/>
  <c r="BB90" i="2" s="1"/>
  <c r="S90" i="2"/>
  <c r="R90" i="2"/>
  <c r="X89" i="2"/>
  <c r="AH89" i="2" s="1"/>
  <c r="S89" i="2"/>
  <c r="R89" i="2"/>
  <c r="W89" i="2" s="1"/>
  <c r="AG89" i="2" s="1"/>
  <c r="BB89" i="2" s="1"/>
  <c r="W88" i="2"/>
  <c r="AG88" i="2" s="1"/>
  <c r="BB88" i="2" s="1"/>
  <c r="S88" i="2"/>
  <c r="R88" i="2"/>
  <c r="X87" i="2"/>
  <c r="AH87" i="2" s="1"/>
  <c r="W87" i="2"/>
  <c r="AG87" i="2" s="1"/>
  <c r="BB87" i="2" s="1"/>
  <c r="S87" i="2"/>
  <c r="R87" i="2"/>
  <c r="X86" i="2"/>
  <c r="AH86" i="2" s="1"/>
  <c r="W86" i="2"/>
  <c r="AG86" i="2" s="1"/>
  <c r="BB86" i="2" s="1"/>
  <c r="S86" i="2"/>
  <c r="R86" i="2"/>
  <c r="X85" i="2"/>
  <c r="AH85" i="2" s="1"/>
  <c r="S85" i="2"/>
  <c r="R85" i="2"/>
  <c r="W85" i="2" s="1"/>
  <c r="AG85" i="2" s="1"/>
  <c r="BB85" i="2" s="1"/>
  <c r="S84" i="2"/>
  <c r="R84" i="2"/>
  <c r="W84" i="2" s="1"/>
  <c r="AG84" i="2" s="1"/>
  <c r="BB84" i="2" s="1"/>
  <c r="W83" i="2"/>
  <c r="AG83" i="2" s="1"/>
  <c r="BB83" i="2" s="1"/>
  <c r="S83" i="2"/>
  <c r="X83" i="2" s="1"/>
  <c r="AH83" i="2" s="1"/>
  <c r="R83" i="2"/>
  <c r="X82" i="2"/>
  <c r="AH82" i="2" s="1"/>
  <c r="W82" i="2"/>
  <c r="AG82" i="2" s="1"/>
  <c r="BB82" i="2" s="1"/>
  <c r="S82" i="2"/>
  <c r="R82" i="2"/>
  <c r="X81" i="2"/>
  <c r="AH81" i="2" s="1"/>
  <c r="S81" i="2"/>
  <c r="R81" i="2"/>
  <c r="W81" i="2" s="1"/>
  <c r="AG81" i="2" s="1"/>
  <c r="BB81" i="2" s="1"/>
  <c r="S80" i="2"/>
  <c r="R80" i="2"/>
  <c r="W80" i="2" s="1"/>
  <c r="AG80" i="2" s="1"/>
  <c r="BB80" i="2" s="1"/>
  <c r="W79" i="2"/>
  <c r="AG79" i="2" s="1"/>
  <c r="BB79" i="2" s="1"/>
  <c r="S79" i="2"/>
  <c r="X79" i="2" s="1"/>
  <c r="AH79" i="2" s="1"/>
  <c r="R79" i="2"/>
  <c r="X78" i="2"/>
  <c r="AH78" i="2" s="1"/>
  <c r="W78" i="2"/>
  <c r="AG78" i="2" s="1"/>
  <c r="BB78" i="2" s="1"/>
  <c r="S78" i="2"/>
  <c r="R78" i="2"/>
  <c r="X77" i="2"/>
  <c r="AH77" i="2" s="1"/>
  <c r="S77" i="2"/>
  <c r="R77" i="2"/>
  <c r="W77" i="2" s="1"/>
  <c r="AG77" i="2" s="1"/>
  <c r="BB77" i="2" s="1"/>
  <c r="S76" i="2"/>
  <c r="R76" i="2"/>
  <c r="W76" i="2" s="1"/>
  <c r="AG76" i="2" s="1"/>
  <c r="BB76" i="2" s="1"/>
  <c r="W75" i="2"/>
  <c r="AG75" i="2" s="1"/>
  <c r="BB75" i="2" s="1"/>
  <c r="S75" i="2"/>
  <c r="X75" i="2" s="1"/>
  <c r="AH75" i="2" s="1"/>
  <c r="R75" i="2"/>
  <c r="X74" i="2"/>
  <c r="AH74" i="2" s="1"/>
  <c r="S74" i="2"/>
  <c r="R74" i="2"/>
  <c r="W74" i="2" s="1"/>
  <c r="AG74" i="2" s="1"/>
  <c r="BB74" i="2" s="1"/>
  <c r="S73" i="2"/>
  <c r="X73" i="2" s="1"/>
  <c r="AH73" i="2" s="1"/>
  <c r="R73" i="2"/>
  <c r="W73" i="2" s="1"/>
  <c r="AG73" i="2" s="1"/>
  <c r="BB73" i="2" s="1"/>
  <c r="S72" i="2"/>
  <c r="R72" i="2"/>
  <c r="W72" i="2" s="1"/>
  <c r="AG72" i="2" s="1"/>
  <c r="BB72" i="2" s="1"/>
  <c r="W71" i="2"/>
  <c r="AG71" i="2" s="1"/>
  <c r="BB71" i="2" s="1"/>
  <c r="S71" i="2"/>
  <c r="X71" i="2" s="1"/>
  <c r="AH71" i="2" s="1"/>
  <c r="R71" i="2"/>
  <c r="X70" i="2"/>
  <c r="AH70" i="2" s="1"/>
  <c r="S70" i="2"/>
  <c r="R70" i="2"/>
  <c r="W70" i="2" s="1"/>
  <c r="AG70" i="2" s="1"/>
  <c r="BB70" i="2" s="1"/>
  <c r="S69" i="2"/>
  <c r="X69" i="2" s="1"/>
  <c r="AH69" i="2" s="1"/>
  <c r="R69" i="2"/>
  <c r="W69" i="2" s="1"/>
  <c r="AG69" i="2" s="1"/>
  <c r="BB69" i="2" s="1"/>
  <c r="S68" i="2"/>
  <c r="R68" i="2"/>
  <c r="W68" i="2" s="1"/>
  <c r="AG68" i="2" s="1"/>
  <c r="BB68" i="2" s="1"/>
  <c r="W67" i="2"/>
  <c r="AG67" i="2" s="1"/>
  <c r="BB67" i="2" s="1"/>
  <c r="S67" i="2"/>
  <c r="X67" i="2" s="1"/>
  <c r="AH67" i="2" s="1"/>
  <c r="R67" i="2"/>
  <c r="X66" i="2"/>
  <c r="AH66" i="2" s="1"/>
  <c r="S66" i="2"/>
  <c r="R66" i="2"/>
  <c r="W66" i="2" s="1"/>
  <c r="AG66" i="2" s="1"/>
  <c r="BB66" i="2" s="1"/>
  <c r="S65" i="2"/>
  <c r="X65" i="2" s="1"/>
  <c r="AH65" i="2" s="1"/>
  <c r="R65" i="2"/>
  <c r="W65" i="2" s="1"/>
  <c r="AG65" i="2" s="1"/>
  <c r="BB65" i="2" s="1"/>
  <c r="S64" i="2"/>
  <c r="R64" i="2"/>
  <c r="W64" i="2" s="1"/>
  <c r="AG64" i="2" s="1"/>
  <c r="BB64" i="2" s="1"/>
  <c r="W63" i="2"/>
  <c r="AG63" i="2" s="1"/>
  <c r="BB63" i="2" s="1"/>
  <c r="S63" i="2"/>
  <c r="X63" i="2" s="1"/>
  <c r="AH63" i="2" s="1"/>
  <c r="R63" i="2"/>
  <c r="X62" i="2"/>
  <c r="AH62" i="2" s="1"/>
  <c r="S62" i="2"/>
  <c r="R62" i="2"/>
  <c r="W62" i="2" s="1"/>
  <c r="AG62" i="2" s="1"/>
  <c r="BB62" i="2" s="1"/>
  <c r="S61" i="2"/>
  <c r="X61" i="2" s="1"/>
  <c r="AH61" i="2" s="1"/>
  <c r="R61" i="2"/>
  <c r="W61" i="2" s="1"/>
  <c r="AG61" i="2" s="1"/>
  <c r="BB61" i="2" s="1"/>
  <c r="S60" i="2"/>
  <c r="R60" i="2"/>
  <c r="W60" i="2" s="1"/>
  <c r="AG60" i="2" s="1"/>
  <c r="BB60" i="2" s="1"/>
  <c r="W59" i="2"/>
  <c r="AG59" i="2" s="1"/>
  <c r="BB59" i="2" s="1"/>
  <c r="S59" i="2"/>
  <c r="X59" i="2" s="1"/>
  <c r="AH59" i="2" s="1"/>
  <c r="R59" i="2"/>
  <c r="X58" i="2"/>
  <c r="AH58" i="2" s="1"/>
  <c r="S58" i="2"/>
  <c r="R58" i="2"/>
  <c r="W58" i="2" s="1"/>
  <c r="AG58" i="2" s="1"/>
  <c r="BB58" i="2" s="1"/>
  <c r="S57" i="2"/>
  <c r="X57" i="2" s="1"/>
  <c r="AH57" i="2" s="1"/>
  <c r="R57" i="2"/>
  <c r="W57" i="2" s="1"/>
  <c r="AG57" i="2" s="1"/>
  <c r="BB57" i="2" s="1"/>
  <c r="S56" i="2"/>
  <c r="R56" i="2"/>
  <c r="W56" i="2" s="1"/>
  <c r="AG56" i="2" s="1"/>
  <c r="BB56" i="2" s="1"/>
  <c r="W55" i="2"/>
  <c r="AG55" i="2" s="1"/>
  <c r="BB55" i="2" s="1"/>
  <c r="S55" i="2"/>
  <c r="X55" i="2" s="1"/>
  <c r="AH55" i="2" s="1"/>
  <c r="R55" i="2"/>
  <c r="X54" i="2"/>
  <c r="AH54" i="2" s="1"/>
  <c r="S54" i="2"/>
  <c r="R54" i="2"/>
  <c r="W54" i="2" s="1"/>
  <c r="AG54" i="2" s="1"/>
  <c r="BB54" i="2" s="1"/>
  <c r="S53" i="2"/>
  <c r="X53" i="2" s="1"/>
  <c r="AH53" i="2" s="1"/>
  <c r="R53" i="2"/>
  <c r="W53" i="2" s="1"/>
  <c r="AG53" i="2" s="1"/>
  <c r="BB53" i="2" s="1"/>
  <c r="S52" i="2"/>
  <c r="X52" i="2" s="1"/>
  <c r="AH52" i="2" s="1"/>
  <c r="R52" i="2"/>
  <c r="W52" i="2" s="1"/>
  <c r="AG52" i="2" s="1"/>
  <c r="BB52" i="2" s="1"/>
  <c r="W51" i="2"/>
  <c r="AG51" i="2" s="1"/>
  <c r="BB51" i="2" s="1"/>
  <c r="S51" i="2"/>
  <c r="X51" i="2" s="1"/>
  <c r="AH51" i="2" s="1"/>
  <c r="R51" i="2"/>
  <c r="X50" i="2"/>
  <c r="AH50" i="2" s="1"/>
  <c r="S50" i="2"/>
  <c r="R50" i="2"/>
  <c r="W50" i="2" s="1"/>
  <c r="AG50" i="2" s="1"/>
  <c r="BB50" i="2" s="1"/>
  <c r="S49" i="2"/>
  <c r="X49" i="2" s="1"/>
  <c r="AH49" i="2" s="1"/>
  <c r="R49" i="2"/>
  <c r="W49" i="2" s="1"/>
  <c r="AG49" i="2" s="1"/>
  <c r="BB49" i="2" s="1"/>
  <c r="S48" i="2"/>
  <c r="X48" i="2" s="1"/>
  <c r="AH48" i="2" s="1"/>
  <c r="R48" i="2"/>
  <c r="W48" i="2" s="1"/>
  <c r="AG48" i="2" s="1"/>
  <c r="BB48" i="2" s="1"/>
  <c r="X47" i="2"/>
  <c r="AH47" i="2" s="1"/>
  <c r="S47" i="2"/>
  <c r="R47" i="2"/>
  <c r="W47" i="2" s="1"/>
  <c r="AG47" i="2" s="1"/>
  <c r="BB47" i="2" s="1"/>
  <c r="S46" i="2"/>
  <c r="X46" i="2" s="1"/>
  <c r="AH46" i="2" s="1"/>
  <c r="R46" i="2"/>
  <c r="W46" i="2" s="1"/>
  <c r="AG46" i="2" s="1"/>
  <c r="BB46" i="2" s="1"/>
  <c r="S45" i="2"/>
  <c r="X45" i="2" s="1"/>
  <c r="AH45" i="2" s="1"/>
  <c r="R45" i="2"/>
  <c r="W45" i="2" s="1"/>
  <c r="AG45" i="2" s="1"/>
  <c r="BB45" i="2" s="1"/>
  <c r="W44" i="2"/>
  <c r="AG44" i="2" s="1"/>
  <c r="BB44" i="2" s="1"/>
  <c r="S44" i="2"/>
  <c r="X44" i="2" s="1"/>
  <c r="AH44" i="2" s="1"/>
  <c r="R44" i="2"/>
  <c r="X43" i="2"/>
  <c r="AH43" i="2" s="1"/>
  <c r="S43" i="2"/>
  <c r="R43" i="2"/>
  <c r="W43" i="2" s="1"/>
  <c r="AG43" i="2" s="1"/>
  <c r="BB43" i="2" s="1"/>
  <c r="S42" i="2"/>
  <c r="X42" i="2" s="1"/>
  <c r="AH42" i="2" s="1"/>
  <c r="R42" i="2"/>
  <c r="W42" i="2" s="1"/>
  <c r="AG42" i="2" s="1"/>
  <c r="BB42" i="2" s="1"/>
  <c r="S41" i="2"/>
  <c r="X41" i="2" s="1"/>
  <c r="AH41" i="2" s="1"/>
  <c r="R41" i="2"/>
  <c r="W41" i="2" s="1"/>
  <c r="AG41" i="2" s="1"/>
  <c r="BB41" i="2" s="1"/>
  <c r="W40" i="2"/>
  <c r="AG40" i="2" s="1"/>
  <c r="BB40" i="2" s="1"/>
  <c r="S40" i="2"/>
  <c r="X40" i="2" s="1"/>
  <c r="AH40" i="2" s="1"/>
  <c r="R40" i="2"/>
  <c r="X39" i="2"/>
  <c r="AH39" i="2" s="1"/>
  <c r="S39" i="2"/>
  <c r="R39" i="2"/>
  <c r="W39" i="2" s="1"/>
  <c r="AG39" i="2" s="1"/>
  <c r="BB39" i="2" s="1"/>
  <c r="S38" i="2"/>
  <c r="X38" i="2" s="1"/>
  <c r="AH38" i="2" s="1"/>
  <c r="R38" i="2"/>
  <c r="W38" i="2" s="1"/>
  <c r="AG38" i="2" s="1"/>
  <c r="BB38" i="2" s="1"/>
  <c r="S37" i="2"/>
  <c r="X37" i="2" s="1"/>
  <c r="AH37" i="2" s="1"/>
  <c r="R37" i="2"/>
  <c r="W37" i="2" s="1"/>
  <c r="AG37" i="2" s="1"/>
  <c r="BB37" i="2" s="1"/>
  <c r="W36" i="2"/>
  <c r="AG36" i="2" s="1"/>
  <c r="BB36" i="2" s="1"/>
  <c r="S36" i="2"/>
  <c r="X36" i="2" s="1"/>
  <c r="AH36" i="2" s="1"/>
  <c r="R36" i="2"/>
  <c r="X35" i="2"/>
  <c r="AH35" i="2" s="1"/>
  <c r="S35" i="2"/>
  <c r="R35" i="2"/>
  <c r="W35" i="2" s="1"/>
  <c r="AG35" i="2" s="1"/>
  <c r="BB35" i="2" s="1"/>
  <c r="S34" i="2"/>
  <c r="X34" i="2" s="1"/>
  <c r="AH34" i="2" s="1"/>
  <c r="R34" i="2"/>
  <c r="W34" i="2" s="1"/>
  <c r="AG34" i="2" s="1"/>
  <c r="BB34" i="2" s="1"/>
  <c r="W33" i="2"/>
  <c r="AG33" i="2" s="1"/>
  <c r="BB33" i="2" s="1"/>
  <c r="S33" i="2"/>
  <c r="X33" i="2" s="1"/>
  <c r="AH33" i="2" s="1"/>
  <c r="R33" i="2"/>
  <c r="X32" i="2"/>
  <c r="AH32" i="2" s="1"/>
  <c r="W32" i="2"/>
  <c r="AG32" i="2" s="1"/>
  <c r="BB32" i="2" s="1"/>
  <c r="S32" i="2"/>
  <c r="R32" i="2"/>
  <c r="X31" i="2"/>
  <c r="AH31" i="2" s="1"/>
  <c r="S31" i="2"/>
  <c r="R31" i="2"/>
  <c r="W31" i="2" s="1"/>
  <c r="AG31" i="2" s="1"/>
  <c r="BB31" i="2" s="1"/>
  <c r="S30" i="2"/>
  <c r="X30" i="2" s="1"/>
  <c r="AH30" i="2" s="1"/>
  <c r="R30" i="2"/>
  <c r="W30" i="2" s="1"/>
  <c r="AG30" i="2" s="1"/>
  <c r="BB30" i="2" s="1"/>
  <c r="W29" i="2"/>
  <c r="AG29" i="2" s="1"/>
  <c r="BB29" i="2" s="1"/>
  <c r="S29" i="2"/>
  <c r="X29" i="2" s="1"/>
  <c r="AH29" i="2" s="1"/>
  <c r="R29" i="2"/>
  <c r="X28" i="2"/>
  <c r="AH28" i="2" s="1"/>
  <c r="W28" i="2"/>
  <c r="AG28" i="2" s="1"/>
  <c r="BB28" i="2" s="1"/>
  <c r="S28" i="2"/>
  <c r="R28" i="2"/>
  <c r="S27" i="2"/>
  <c r="X27" i="2" s="1"/>
  <c r="AH27" i="2" s="1"/>
  <c r="R27" i="2"/>
  <c r="W27" i="2" s="1"/>
  <c r="AG27" i="2" s="1"/>
  <c r="BB27" i="2" s="1"/>
  <c r="AH26" i="2"/>
  <c r="X26" i="2"/>
  <c r="W26" i="2"/>
  <c r="AG26" i="2" s="1"/>
  <c r="BB26" i="2" s="1"/>
  <c r="S26" i="2"/>
  <c r="R26" i="2"/>
  <c r="S25" i="2"/>
  <c r="X25" i="2" s="1"/>
  <c r="AH25" i="2" s="1"/>
  <c r="R25" i="2"/>
  <c r="W25" i="2" s="1"/>
  <c r="AG25" i="2" s="1"/>
  <c r="BB25" i="2" s="1"/>
  <c r="AH24" i="2"/>
  <c r="X24" i="2"/>
  <c r="W24" i="2"/>
  <c r="AG24" i="2" s="1"/>
  <c r="BB24" i="2" s="1"/>
  <c r="S24" i="2"/>
  <c r="R24" i="2"/>
  <c r="S23" i="2"/>
  <c r="X23" i="2" s="1"/>
  <c r="AH23" i="2" s="1"/>
  <c r="R23" i="2"/>
  <c r="W23" i="2" s="1"/>
  <c r="AG23" i="2" s="1"/>
  <c r="BB23" i="2" s="1"/>
  <c r="AH22" i="2"/>
  <c r="X22" i="2"/>
  <c r="W22" i="2"/>
  <c r="AG22" i="2" s="1"/>
  <c r="BB22" i="2" s="1"/>
  <c r="S22" i="2"/>
  <c r="R22" i="2"/>
  <c r="S21" i="2"/>
  <c r="X21" i="2" s="1"/>
  <c r="AH21" i="2" s="1"/>
  <c r="R21" i="2"/>
  <c r="W21" i="2" s="1"/>
  <c r="AG21" i="2" s="1"/>
  <c r="BB21" i="2" s="1"/>
  <c r="S20" i="2"/>
  <c r="X20" i="2" s="1"/>
  <c r="AH20" i="2" s="1"/>
  <c r="R20" i="2"/>
  <c r="W20" i="2" s="1"/>
  <c r="AG20" i="2" s="1"/>
  <c r="BB20" i="2" s="1"/>
  <c r="W19" i="2"/>
  <c r="AG19" i="2" s="1"/>
  <c r="BB19" i="2" s="1"/>
  <c r="S19" i="2"/>
  <c r="X19" i="2" s="1"/>
  <c r="AH19" i="2" s="1"/>
  <c r="R19" i="2"/>
  <c r="X18" i="2"/>
  <c r="AH18" i="2" s="1"/>
  <c r="S18" i="2"/>
  <c r="R18" i="2"/>
  <c r="W18" i="2" s="1"/>
  <c r="AG18" i="2" s="1"/>
  <c r="BB18" i="2" s="1"/>
  <c r="X17" i="2"/>
  <c r="AH17" i="2" s="1"/>
  <c r="S17" i="2"/>
  <c r="R17" i="2"/>
  <c r="W17" i="2" s="1"/>
  <c r="AG17" i="2" s="1"/>
  <c r="BB17" i="2" s="1"/>
  <c r="X16" i="2"/>
  <c r="AH16" i="2" s="1"/>
  <c r="S16" i="2"/>
  <c r="R16" i="2"/>
  <c r="W16" i="2" s="1"/>
  <c r="AG16" i="2" s="1"/>
  <c r="BB16" i="2" s="1"/>
  <c r="X15" i="2"/>
  <c r="AH15" i="2" s="1"/>
  <c r="S15" i="2"/>
  <c r="R15" i="2"/>
  <c r="W15" i="2" s="1"/>
  <c r="AG15" i="2" s="1"/>
  <c r="BB15" i="2" s="1"/>
  <c r="X14" i="2"/>
  <c r="AH14" i="2" s="1"/>
  <c r="S14" i="2"/>
  <c r="R14" i="2"/>
  <c r="W14" i="2" s="1"/>
  <c r="AG14" i="2" s="1"/>
  <c r="BB14" i="2" s="1"/>
  <c r="S13" i="2"/>
  <c r="X13" i="2" s="1"/>
  <c r="AH13" i="2" s="1"/>
  <c r="R13" i="2"/>
  <c r="W13" i="2" s="1"/>
  <c r="AG13" i="2" s="1"/>
  <c r="BB13" i="2" s="1"/>
  <c r="X12" i="2"/>
  <c r="AH12" i="2" s="1"/>
  <c r="S12" i="2"/>
  <c r="R12" i="2"/>
  <c r="W12" i="2" s="1"/>
  <c r="AG12" i="2" s="1"/>
  <c r="BB12" i="2" s="1"/>
  <c r="S11" i="2"/>
  <c r="X11" i="2" s="1"/>
  <c r="AH11" i="2" s="1"/>
  <c r="R11" i="2"/>
  <c r="W11" i="2" s="1"/>
  <c r="AG11" i="2" s="1"/>
  <c r="BB11" i="2" s="1"/>
  <c r="S10" i="2"/>
  <c r="X10" i="2" s="1"/>
  <c r="AH10" i="2" s="1"/>
  <c r="R10" i="2"/>
  <c r="W10" i="2" s="1"/>
  <c r="AG10" i="2" s="1"/>
  <c r="BB10" i="2" s="1"/>
  <c r="X9" i="2"/>
  <c r="AH9" i="2" s="1"/>
  <c r="S9" i="2"/>
  <c r="R9" i="2"/>
  <c r="W9" i="2" s="1"/>
  <c r="AG9" i="2" s="1"/>
  <c r="BB9" i="2" s="1"/>
  <c r="W8" i="2"/>
  <c r="AG8" i="2" s="1"/>
  <c r="BB8" i="2" s="1"/>
  <c r="S8" i="2"/>
  <c r="X8" i="2" s="1"/>
  <c r="AH8" i="2" s="1"/>
  <c r="R8" i="2"/>
  <c r="W7" i="2"/>
  <c r="AG7" i="2" s="1"/>
  <c r="BB7" i="2" s="1"/>
  <c r="S7" i="2"/>
  <c r="X7" i="2" s="1"/>
  <c r="AH7" i="2" s="1"/>
  <c r="R7" i="2"/>
  <c r="BT6" i="2"/>
  <c r="S6" i="2"/>
  <c r="R6" i="2"/>
  <c r="W6" i="2" s="1"/>
  <c r="AG6" i="2" s="1"/>
  <c r="BB6" i="2" s="1"/>
  <c r="H6" i="2"/>
  <c r="BT5" i="2"/>
  <c r="AH5" i="2"/>
  <c r="X5" i="2"/>
  <c r="W5" i="2"/>
  <c r="AG5" i="2" s="1"/>
  <c r="BB5" i="2" s="1"/>
  <c r="S5" i="2"/>
  <c r="R5" i="2"/>
  <c r="H5" i="2"/>
  <c r="BT4" i="2"/>
  <c r="X4" i="2"/>
  <c r="AH4" i="2" s="1"/>
  <c r="S4" i="2"/>
  <c r="R4" i="2"/>
  <c r="W4" i="2" s="1"/>
  <c r="AG4" i="2" s="1"/>
  <c r="BB4" i="2" s="1"/>
  <c r="I4" i="2"/>
  <c r="H7" i="2" s="1"/>
  <c r="H4" i="2"/>
  <c r="H21" i="2" s="1"/>
  <c r="BC10" i="3" l="1"/>
  <c r="AN10" i="3"/>
  <c r="AW10" i="3" s="1"/>
  <c r="BC13" i="3"/>
  <c r="BC20" i="3"/>
  <c r="AN23" i="3"/>
  <c r="AZ23" i="3" s="1"/>
  <c r="BC23" i="3"/>
  <c r="AO73" i="3"/>
  <c r="AQ89" i="3"/>
  <c r="AV89" i="3"/>
  <c r="AN89" i="3"/>
  <c r="AW89" i="3" s="1"/>
  <c r="BC89" i="3"/>
  <c r="AZ89" i="3"/>
  <c r="AR89" i="3"/>
  <c r="CC8" i="3"/>
  <c r="BY8" i="3"/>
  <c r="BU8" i="3"/>
  <c r="BZ8" i="3"/>
  <c r="CB8" i="3"/>
  <c r="BX8" i="3"/>
  <c r="BT8" i="3"/>
  <c r="CD8" i="3"/>
  <c r="CE8" i="3"/>
  <c r="CA8" i="3"/>
  <c r="BW8" i="3"/>
  <c r="BV8" i="3"/>
  <c r="AN7" i="3"/>
  <c r="AZ7" i="3" s="1"/>
  <c r="BC7" i="3"/>
  <c r="BC8" i="3"/>
  <c r="BC9" i="3"/>
  <c r="AP9" i="3"/>
  <c r="AU9" i="3"/>
  <c r="AO9" i="3"/>
  <c r="AY9" i="3"/>
  <c r="AV9" i="3"/>
  <c r="AR9" i="3"/>
  <c r="AN9" i="3"/>
  <c r="AX9" i="3" s="1"/>
  <c r="BC18" i="3"/>
  <c r="CD7" i="3"/>
  <c r="BZ7" i="3"/>
  <c r="BV7" i="3"/>
  <c r="CA7" i="3"/>
  <c r="CC7" i="3"/>
  <c r="BY7" i="3"/>
  <c r="BU7" i="3"/>
  <c r="CB7" i="3"/>
  <c r="BX7" i="3"/>
  <c r="BT7" i="3"/>
  <c r="CE7" i="3"/>
  <c r="BW7" i="3"/>
  <c r="AN14" i="3"/>
  <c r="AW14" i="3" s="1"/>
  <c r="BC14" i="3"/>
  <c r="BC27" i="3"/>
  <c r="AY70" i="3"/>
  <c r="BC22" i="3"/>
  <c r="I13" i="3"/>
  <c r="M6" i="3" s="1"/>
  <c r="H20" i="3"/>
  <c r="H18" i="3"/>
  <c r="I17" i="3"/>
  <c r="M10" i="3" s="1"/>
  <c r="BC11" i="3"/>
  <c r="AP11" i="3"/>
  <c r="AO11" i="3"/>
  <c r="AR11" i="3"/>
  <c r="AN11" i="3"/>
  <c r="AQ11" i="3" s="1"/>
  <c r="AZ15" i="3"/>
  <c r="AV15" i="3"/>
  <c r="AN15" i="3"/>
  <c r="AR15" i="3" s="1"/>
  <c r="AW15" i="3"/>
  <c r="AY15" i="3"/>
  <c r="AQ15" i="3"/>
  <c r="AS15" i="3"/>
  <c r="BC15" i="3"/>
  <c r="AT15" i="3"/>
  <c r="AP15" i="3"/>
  <c r="AO15" i="3"/>
  <c r="BC17" i="3"/>
  <c r="CE12" i="3"/>
  <c r="CE16" i="3"/>
  <c r="BW22" i="3"/>
  <c r="CE22" i="3"/>
  <c r="BC24" i="3"/>
  <c r="CD30" i="3"/>
  <c r="BZ30" i="3"/>
  <c r="BV30" i="3"/>
  <c r="CB30" i="3"/>
  <c r="BX30" i="3"/>
  <c r="BT30" i="3"/>
  <c r="CD32" i="3"/>
  <c r="BZ32" i="3"/>
  <c r="BV32" i="3"/>
  <c r="CB32" i="3"/>
  <c r="BX32" i="3"/>
  <c r="BT32" i="3"/>
  <c r="AN53" i="3"/>
  <c r="AZ53" i="3" s="1"/>
  <c r="BC53" i="3"/>
  <c r="AZ61" i="3"/>
  <c r="AV61" i="3"/>
  <c r="AN61" i="3"/>
  <c r="AR61" i="3" s="1"/>
  <c r="AY61" i="3"/>
  <c r="AU61" i="3"/>
  <c r="BC61" i="3"/>
  <c r="AX61" i="3"/>
  <c r="AT61" i="3"/>
  <c r="BC64" i="3"/>
  <c r="AX64" i="3"/>
  <c r="AS64" i="3"/>
  <c r="AR64" i="3"/>
  <c r="AN64" i="3"/>
  <c r="AT64" i="3" s="1"/>
  <c r="BC72" i="3"/>
  <c r="AX72" i="3"/>
  <c r="AP72" i="3"/>
  <c r="AW72" i="3"/>
  <c r="AS72" i="3"/>
  <c r="AZ72" i="3"/>
  <c r="AV72" i="3"/>
  <c r="AR72" i="3"/>
  <c r="AN72" i="3"/>
  <c r="AT72" i="3" s="1"/>
  <c r="AQ72" i="3"/>
  <c r="AZ77" i="3"/>
  <c r="AV77" i="3"/>
  <c r="AN77" i="3"/>
  <c r="AR77" i="3" s="1"/>
  <c r="AY77" i="3"/>
  <c r="AU77" i="3"/>
  <c r="BC77" i="3"/>
  <c r="AX77" i="3"/>
  <c r="AT77" i="3"/>
  <c r="AS77" i="3"/>
  <c r="BC80" i="3"/>
  <c r="AX80" i="3"/>
  <c r="AP80" i="3"/>
  <c r="AW80" i="3"/>
  <c r="AS80" i="3"/>
  <c r="AZ80" i="3"/>
  <c r="AV80" i="3"/>
  <c r="AR80" i="3"/>
  <c r="AN80" i="3"/>
  <c r="AT80" i="3" s="1"/>
  <c r="AQ80" i="3"/>
  <c r="BC173" i="3"/>
  <c r="AP173" i="3"/>
  <c r="AW173" i="3"/>
  <c r="AZ173" i="3"/>
  <c r="AV173" i="3"/>
  <c r="AN173" i="3"/>
  <c r="AX173" i="3" s="1"/>
  <c r="AY173" i="3"/>
  <c r="AU173" i="3"/>
  <c r="BC181" i="3"/>
  <c r="AX181" i="3"/>
  <c r="AS181" i="3"/>
  <c r="AR181" i="3"/>
  <c r="AN181" i="3"/>
  <c r="AT181" i="3" s="1"/>
  <c r="AQ181" i="3"/>
  <c r="BC189" i="3"/>
  <c r="AP189" i="3"/>
  <c r="AW189" i="3"/>
  <c r="AZ189" i="3"/>
  <c r="AV189" i="3"/>
  <c r="AN189" i="3"/>
  <c r="AX189" i="3" s="1"/>
  <c r="AY189" i="3"/>
  <c r="AU189" i="3"/>
  <c r="BC197" i="3"/>
  <c r="AX197" i="3"/>
  <c r="AS197" i="3"/>
  <c r="AR197" i="3"/>
  <c r="AN197" i="3"/>
  <c r="AT197" i="3" s="1"/>
  <c r="AQ197" i="3"/>
  <c r="BC205" i="3"/>
  <c r="AP205" i="3"/>
  <c r="AW205" i="3"/>
  <c r="AZ205" i="3"/>
  <c r="AV205" i="3"/>
  <c r="AN205" i="3"/>
  <c r="AX205" i="3" s="1"/>
  <c r="AY205" i="3"/>
  <c r="AU205" i="3"/>
  <c r="BC213" i="3"/>
  <c r="AX213" i="3"/>
  <c r="AS213" i="3"/>
  <c r="AR213" i="3"/>
  <c r="AN213" i="3"/>
  <c r="AT213" i="3" s="1"/>
  <c r="AQ213" i="3"/>
  <c r="BC221" i="3"/>
  <c r="AP221" i="3"/>
  <c r="AW221" i="3"/>
  <c r="AZ221" i="3"/>
  <c r="AV221" i="3"/>
  <c r="AN221" i="3"/>
  <c r="AX221" i="3" s="1"/>
  <c r="AY221" i="3"/>
  <c r="AU221" i="3"/>
  <c r="BC323" i="3"/>
  <c r="AX323" i="3"/>
  <c r="AS323" i="3"/>
  <c r="AR323" i="3"/>
  <c r="AN323" i="3"/>
  <c r="AT323" i="3" s="1"/>
  <c r="AQ323" i="3"/>
  <c r="X6" i="3"/>
  <c r="AH6" i="3" s="1"/>
  <c r="AN8" i="3" s="1"/>
  <c r="BW9" i="3"/>
  <c r="CA9" i="3"/>
  <c r="CE9" i="3"/>
  <c r="BW10" i="3"/>
  <c r="CA10" i="3"/>
  <c r="CE10" i="3"/>
  <c r="BW11" i="3"/>
  <c r="CA11" i="3"/>
  <c r="CE11" i="3"/>
  <c r="I12" i="3"/>
  <c r="M5" i="3" s="1"/>
  <c r="X12" i="3"/>
  <c r="AH12" i="3" s="1"/>
  <c r="AN13" i="3" s="1"/>
  <c r="BT12" i="3"/>
  <c r="BX12" i="3"/>
  <c r="CB12" i="3"/>
  <c r="BU13" i="3"/>
  <c r="BY13" i="3"/>
  <c r="CC13" i="3"/>
  <c r="BV14" i="3"/>
  <c r="BZ14" i="3"/>
  <c r="CD14" i="3"/>
  <c r="H15" i="3"/>
  <c r="BU15" i="3"/>
  <c r="BY15" i="3"/>
  <c r="CC15" i="3"/>
  <c r="X16" i="3"/>
  <c r="AH16" i="3" s="1"/>
  <c r="BT16" i="3"/>
  <c r="BX16" i="3"/>
  <c r="CB16" i="3"/>
  <c r="BW17" i="3"/>
  <c r="CA17" i="3"/>
  <c r="CE17" i="3"/>
  <c r="I18" i="3"/>
  <c r="M11" i="3" s="1"/>
  <c r="BU18" i="3"/>
  <c r="BY18" i="3"/>
  <c r="CC18" i="3"/>
  <c r="X19" i="3"/>
  <c r="AH19" i="3" s="1"/>
  <c r="BW19" i="3"/>
  <c r="CA19" i="3"/>
  <c r="CE19" i="3"/>
  <c r="I20" i="3"/>
  <c r="M13" i="3" s="1"/>
  <c r="BU20" i="3"/>
  <c r="BY20" i="3"/>
  <c r="CC20" i="3"/>
  <c r="X21" i="3"/>
  <c r="AH21" i="3" s="1"/>
  <c r="AN22" i="3" s="1"/>
  <c r="BW21" i="3"/>
  <c r="CA21" i="3"/>
  <c r="CE21" i="3"/>
  <c r="BT22" i="3"/>
  <c r="BX22" i="3"/>
  <c r="CB22" i="3"/>
  <c r="BU23" i="3"/>
  <c r="BY23" i="3"/>
  <c r="CC23" i="3"/>
  <c r="AQ24" i="3"/>
  <c r="BV24" i="3"/>
  <c r="BZ24" i="3"/>
  <c r="CD24" i="3"/>
  <c r="X25" i="3"/>
  <c r="AH25" i="3" s="1"/>
  <c r="BW25" i="3"/>
  <c r="X28" i="3"/>
  <c r="AH28" i="3" s="1"/>
  <c r="BU28" i="3"/>
  <c r="CC28" i="3"/>
  <c r="X30" i="3"/>
  <c r="AH30" i="3" s="1"/>
  <c r="BU30" i="3"/>
  <c r="CC30" i="3"/>
  <c r="X32" i="3"/>
  <c r="AH32" i="3" s="1"/>
  <c r="BU32" i="3"/>
  <c r="CC32" i="3"/>
  <c r="X34" i="3"/>
  <c r="AH34" i="3" s="1"/>
  <c r="X35" i="3"/>
  <c r="AH35" i="3" s="1"/>
  <c r="CD36" i="3"/>
  <c r="BZ36" i="3"/>
  <c r="BV36" i="3"/>
  <c r="CC36" i="3"/>
  <c r="BY36" i="3"/>
  <c r="BU36" i="3"/>
  <c r="CB36" i="3"/>
  <c r="BX36" i="3"/>
  <c r="BT36" i="3"/>
  <c r="X43" i="3"/>
  <c r="AH43" i="3" s="1"/>
  <c r="CD44" i="3"/>
  <c r="BZ44" i="3"/>
  <c r="BV44" i="3"/>
  <c r="CC44" i="3"/>
  <c r="BY44" i="3"/>
  <c r="BU44" i="3"/>
  <c r="CB44" i="3"/>
  <c r="BX44" i="3"/>
  <c r="BT44" i="3"/>
  <c r="BW46" i="3"/>
  <c r="X48" i="3"/>
  <c r="AH48" i="3" s="1"/>
  <c r="BC50" i="3"/>
  <c r="AP50" i="3"/>
  <c r="AW50" i="3"/>
  <c r="AZ50" i="3"/>
  <c r="AV50" i="3"/>
  <c r="AN50" i="3"/>
  <c r="AU50" i="3" s="1"/>
  <c r="AQ50" i="3"/>
  <c r="AR55" i="3"/>
  <c r="AN55" i="3"/>
  <c r="AZ55" i="3" s="1"/>
  <c r="AQ55" i="3"/>
  <c r="BC55" i="3"/>
  <c r="AP55" i="3"/>
  <c r="AS55" i="3"/>
  <c r="BC58" i="3"/>
  <c r="AX58" i="3"/>
  <c r="AS58" i="3"/>
  <c r="AR58" i="3"/>
  <c r="AN58" i="3"/>
  <c r="AU58" i="3" s="1"/>
  <c r="AW61" i="3"/>
  <c r="AZ63" i="3"/>
  <c r="AV63" i="3"/>
  <c r="AN63" i="3"/>
  <c r="AY63" i="3"/>
  <c r="AU63" i="3"/>
  <c r="BC63" i="3"/>
  <c r="AX63" i="3"/>
  <c r="AT63" i="3"/>
  <c r="AS63" i="3"/>
  <c r="AU64" i="3"/>
  <c r="BC66" i="3"/>
  <c r="AP66" i="3"/>
  <c r="AW66" i="3"/>
  <c r="AZ66" i="3"/>
  <c r="AV66" i="3"/>
  <c r="AN66" i="3"/>
  <c r="AU66" i="3" s="1"/>
  <c r="AQ66" i="3"/>
  <c r="AN71" i="3"/>
  <c r="AR71" i="3" s="1"/>
  <c r="BC71" i="3"/>
  <c r="AU72" i="3"/>
  <c r="BC74" i="3"/>
  <c r="AN74" i="3"/>
  <c r="AU74" i="3" s="1"/>
  <c r="AW77" i="3"/>
  <c r="AZ79" i="3"/>
  <c r="AV79" i="3"/>
  <c r="AR79" i="3"/>
  <c r="AN79" i="3"/>
  <c r="AY79" i="3"/>
  <c r="AU79" i="3"/>
  <c r="AQ79" i="3"/>
  <c r="BC79" i="3"/>
  <c r="AX79" i="3"/>
  <c r="AT79" i="3"/>
  <c r="AP79" i="3"/>
  <c r="AS79" i="3"/>
  <c r="AU80" i="3"/>
  <c r="BC82" i="3"/>
  <c r="AX82" i="3"/>
  <c r="AP82" i="3"/>
  <c r="AW82" i="3"/>
  <c r="AS82" i="3"/>
  <c r="AZ82" i="3"/>
  <c r="AV82" i="3"/>
  <c r="AR82" i="3"/>
  <c r="AN82" i="3"/>
  <c r="AU82" i="3" s="1"/>
  <c r="AQ82" i="3"/>
  <c r="AZ87" i="3"/>
  <c r="AV87" i="3"/>
  <c r="AN87" i="3"/>
  <c r="AY87" i="3"/>
  <c r="AU87" i="3"/>
  <c r="BC87" i="3"/>
  <c r="AX87" i="3"/>
  <c r="AT87" i="3"/>
  <c r="AS87" i="3"/>
  <c r="AU88" i="3"/>
  <c r="X93" i="3"/>
  <c r="AH93" i="3" s="1"/>
  <c r="X97" i="3"/>
  <c r="AH97" i="3" s="1"/>
  <c r="X101" i="3"/>
  <c r="AH101" i="3" s="1"/>
  <c r="X118" i="3"/>
  <c r="AH118" i="3" s="1"/>
  <c r="X150" i="3"/>
  <c r="AH150" i="3" s="1"/>
  <c r="CA12" i="3"/>
  <c r="CA16" i="3"/>
  <c r="CA28" i="3"/>
  <c r="CA30" i="3"/>
  <c r="CA32" i="3"/>
  <c r="CD38" i="3"/>
  <c r="BZ38" i="3"/>
  <c r="BV38" i="3"/>
  <c r="CC38" i="3"/>
  <c r="BY38" i="3"/>
  <c r="BU38" i="3"/>
  <c r="CB38" i="3"/>
  <c r="BX38" i="3"/>
  <c r="BT38" i="3"/>
  <c r="X45" i="3"/>
  <c r="AH45" i="3" s="1"/>
  <c r="N5" i="3"/>
  <c r="BU12" i="3"/>
  <c r="BY12" i="3"/>
  <c r="CC12" i="3"/>
  <c r="H14" i="3"/>
  <c r="BW14" i="3"/>
  <c r="CA14" i="3"/>
  <c r="CE14" i="3"/>
  <c r="I15" i="3"/>
  <c r="M8" i="3" s="1"/>
  <c r="H16" i="3"/>
  <c r="BU16" i="3"/>
  <c r="BY16" i="3"/>
  <c r="CC16" i="3"/>
  <c r="H19" i="3"/>
  <c r="H21" i="3"/>
  <c r="BU22" i="3"/>
  <c r="BY22" i="3"/>
  <c r="CC22" i="3"/>
  <c r="AN24" i="3"/>
  <c r="AU24" i="3" s="1"/>
  <c r="AZ24" i="3"/>
  <c r="BW24" i="3"/>
  <c r="CA24" i="3"/>
  <c r="CE24" i="3"/>
  <c r="X26" i="3"/>
  <c r="AH26" i="3" s="1"/>
  <c r="CB27" i="3"/>
  <c r="BX27" i="3"/>
  <c r="BT27" i="3"/>
  <c r="CD27" i="3"/>
  <c r="BZ27" i="3"/>
  <c r="BV27" i="3"/>
  <c r="CA27" i="3"/>
  <c r="BW28" i="3"/>
  <c r="CB29" i="3"/>
  <c r="BX29" i="3"/>
  <c r="BT29" i="3"/>
  <c r="CD29" i="3"/>
  <c r="BZ29" i="3"/>
  <c r="BV29" i="3"/>
  <c r="CA29" i="3"/>
  <c r="BW30" i="3"/>
  <c r="CE30" i="3"/>
  <c r="CB31" i="3"/>
  <c r="BX31" i="3"/>
  <c r="BT31" i="3"/>
  <c r="CD31" i="3"/>
  <c r="BZ31" i="3"/>
  <c r="BV31" i="3"/>
  <c r="CA31" i="3"/>
  <c r="BW32" i="3"/>
  <c r="CE32" i="3"/>
  <c r="CB33" i="3"/>
  <c r="BX33" i="3"/>
  <c r="BT33" i="3"/>
  <c r="CD33" i="3"/>
  <c r="BZ33" i="3"/>
  <c r="BV33" i="3"/>
  <c r="CA33" i="3"/>
  <c r="CD34" i="3"/>
  <c r="BZ34" i="3"/>
  <c r="BV34" i="3"/>
  <c r="CC34" i="3"/>
  <c r="BY34" i="3"/>
  <c r="BU34" i="3"/>
  <c r="CB34" i="3"/>
  <c r="BX34" i="3"/>
  <c r="BT34" i="3"/>
  <c r="CA38" i="3"/>
  <c r="X41" i="3"/>
  <c r="AH41" i="3" s="1"/>
  <c r="CD42" i="3"/>
  <c r="BZ42" i="3"/>
  <c r="BV42" i="3"/>
  <c r="CC42" i="3"/>
  <c r="BY42" i="3"/>
  <c r="BU42" i="3"/>
  <c r="CB42" i="3"/>
  <c r="BX42" i="3"/>
  <c r="BT42" i="3"/>
  <c r="AZ49" i="3"/>
  <c r="AV49" i="3"/>
  <c r="AN49" i="3"/>
  <c r="AO49" i="3" s="1"/>
  <c r="AY49" i="3"/>
  <c r="AU49" i="3"/>
  <c r="BC49" i="3"/>
  <c r="AX49" i="3"/>
  <c r="AT49" i="3"/>
  <c r="AS49" i="3"/>
  <c r="BC52" i="3"/>
  <c r="AX52" i="3"/>
  <c r="AP52" i="3"/>
  <c r="AW52" i="3"/>
  <c r="AS52" i="3"/>
  <c r="AZ52" i="3"/>
  <c r="AV52" i="3"/>
  <c r="AR52" i="3"/>
  <c r="AN52" i="3"/>
  <c r="AY52" i="3" s="1"/>
  <c r="AQ52" i="3"/>
  <c r="AZ57" i="3"/>
  <c r="AV57" i="3"/>
  <c r="AN57" i="3"/>
  <c r="AR57" i="3" s="1"/>
  <c r="AY57" i="3"/>
  <c r="AU57" i="3"/>
  <c r="BC57" i="3"/>
  <c r="AX57" i="3"/>
  <c r="AT57" i="3"/>
  <c r="AS57" i="3"/>
  <c r="BC60" i="3"/>
  <c r="AX60" i="3"/>
  <c r="AP60" i="3"/>
  <c r="AW60" i="3"/>
  <c r="AS60" i="3"/>
  <c r="AZ60" i="3"/>
  <c r="AV60" i="3"/>
  <c r="AR60" i="3"/>
  <c r="AN60" i="3"/>
  <c r="AY60" i="3" s="1"/>
  <c r="AQ60" i="3"/>
  <c r="AY64" i="3"/>
  <c r="AN65" i="3"/>
  <c r="AZ65" i="3" s="1"/>
  <c r="BC65" i="3"/>
  <c r="BC68" i="3"/>
  <c r="AP68" i="3"/>
  <c r="AW68" i="3"/>
  <c r="AZ68" i="3"/>
  <c r="AV68" i="3"/>
  <c r="AN68" i="3"/>
  <c r="AY68" i="3" s="1"/>
  <c r="AQ68" i="3"/>
  <c r="AY72" i="3"/>
  <c r="AR73" i="3"/>
  <c r="AN73" i="3"/>
  <c r="AZ73" i="3" s="1"/>
  <c r="AQ73" i="3"/>
  <c r="BC73" i="3"/>
  <c r="AP73" i="3"/>
  <c r="AS73" i="3"/>
  <c r="BC76" i="3"/>
  <c r="AN76" i="3"/>
  <c r="AY76" i="3" s="1"/>
  <c r="AY80" i="3"/>
  <c r="AZ81" i="3"/>
  <c r="AV81" i="3"/>
  <c r="AR81" i="3"/>
  <c r="AN81" i="3"/>
  <c r="AO81" i="3" s="1"/>
  <c r="AY81" i="3"/>
  <c r="AU81" i="3"/>
  <c r="AQ81" i="3"/>
  <c r="BC81" i="3"/>
  <c r="AX81" i="3"/>
  <c r="AT81" i="3"/>
  <c r="AP81" i="3"/>
  <c r="AS81" i="3"/>
  <c r="BC84" i="3"/>
  <c r="AX84" i="3"/>
  <c r="AS84" i="3"/>
  <c r="AR84" i="3"/>
  <c r="AN84" i="3"/>
  <c r="AY84" i="3" s="1"/>
  <c r="X110" i="3"/>
  <c r="AH110" i="3" s="1"/>
  <c r="X142" i="3"/>
  <c r="AH142" i="3" s="1"/>
  <c r="BW12" i="3"/>
  <c r="BW16" i="3"/>
  <c r="CA22" i="3"/>
  <c r="AP24" i="3"/>
  <c r="AX24" i="3"/>
  <c r="CD28" i="3"/>
  <c r="BZ28" i="3"/>
  <c r="BV28" i="3"/>
  <c r="CB28" i="3"/>
  <c r="BX28" i="3"/>
  <c r="BT28" i="3"/>
  <c r="X37" i="3"/>
  <c r="AH37" i="3" s="1"/>
  <c r="CD46" i="3"/>
  <c r="BZ46" i="3"/>
  <c r="BV46" i="3"/>
  <c r="CC46" i="3"/>
  <c r="BY46" i="3"/>
  <c r="BU46" i="3"/>
  <c r="CB46" i="3"/>
  <c r="BX46" i="3"/>
  <c r="BT46" i="3"/>
  <c r="BC56" i="3"/>
  <c r="AP56" i="3"/>
  <c r="AW56" i="3"/>
  <c r="AZ56" i="3"/>
  <c r="AV56" i="3"/>
  <c r="AN56" i="3"/>
  <c r="AY56" i="3" s="1"/>
  <c r="AS61" i="3"/>
  <c r="AN69" i="3"/>
  <c r="AW69" i="3" s="1"/>
  <c r="BC69" i="3"/>
  <c r="AZ85" i="3"/>
  <c r="AV85" i="3"/>
  <c r="AN85" i="3"/>
  <c r="AW85" i="3" s="1"/>
  <c r="AY85" i="3"/>
  <c r="AU85" i="3"/>
  <c r="BC85" i="3"/>
  <c r="AX85" i="3"/>
  <c r="AT85" i="3"/>
  <c r="AS85" i="3"/>
  <c r="BC88" i="3"/>
  <c r="AX88" i="3"/>
  <c r="AP88" i="3"/>
  <c r="AW88" i="3"/>
  <c r="AS88" i="3"/>
  <c r="AZ88" i="3"/>
  <c r="AV88" i="3"/>
  <c r="AR88" i="3"/>
  <c r="AN88" i="3"/>
  <c r="AT88" i="3" s="1"/>
  <c r="AQ88" i="3"/>
  <c r="X126" i="3"/>
  <c r="AH126" i="3" s="1"/>
  <c r="BU9" i="3"/>
  <c r="BY9" i="3"/>
  <c r="BU10" i="3"/>
  <c r="BY10" i="3"/>
  <c r="BU11" i="3"/>
  <c r="BY11" i="3"/>
  <c r="BV12" i="3"/>
  <c r="BZ12" i="3"/>
  <c r="H13" i="3"/>
  <c r="BW13" i="3"/>
  <c r="CA13" i="3"/>
  <c r="I14" i="3"/>
  <c r="M7" i="3" s="1"/>
  <c r="BT14" i="3"/>
  <c r="BX14" i="3"/>
  <c r="BW15" i="3"/>
  <c r="CA15" i="3"/>
  <c r="I16" i="3"/>
  <c r="M9" i="3" s="1"/>
  <c r="BV16" i="3"/>
  <c r="BZ16" i="3"/>
  <c r="H17" i="3"/>
  <c r="BU17" i="3"/>
  <c r="BY17" i="3"/>
  <c r="BW18" i="3"/>
  <c r="CA18" i="3"/>
  <c r="I19" i="3"/>
  <c r="M12" i="3" s="1"/>
  <c r="BU19" i="3"/>
  <c r="BY19" i="3"/>
  <c r="BW20" i="3"/>
  <c r="CA20" i="3"/>
  <c r="BU21" i="3"/>
  <c r="BY21" i="3"/>
  <c r="BV22" i="3"/>
  <c r="BZ22" i="3"/>
  <c r="BW23" i="3"/>
  <c r="CA23" i="3"/>
  <c r="AO24" i="3"/>
  <c r="AS24" i="3"/>
  <c r="BT24" i="3"/>
  <c r="BX24" i="3"/>
  <c r="CD25" i="3"/>
  <c r="BZ25" i="3"/>
  <c r="BV25" i="3"/>
  <c r="CB25" i="3"/>
  <c r="BX25" i="3"/>
  <c r="BT25" i="3"/>
  <c r="CA25" i="3"/>
  <c r="BU27" i="3"/>
  <c r="CC27" i="3"/>
  <c r="BY28" i="3"/>
  <c r="X29" i="3"/>
  <c r="AH29" i="3" s="1"/>
  <c r="BU29" i="3"/>
  <c r="CC29" i="3"/>
  <c r="BY30" i="3"/>
  <c r="X31" i="3"/>
  <c r="AH31" i="3" s="1"/>
  <c r="BU31" i="3"/>
  <c r="CC31" i="3"/>
  <c r="BY32" i="3"/>
  <c r="X33" i="3"/>
  <c r="AH33" i="3" s="1"/>
  <c r="BU33" i="3"/>
  <c r="CC33" i="3"/>
  <c r="BW34" i="3"/>
  <c r="CE38" i="3"/>
  <c r="X39" i="3"/>
  <c r="AH39" i="3" s="1"/>
  <c r="CD40" i="3"/>
  <c r="BZ40" i="3"/>
  <c r="BV40" i="3"/>
  <c r="CC40" i="3"/>
  <c r="BY40" i="3"/>
  <c r="BU40" i="3"/>
  <c r="CB40" i="3"/>
  <c r="BX40" i="3"/>
  <c r="BT40" i="3"/>
  <c r="BW42" i="3"/>
  <c r="CE46" i="3"/>
  <c r="BC47" i="3"/>
  <c r="AW49" i="3"/>
  <c r="AY50" i="3"/>
  <c r="AZ51" i="3"/>
  <c r="AV51" i="3"/>
  <c r="AR51" i="3"/>
  <c r="AN51" i="3"/>
  <c r="AY51" i="3"/>
  <c r="AU51" i="3"/>
  <c r="AQ51" i="3"/>
  <c r="BC51" i="3"/>
  <c r="AX51" i="3"/>
  <c r="AT51" i="3"/>
  <c r="AP51" i="3"/>
  <c r="AS51" i="3"/>
  <c r="AU52" i="3"/>
  <c r="AO53" i="3"/>
  <c r="BC54" i="3"/>
  <c r="AP54" i="3"/>
  <c r="AW54" i="3"/>
  <c r="AZ54" i="3"/>
  <c r="AV54" i="3"/>
  <c r="AN54" i="3"/>
  <c r="AU54" i="3" s="1"/>
  <c r="AQ54" i="3"/>
  <c r="AW57" i="3"/>
  <c r="AY58" i="3"/>
  <c r="AZ59" i="3"/>
  <c r="AV59" i="3"/>
  <c r="AR59" i="3"/>
  <c r="AN59" i="3"/>
  <c r="AY59" i="3"/>
  <c r="AU59" i="3"/>
  <c r="AQ59" i="3"/>
  <c r="BC59" i="3"/>
  <c r="AX59" i="3"/>
  <c r="AT59" i="3"/>
  <c r="AP59" i="3"/>
  <c r="AS59" i="3"/>
  <c r="AU60" i="3"/>
  <c r="AO61" i="3"/>
  <c r="BC62" i="3"/>
  <c r="AP62" i="3"/>
  <c r="AW62" i="3"/>
  <c r="AZ62" i="3"/>
  <c r="AV62" i="3"/>
  <c r="AN62" i="3"/>
  <c r="AU62" i="3" s="1"/>
  <c r="AQ62" i="3"/>
  <c r="AY66" i="3"/>
  <c r="AZ67" i="3"/>
  <c r="AV67" i="3"/>
  <c r="AR67" i="3"/>
  <c r="AN67" i="3"/>
  <c r="AY67" i="3"/>
  <c r="AU67" i="3"/>
  <c r="AQ67" i="3"/>
  <c r="BC67" i="3"/>
  <c r="AX67" i="3"/>
  <c r="AT67" i="3"/>
  <c r="AP67" i="3"/>
  <c r="AS67" i="3"/>
  <c r="AU68" i="3"/>
  <c r="AO69" i="3"/>
  <c r="BC70" i="3"/>
  <c r="AP70" i="3"/>
  <c r="AW70" i="3"/>
  <c r="AZ70" i="3"/>
  <c r="AV70" i="3"/>
  <c r="AN70" i="3"/>
  <c r="AU70" i="3" s="1"/>
  <c r="AQ70" i="3"/>
  <c r="AW73" i="3"/>
  <c r="AZ75" i="3"/>
  <c r="AV75" i="3"/>
  <c r="AR75" i="3"/>
  <c r="AN75" i="3"/>
  <c r="AY75" i="3"/>
  <c r="AU75" i="3"/>
  <c r="AQ75" i="3"/>
  <c r="BC75" i="3"/>
  <c r="AX75" i="3"/>
  <c r="AT75" i="3"/>
  <c r="AP75" i="3"/>
  <c r="AS75" i="3"/>
  <c r="AO77" i="3"/>
  <c r="BC78" i="3"/>
  <c r="AP78" i="3"/>
  <c r="AW78" i="3"/>
  <c r="AZ78" i="3"/>
  <c r="AV78" i="3"/>
  <c r="AN78" i="3"/>
  <c r="AU78" i="3" s="1"/>
  <c r="AQ78" i="3"/>
  <c r="AW81" i="3"/>
  <c r="AY82" i="3"/>
  <c r="AZ83" i="3"/>
  <c r="AV83" i="3"/>
  <c r="AR83" i="3"/>
  <c r="AN83" i="3"/>
  <c r="AY83" i="3"/>
  <c r="AU83" i="3"/>
  <c r="AQ83" i="3"/>
  <c r="BC83" i="3"/>
  <c r="AX83" i="3"/>
  <c r="AT83" i="3"/>
  <c r="AP83" i="3"/>
  <c r="AS83" i="3"/>
  <c r="AU84" i="3"/>
  <c r="AO85" i="3"/>
  <c r="BC86" i="3"/>
  <c r="AP86" i="3"/>
  <c r="AW86" i="3"/>
  <c r="AZ86" i="3"/>
  <c r="AV86" i="3"/>
  <c r="AN86" i="3"/>
  <c r="AU86" i="3" s="1"/>
  <c r="AQ86" i="3"/>
  <c r="X91" i="3"/>
  <c r="AH91" i="3" s="1"/>
  <c r="X95" i="3"/>
  <c r="AH95" i="3" s="1"/>
  <c r="X99" i="3"/>
  <c r="AH99" i="3" s="1"/>
  <c r="X102" i="3"/>
  <c r="AH102" i="3" s="1"/>
  <c r="X134" i="3"/>
  <c r="AH134" i="3" s="1"/>
  <c r="AO174" i="3"/>
  <c r="AO206" i="3"/>
  <c r="BU26" i="3"/>
  <c r="BY26" i="3"/>
  <c r="CC26" i="3"/>
  <c r="BV35" i="3"/>
  <c r="BZ35" i="3"/>
  <c r="CD35" i="3"/>
  <c r="X36" i="3"/>
  <c r="AH36" i="3" s="1"/>
  <c r="BV37" i="3"/>
  <c r="BZ37" i="3"/>
  <c r="CD37" i="3"/>
  <c r="X38" i="3"/>
  <c r="AH38" i="3" s="1"/>
  <c r="BV39" i="3"/>
  <c r="BZ39" i="3"/>
  <c r="CD39" i="3"/>
  <c r="X40" i="3"/>
  <c r="AH40" i="3" s="1"/>
  <c r="BV41" i="3"/>
  <c r="BZ41" i="3"/>
  <c r="CD41" i="3"/>
  <c r="X42" i="3"/>
  <c r="AH42" i="3" s="1"/>
  <c r="BV43" i="3"/>
  <c r="BZ43" i="3"/>
  <c r="CD43" i="3"/>
  <c r="X44" i="3"/>
  <c r="AH44" i="3" s="1"/>
  <c r="BV45" i="3"/>
  <c r="BZ45" i="3"/>
  <c r="CD45" i="3"/>
  <c r="X46" i="3"/>
  <c r="AH46" i="3" s="1"/>
  <c r="AN47" i="3" s="1"/>
  <c r="BW47" i="3"/>
  <c r="CA47" i="3"/>
  <c r="CE47" i="3"/>
  <c r="BV48" i="3"/>
  <c r="BZ48" i="3"/>
  <c r="CD48" i="3"/>
  <c r="X104" i="3"/>
  <c r="AH104" i="3" s="1"/>
  <c r="X112" i="3"/>
  <c r="AH112" i="3" s="1"/>
  <c r="X120" i="3"/>
  <c r="AH120" i="3" s="1"/>
  <c r="X128" i="3"/>
  <c r="AH128" i="3" s="1"/>
  <c r="X136" i="3"/>
  <c r="AH136" i="3" s="1"/>
  <c r="X144" i="3"/>
  <c r="AH144" i="3" s="1"/>
  <c r="AW159" i="3"/>
  <c r="AR170" i="3"/>
  <c r="AN170" i="3"/>
  <c r="AS170" i="3" s="1"/>
  <c r="AQ170" i="3"/>
  <c r="BC170" i="3"/>
  <c r="AP170" i="3"/>
  <c r="AO170" i="3"/>
  <c r="AZ178" i="3"/>
  <c r="AV178" i="3"/>
  <c r="AN178" i="3"/>
  <c r="AS178" i="3" s="1"/>
  <c r="AY178" i="3"/>
  <c r="AU178" i="3"/>
  <c r="BC178" i="3"/>
  <c r="AX178" i="3"/>
  <c r="AT178" i="3"/>
  <c r="AO178" i="3"/>
  <c r="AW178" i="3"/>
  <c r="AR186" i="3"/>
  <c r="AN186" i="3"/>
  <c r="AS186" i="3" s="1"/>
  <c r="AQ186" i="3"/>
  <c r="BC186" i="3"/>
  <c r="AP186" i="3"/>
  <c r="AO186" i="3"/>
  <c r="AZ194" i="3"/>
  <c r="AV194" i="3"/>
  <c r="AN194" i="3"/>
  <c r="AS194" i="3" s="1"/>
  <c r="AY194" i="3"/>
  <c r="AU194" i="3"/>
  <c r="BC194" i="3"/>
  <c r="AX194" i="3"/>
  <c r="AT194" i="3"/>
  <c r="AO194" i="3"/>
  <c r="AW194" i="3"/>
  <c r="AR202" i="3"/>
  <c r="AN202" i="3"/>
  <c r="AS202" i="3" s="1"/>
  <c r="AQ202" i="3"/>
  <c r="BC202" i="3"/>
  <c r="AP202" i="3"/>
  <c r="AO202" i="3"/>
  <c r="AZ210" i="3"/>
  <c r="AV210" i="3"/>
  <c r="AN210" i="3"/>
  <c r="AS210" i="3" s="1"/>
  <c r="AY210" i="3"/>
  <c r="AU210" i="3"/>
  <c r="BC210" i="3"/>
  <c r="AX210" i="3"/>
  <c r="AT210" i="3"/>
  <c r="AO210" i="3"/>
  <c r="AW210" i="3"/>
  <c r="AR218" i="3"/>
  <c r="AN218" i="3"/>
  <c r="AS218" i="3" s="1"/>
  <c r="AQ218" i="3"/>
  <c r="BC218" i="3"/>
  <c r="AP218" i="3"/>
  <c r="AO218" i="3"/>
  <c r="BW35" i="3"/>
  <c r="CA35" i="3"/>
  <c r="CE35" i="3"/>
  <c r="BW37" i="3"/>
  <c r="CA37" i="3"/>
  <c r="CE37" i="3"/>
  <c r="BW39" i="3"/>
  <c r="CA39" i="3"/>
  <c r="CE39" i="3"/>
  <c r="BW41" i="3"/>
  <c r="CA41" i="3"/>
  <c r="CE41" i="3"/>
  <c r="BW43" i="3"/>
  <c r="CA43" i="3"/>
  <c r="CE43" i="3"/>
  <c r="BW45" i="3"/>
  <c r="CA45" i="3"/>
  <c r="CE45" i="3"/>
  <c r="BW48" i="3"/>
  <c r="CA48" i="3"/>
  <c r="CE48" i="3"/>
  <c r="X90" i="3"/>
  <c r="AH90" i="3" s="1"/>
  <c r="X92" i="3"/>
  <c r="AH92" i="3" s="1"/>
  <c r="X94" i="3"/>
  <c r="AH94" i="3" s="1"/>
  <c r="X96" i="3"/>
  <c r="AH96" i="3" s="1"/>
  <c r="X98" i="3"/>
  <c r="AH98" i="3" s="1"/>
  <c r="X100" i="3"/>
  <c r="AH100" i="3" s="1"/>
  <c r="X106" i="3"/>
  <c r="AH106" i="3" s="1"/>
  <c r="X114" i="3"/>
  <c r="AH114" i="3" s="1"/>
  <c r="X122" i="3"/>
  <c r="AH122" i="3" s="1"/>
  <c r="X130" i="3"/>
  <c r="AH130" i="3" s="1"/>
  <c r="X138" i="3"/>
  <c r="AH138" i="3" s="1"/>
  <c r="X146" i="3"/>
  <c r="AH146" i="3" s="1"/>
  <c r="BW26" i="3"/>
  <c r="CA26" i="3"/>
  <c r="BT35" i="3"/>
  <c r="BX35" i="3"/>
  <c r="BT37" i="3"/>
  <c r="BX37" i="3"/>
  <c r="BT39" i="3"/>
  <c r="BX39" i="3"/>
  <c r="BT41" i="3"/>
  <c r="BX41" i="3"/>
  <c r="BT43" i="3"/>
  <c r="BX43" i="3"/>
  <c r="BT45" i="3"/>
  <c r="BX45" i="3"/>
  <c r="BU47" i="3"/>
  <c r="BY47" i="3"/>
  <c r="BT48" i="3"/>
  <c r="BX48" i="3"/>
  <c r="X108" i="3"/>
  <c r="AH108" i="3" s="1"/>
  <c r="X116" i="3"/>
  <c r="AH116" i="3" s="1"/>
  <c r="X124" i="3"/>
  <c r="AH124" i="3" s="1"/>
  <c r="X132" i="3"/>
  <c r="AH132" i="3" s="1"/>
  <c r="X140" i="3"/>
  <c r="AH140" i="3" s="1"/>
  <c r="X148" i="3"/>
  <c r="AH148" i="3" s="1"/>
  <c r="AW157" i="3"/>
  <c r="X103" i="3"/>
  <c r="AH103" i="3" s="1"/>
  <c r="X105" i="3"/>
  <c r="AH105" i="3" s="1"/>
  <c r="X107" i="3"/>
  <c r="AH107" i="3" s="1"/>
  <c r="X109" i="3"/>
  <c r="AH109" i="3" s="1"/>
  <c r="X111" i="3"/>
  <c r="AH111" i="3" s="1"/>
  <c r="X113" i="3"/>
  <c r="AH113" i="3" s="1"/>
  <c r="X115" i="3"/>
  <c r="AH115" i="3" s="1"/>
  <c r="X117" i="3"/>
  <c r="AH117" i="3" s="1"/>
  <c r="X119" i="3"/>
  <c r="AH119" i="3" s="1"/>
  <c r="X121" i="3"/>
  <c r="AH121" i="3" s="1"/>
  <c r="X123" i="3"/>
  <c r="AH123" i="3" s="1"/>
  <c r="X125" i="3"/>
  <c r="AH125" i="3" s="1"/>
  <c r="X127" i="3"/>
  <c r="AH127" i="3" s="1"/>
  <c r="X129" i="3"/>
  <c r="AH129" i="3" s="1"/>
  <c r="X131" i="3"/>
  <c r="AH131" i="3" s="1"/>
  <c r="X133" i="3"/>
  <c r="AH133" i="3" s="1"/>
  <c r="X135" i="3"/>
  <c r="AH135" i="3" s="1"/>
  <c r="X137" i="3"/>
  <c r="AH137" i="3" s="1"/>
  <c r="X139" i="3"/>
  <c r="AH139" i="3" s="1"/>
  <c r="X141" i="3"/>
  <c r="AH141" i="3" s="1"/>
  <c r="X143" i="3"/>
  <c r="AH143" i="3" s="1"/>
  <c r="X145" i="3"/>
  <c r="AH145" i="3" s="1"/>
  <c r="X147" i="3"/>
  <c r="AH147" i="3" s="1"/>
  <c r="X149" i="3"/>
  <c r="AH149" i="3" s="1"/>
  <c r="AZ152" i="3"/>
  <c r="AV152" i="3"/>
  <c r="AN152" i="3"/>
  <c r="BC152" i="3"/>
  <c r="AX152" i="3"/>
  <c r="AP152" i="3"/>
  <c r="AS152" i="3"/>
  <c r="AR154" i="3"/>
  <c r="AN154" i="3"/>
  <c r="AZ154" i="3" s="1"/>
  <c r="BC154" i="3"/>
  <c r="AT154" i="3"/>
  <c r="AP154" i="3"/>
  <c r="AZ156" i="3"/>
  <c r="AV156" i="3"/>
  <c r="AN156" i="3"/>
  <c r="BC156" i="3"/>
  <c r="AX156" i="3"/>
  <c r="AP156" i="3"/>
  <c r="AS156" i="3"/>
  <c r="AR158" i="3"/>
  <c r="AN158" i="3"/>
  <c r="AZ158" i="3" s="1"/>
  <c r="BC158" i="3"/>
  <c r="AT158" i="3"/>
  <c r="AP158" i="3"/>
  <c r="AZ160" i="3"/>
  <c r="AV160" i="3"/>
  <c r="AN160" i="3"/>
  <c r="BC160" i="3"/>
  <c r="AX160" i="3"/>
  <c r="AP160" i="3"/>
  <c r="AS160" i="3"/>
  <c r="AR162" i="3"/>
  <c r="AN162" i="3"/>
  <c r="AZ162" i="3" s="1"/>
  <c r="BC162" i="3"/>
  <c r="AT162" i="3"/>
  <c r="AP162" i="3"/>
  <c r="AZ164" i="3"/>
  <c r="AV164" i="3"/>
  <c r="AN164" i="3"/>
  <c r="BC164" i="3"/>
  <c r="AX164" i="3"/>
  <c r="AP164" i="3"/>
  <c r="AS164" i="3"/>
  <c r="AR166" i="3"/>
  <c r="AN166" i="3"/>
  <c r="AZ166" i="3" s="1"/>
  <c r="BC166" i="3"/>
  <c r="AX166" i="3"/>
  <c r="AT166" i="3"/>
  <c r="BC167" i="3"/>
  <c r="AX167" i="3"/>
  <c r="AP167" i="3"/>
  <c r="AW167" i="3"/>
  <c r="AS167" i="3"/>
  <c r="AZ167" i="3"/>
  <c r="AV167" i="3"/>
  <c r="AR167" i="3"/>
  <c r="AN167" i="3"/>
  <c r="AU167" i="3" s="1"/>
  <c r="AQ167" i="3"/>
  <c r="AZ172" i="3"/>
  <c r="AV172" i="3"/>
  <c r="AN172" i="3"/>
  <c r="AY172" i="3"/>
  <c r="AU172" i="3"/>
  <c r="BC172" i="3"/>
  <c r="AX172" i="3"/>
  <c r="AT172" i="3"/>
  <c r="AS172" i="3"/>
  <c r="BC175" i="3"/>
  <c r="AX175" i="3"/>
  <c r="AP175" i="3"/>
  <c r="AW175" i="3"/>
  <c r="AS175" i="3"/>
  <c r="AZ175" i="3"/>
  <c r="AV175" i="3"/>
  <c r="AR175" i="3"/>
  <c r="AN175" i="3"/>
  <c r="AU175" i="3" s="1"/>
  <c r="AQ175" i="3"/>
  <c r="AZ180" i="3"/>
  <c r="AV180" i="3"/>
  <c r="AN180" i="3"/>
  <c r="AY180" i="3"/>
  <c r="AU180" i="3"/>
  <c r="BC180" i="3"/>
  <c r="AX180" i="3"/>
  <c r="AT180" i="3"/>
  <c r="AS180" i="3"/>
  <c r="BC183" i="3"/>
  <c r="AX183" i="3"/>
  <c r="AP183" i="3"/>
  <c r="AW183" i="3"/>
  <c r="AS183" i="3"/>
  <c r="AZ183" i="3"/>
  <c r="AV183" i="3"/>
  <c r="AR183" i="3"/>
  <c r="AN183" i="3"/>
  <c r="AU183" i="3" s="1"/>
  <c r="AQ183" i="3"/>
  <c r="AZ188" i="3"/>
  <c r="AV188" i="3"/>
  <c r="AN188" i="3"/>
  <c r="AY188" i="3"/>
  <c r="AU188" i="3"/>
  <c r="BC188" i="3"/>
  <c r="AX188" i="3"/>
  <c r="AT188" i="3"/>
  <c r="AS188" i="3"/>
  <c r="BC191" i="3"/>
  <c r="AX191" i="3"/>
  <c r="AP191" i="3"/>
  <c r="AW191" i="3"/>
  <c r="AS191" i="3"/>
  <c r="AZ191" i="3"/>
  <c r="AV191" i="3"/>
  <c r="AR191" i="3"/>
  <c r="AN191" i="3"/>
  <c r="AU191" i="3" s="1"/>
  <c r="AQ191" i="3"/>
  <c r="AZ196" i="3"/>
  <c r="AV196" i="3"/>
  <c r="AN196" i="3"/>
  <c r="AY196" i="3"/>
  <c r="AU196" i="3"/>
  <c r="BC196" i="3"/>
  <c r="AX196" i="3"/>
  <c r="AT196" i="3"/>
  <c r="AS196" i="3"/>
  <c r="BC199" i="3"/>
  <c r="AX199" i="3"/>
  <c r="AP199" i="3"/>
  <c r="AW199" i="3"/>
  <c r="AS199" i="3"/>
  <c r="AZ199" i="3"/>
  <c r="AV199" i="3"/>
  <c r="AR199" i="3"/>
  <c r="AN199" i="3"/>
  <c r="AU199" i="3" s="1"/>
  <c r="AQ199" i="3"/>
  <c r="AZ204" i="3"/>
  <c r="AV204" i="3"/>
  <c r="AN204" i="3"/>
  <c r="AY204" i="3"/>
  <c r="AU204" i="3"/>
  <c r="BC204" i="3"/>
  <c r="AX204" i="3"/>
  <c r="AT204" i="3"/>
  <c r="AS204" i="3"/>
  <c r="BC207" i="3"/>
  <c r="AX207" i="3"/>
  <c r="AP207" i="3"/>
  <c r="AW207" i="3"/>
  <c r="AS207" i="3"/>
  <c r="AZ207" i="3"/>
  <c r="AV207" i="3"/>
  <c r="AR207" i="3"/>
  <c r="AN207" i="3"/>
  <c r="AU207" i="3" s="1"/>
  <c r="AQ207" i="3"/>
  <c r="AZ212" i="3"/>
  <c r="AV212" i="3"/>
  <c r="AN212" i="3"/>
  <c r="AY212" i="3"/>
  <c r="AU212" i="3"/>
  <c r="BC212" i="3"/>
  <c r="AX212" i="3"/>
  <c r="AT212" i="3"/>
  <c r="AS212" i="3"/>
  <c r="BC215" i="3"/>
  <c r="AX215" i="3"/>
  <c r="AP215" i="3"/>
  <c r="AW215" i="3"/>
  <c r="AS215" i="3"/>
  <c r="AZ215" i="3"/>
  <c r="AV215" i="3"/>
  <c r="AR215" i="3"/>
  <c r="AN215" i="3"/>
  <c r="AU215" i="3" s="1"/>
  <c r="AQ215" i="3"/>
  <c r="AZ220" i="3"/>
  <c r="AV220" i="3"/>
  <c r="AN220" i="3"/>
  <c r="AY220" i="3"/>
  <c r="AU220" i="3"/>
  <c r="BC220" i="3"/>
  <c r="AX220" i="3"/>
  <c r="AT220" i="3"/>
  <c r="AS220" i="3"/>
  <c r="X248" i="3"/>
  <c r="AH248" i="3" s="1"/>
  <c r="BC169" i="3"/>
  <c r="AX169" i="3"/>
  <c r="AS169" i="3"/>
  <c r="AR169" i="3"/>
  <c r="AN169" i="3"/>
  <c r="AY169" i="3" s="1"/>
  <c r="AZ174" i="3"/>
  <c r="AV174" i="3"/>
  <c r="AR174" i="3"/>
  <c r="AN174" i="3"/>
  <c r="AY174" i="3"/>
  <c r="AU174" i="3"/>
  <c r="AQ174" i="3"/>
  <c r="BC174" i="3"/>
  <c r="AX174" i="3"/>
  <c r="AT174" i="3"/>
  <c r="AP174" i="3"/>
  <c r="AS174" i="3"/>
  <c r="BC177" i="3"/>
  <c r="AX177" i="3"/>
  <c r="AS177" i="3"/>
  <c r="AR177" i="3"/>
  <c r="AN177" i="3"/>
  <c r="AY177" i="3" s="1"/>
  <c r="AZ182" i="3"/>
  <c r="AV182" i="3"/>
  <c r="AR182" i="3"/>
  <c r="AN182" i="3"/>
  <c r="AO182" i="3" s="1"/>
  <c r="AY182" i="3"/>
  <c r="AU182" i="3"/>
  <c r="AQ182" i="3"/>
  <c r="BC182" i="3"/>
  <c r="AX182" i="3"/>
  <c r="AT182" i="3"/>
  <c r="AP182" i="3"/>
  <c r="AS182" i="3"/>
  <c r="BC185" i="3"/>
  <c r="AX185" i="3"/>
  <c r="AS185" i="3"/>
  <c r="AR185" i="3"/>
  <c r="AN185" i="3"/>
  <c r="AY185" i="3" s="1"/>
  <c r="AZ190" i="3"/>
  <c r="AV190" i="3"/>
  <c r="AR190" i="3"/>
  <c r="AN190" i="3"/>
  <c r="AO190" i="3" s="1"/>
  <c r="AY190" i="3"/>
  <c r="AU190" i="3"/>
  <c r="AQ190" i="3"/>
  <c r="BC190" i="3"/>
  <c r="AX190" i="3"/>
  <c r="AT190" i="3"/>
  <c r="AP190" i="3"/>
  <c r="AS190" i="3"/>
  <c r="BC193" i="3"/>
  <c r="AX193" i="3"/>
  <c r="AS193" i="3"/>
  <c r="AR193" i="3"/>
  <c r="AN193" i="3"/>
  <c r="AY193" i="3" s="1"/>
  <c r="AZ198" i="3"/>
  <c r="AV198" i="3"/>
  <c r="AR198" i="3"/>
  <c r="AN198" i="3"/>
  <c r="AO198" i="3" s="1"/>
  <c r="AY198" i="3"/>
  <c r="AU198" i="3"/>
  <c r="AQ198" i="3"/>
  <c r="BC198" i="3"/>
  <c r="AX198" i="3"/>
  <c r="AT198" i="3"/>
  <c r="AP198" i="3"/>
  <c r="AS198" i="3"/>
  <c r="BC201" i="3"/>
  <c r="AX201" i="3"/>
  <c r="AS201" i="3"/>
  <c r="AR201" i="3"/>
  <c r="AN201" i="3"/>
  <c r="AY201" i="3" s="1"/>
  <c r="AZ206" i="3"/>
  <c r="AV206" i="3"/>
  <c r="AR206" i="3"/>
  <c r="AN206" i="3"/>
  <c r="AY206" i="3"/>
  <c r="AU206" i="3"/>
  <c r="AQ206" i="3"/>
  <c r="BC206" i="3"/>
  <c r="AX206" i="3"/>
  <c r="AT206" i="3"/>
  <c r="AP206" i="3"/>
  <c r="AS206" i="3"/>
  <c r="BC209" i="3"/>
  <c r="AX209" i="3"/>
  <c r="AS209" i="3"/>
  <c r="AR209" i="3"/>
  <c r="AN209" i="3"/>
  <c r="AY209" i="3" s="1"/>
  <c r="AZ214" i="3"/>
  <c r="AV214" i="3"/>
  <c r="AR214" i="3"/>
  <c r="AN214" i="3"/>
  <c r="AO214" i="3" s="1"/>
  <c r="AY214" i="3"/>
  <c r="AU214" i="3"/>
  <c r="AQ214" i="3"/>
  <c r="BC214" i="3"/>
  <c r="AX214" i="3"/>
  <c r="AT214" i="3"/>
  <c r="AP214" i="3"/>
  <c r="AS214" i="3"/>
  <c r="BC217" i="3"/>
  <c r="AX217" i="3"/>
  <c r="AS217" i="3"/>
  <c r="AR217" i="3"/>
  <c r="AN217" i="3"/>
  <c r="AY217" i="3" s="1"/>
  <c r="AZ222" i="3"/>
  <c r="AV222" i="3"/>
  <c r="AR222" i="3"/>
  <c r="AN222" i="3"/>
  <c r="AO222" i="3" s="1"/>
  <c r="AY222" i="3"/>
  <c r="AU222" i="3"/>
  <c r="AQ222" i="3"/>
  <c r="BC222" i="3"/>
  <c r="AX222" i="3"/>
  <c r="AT222" i="3"/>
  <c r="AP222" i="3"/>
  <c r="AS222" i="3"/>
  <c r="X240" i="3"/>
  <c r="AH240" i="3" s="1"/>
  <c r="X255" i="3"/>
  <c r="AH255" i="3" s="1"/>
  <c r="BC151" i="3"/>
  <c r="AX151" i="3"/>
  <c r="AT151" i="3"/>
  <c r="AZ151" i="3"/>
  <c r="AV151" i="3"/>
  <c r="AR151" i="3"/>
  <c r="AN151" i="3"/>
  <c r="AO151" i="3" s="1"/>
  <c r="AS151" i="3"/>
  <c r="BC153" i="3"/>
  <c r="AX153" i="3"/>
  <c r="AZ153" i="3"/>
  <c r="AV153" i="3"/>
  <c r="AN153" i="3"/>
  <c r="AS153" i="3"/>
  <c r="BC155" i="3"/>
  <c r="AN155" i="3"/>
  <c r="AW155" i="3" s="1"/>
  <c r="AO156" i="3"/>
  <c r="AW156" i="3"/>
  <c r="BC157" i="3"/>
  <c r="AX157" i="3"/>
  <c r="AZ157" i="3"/>
  <c r="AV157" i="3"/>
  <c r="AN157" i="3"/>
  <c r="AS157" i="3"/>
  <c r="AO158" i="3"/>
  <c r="AW158" i="3"/>
  <c r="BC159" i="3"/>
  <c r="AX159" i="3"/>
  <c r="AT159" i="3"/>
  <c r="AZ159" i="3"/>
  <c r="AV159" i="3"/>
  <c r="AR159" i="3"/>
  <c r="AN159" i="3"/>
  <c r="AO159" i="3" s="1"/>
  <c r="AS159" i="3"/>
  <c r="AO160" i="3"/>
  <c r="AW160" i="3"/>
  <c r="BC161" i="3"/>
  <c r="AT161" i="3"/>
  <c r="AR161" i="3"/>
  <c r="AN161" i="3"/>
  <c r="AZ161" i="3" s="1"/>
  <c r="AO162" i="3"/>
  <c r="AW162" i="3"/>
  <c r="BC163" i="3"/>
  <c r="AN163" i="3"/>
  <c r="AX163" i="3" s="1"/>
  <c r="AO164" i="3"/>
  <c r="AW164" i="3"/>
  <c r="BC165" i="3"/>
  <c r="AX165" i="3"/>
  <c r="AZ165" i="3"/>
  <c r="AV165" i="3"/>
  <c r="AN165" i="3"/>
  <c r="AS165" i="3"/>
  <c r="AO166" i="3"/>
  <c r="AW166" i="3"/>
  <c r="AY167" i="3"/>
  <c r="AZ168" i="3"/>
  <c r="AV168" i="3"/>
  <c r="AN168" i="3"/>
  <c r="AY168" i="3"/>
  <c r="AU168" i="3"/>
  <c r="BC168" i="3"/>
  <c r="AX168" i="3"/>
  <c r="AT168" i="3"/>
  <c r="AS168" i="3"/>
  <c r="AU169" i="3"/>
  <c r="BC171" i="3"/>
  <c r="AP171" i="3"/>
  <c r="AW171" i="3"/>
  <c r="AZ171" i="3"/>
  <c r="AV171" i="3"/>
  <c r="AN171" i="3"/>
  <c r="AU171" i="3" s="1"/>
  <c r="AQ171" i="3"/>
  <c r="AW174" i="3"/>
  <c r="AY175" i="3"/>
  <c r="AZ176" i="3"/>
  <c r="AV176" i="3"/>
  <c r="AR176" i="3"/>
  <c r="AN176" i="3"/>
  <c r="AY176" i="3"/>
  <c r="AU176" i="3"/>
  <c r="AQ176" i="3"/>
  <c r="BC176" i="3"/>
  <c r="AX176" i="3"/>
  <c r="AT176" i="3"/>
  <c r="AP176" i="3"/>
  <c r="AS176" i="3"/>
  <c r="BC179" i="3"/>
  <c r="AX179" i="3"/>
  <c r="AP179" i="3"/>
  <c r="AW179" i="3"/>
  <c r="AS179" i="3"/>
  <c r="AZ179" i="3"/>
  <c r="AV179" i="3"/>
  <c r="AR179" i="3"/>
  <c r="AN179" i="3"/>
  <c r="AU179" i="3" s="1"/>
  <c r="AQ179" i="3"/>
  <c r="AW182" i="3"/>
  <c r="AY183" i="3"/>
  <c r="AR184" i="3"/>
  <c r="AN184" i="3"/>
  <c r="AZ184" i="3" s="1"/>
  <c r="AQ184" i="3"/>
  <c r="BC184" i="3"/>
  <c r="AP184" i="3"/>
  <c r="AS184" i="3"/>
  <c r="BC187" i="3"/>
  <c r="AX187" i="3"/>
  <c r="AS187" i="3"/>
  <c r="AR187" i="3"/>
  <c r="AN187" i="3"/>
  <c r="AU187" i="3" s="1"/>
  <c r="AW190" i="3"/>
  <c r="AY191" i="3"/>
  <c r="AN192" i="3"/>
  <c r="AV192" i="3" s="1"/>
  <c r="BC192" i="3"/>
  <c r="AU193" i="3"/>
  <c r="BC195" i="3"/>
  <c r="AN195" i="3"/>
  <c r="AU195" i="3" s="1"/>
  <c r="AW198" i="3"/>
  <c r="AY199" i="3"/>
  <c r="AZ200" i="3"/>
  <c r="AV200" i="3"/>
  <c r="AN200" i="3"/>
  <c r="AY200" i="3"/>
  <c r="AU200" i="3"/>
  <c r="BC200" i="3"/>
  <c r="AX200" i="3"/>
  <c r="AT200" i="3"/>
  <c r="AS200" i="3"/>
  <c r="AU201" i="3"/>
  <c r="BC203" i="3"/>
  <c r="AP203" i="3"/>
  <c r="AW203" i="3"/>
  <c r="AZ203" i="3"/>
  <c r="AV203" i="3"/>
  <c r="AN203" i="3"/>
  <c r="AU203" i="3" s="1"/>
  <c r="AQ203" i="3"/>
  <c r="AW206" i="3"/>
  <c r="AY207" i="3"/>
  <c r="AZ208" i="3"/>
  <c r="AV208" i="3"/>
  <c r="AR208" i="3"/>
  <c r="AN208" i="3"/>
  <c r="AY208" i="3"/>
  <c r="AU208" i="3"/>
  <c r="AQ208" i="3"/>
  <c r="BC208" i="3"/>
  <c r="AX208" i="3"/>
  <c r="AT208" i="3"/>
  <c r="AP208" i="3"/>
  <c r="AS208" i="3"/>
  <c r="BC211" i="3"/>
  <c r="AX211" i="3"/>
  <c r="AP211" i="3"/>
  <c r="AW211" i="3"/>
  <c r="AS211" i="3"/>
  <c r="AZ211" i="3"/>
  <c r="AV211" i="3"/>
  <c r="AR211" i="3"/>
  <c r="AN211" i="3"/>
  <c r="AU211" i="3" s="1"/>
  <c r="AQ211" i="3"/>
  <c r="AW214" i="3"/>
  <c r="AY215" i="3"/>
  <c r="AR216" i="3"/>
  <c r="AN216" i="3"/>
  <c r="AZ216" i="3" s="1"/>
  <c r="AQ216" i="3"/>
  <c r="BC216" i="3"/>
  <c r="AP216" i="3"/>
  <c r="AS216" i="3"/>
  <c r="BC219" i="3"/>
  <c r="AX219" i="3"/>
  <c r="AS219" i="3"/>
  <c r="AR219" i="3"/>
  <c r="AN219" i="3"/>
  <c r="AP219" i="3" s="1"/>
  <c r="AW222" i="3"/>
  <c r="X232" i="3"/>
  <c r="AH232" i="3" s="1"/>
  <c r="X224" i="3"/>
  <c r="AH224" i="3" s="1"/>
  <c r="X226" i="3"/>
  <c r="AH226" i="3" s="1"/>
  <c r="X234" i="3"/>
  <c r="AH234" i="3" s="1"/>
  <c r="X242" i="3"/>
  <c r="AH242" i="3" s="1"/>
  <c r="X250" i="3"/>
  <c r="AH250" i="3" s="1"/>
  <c r="AY275" i="3"/>
  <c r="AY279" i="3"/>
  <c r="X228" i="3"/>
  <c r="AH228" i="3" s="1"/>
  <c r="X236" i="3"/>
  <c r="AH236" i="3" s="1"/>
  <c r="X244" i="3"/>
  <c r="AH244" i="3" s="1"/>
  <c r="BC259" i="3"/>
  <c r="AX259" i="3"/>
  <c r="AS259" i="3"/>
  <c r="AR259" i="3"/>
  <c r="AN259" i="3"/>
  <c r="AT259" i="3" s="1"/>
  <c r="AO260" i="3"/>
  <c r="BC267" i="3"/>
  <c r="AP267" i="3"/>
  <c r="AW267" i="3"/>
  <c r="AZ267" i="3"/>
  <c r="AV267" i="3"/>
  <c r="AN267" i="3"/>
  <c r="AX267" i="3" s="1"/>
  <c r="AY267" i="3"/>
  <c r="AU267" i="3"/>
  <c r="AZ312" i="3"/>
  <c r="AV312" i="3"/>
  <c r="AR312" i="3"/>
  <c r="AN312" i="3"/>
  <c r="AY312" i="3"/>
  <c r="AU312" i="3"/>
  <c r="AQ312" i="3"/>
  <c r="BC312" i="3"/>
  <c r="AX312" i="3"/>
  <c r="AT312" i="3"/>
  <c r="AP312" i="3"/>
  <c r="AO312" i="3"/>
  <c r="AW312" i="3"/>
  <c r="AS312" i="3"/>
  <c r="X223" i="3"/>
  <c r="AH223" i="3" s="1"/>
  <c r="X225" i="3"/>
  <c r="AH225" i="3" s="1"/>
  <c r="X227" i="3"/>
  <c r="AH227" i="3" s="1"/>
  <c r="X230" i="3"/>
  <c r="AH230" i="3" s="1"/>
  <c r="X238" i="3"/>
  <c r="AH238" i="3" s="1"/>
  <c r="X246" i="3"/>
  <c r="AH246" i="3" s="1"/>
  <c r="X253" i="3"/>
  <c r="AH253" i="3" s="1"/>
  <c r="AR256" i="3"/>
  <c r="AN256" i="3"/>
  <c r="AS256" i="3" s="1"/>
  <c r="BC256" i="3"/>
  <c r="AT256" i="3"/>
  <c r="AP256" i="3"/>
  <c r="AW256" i="3"/>
  <c r="AO256" i="3"/>
  <c r="AZ264" i="3"/>
  <c r="AV264" i="3"/>
  <c r="AN264" i="3"/>
  <c r="AS264" i="3" s="1"/>
  <c r="AY264" i="3"/>
  <c r="AU264" i="3"/>
  <c r="BC264" i="3"/>
  <c r="AX264" i="3"/>
  <c r="AT264" i="3"/>
  <c r="AO264" i="3"/>
  <c r="AW264" i="3"/>
  <c r="AQ267" i="3"/>
  <c r="AZ272" i="3"/>
  <c r="AV272" i="3"/>
  <c r="AR272" i="3"/>
  <c r="AN272" i="3"/>
  <c r="AS272" i="3" s="1"/>
  <c r="AY272" i="3"/>
  <c r="AU272" i="3"/>
  <c r="AQ272" i="3"/>
  <c r="BC272" i="3"/>
  <c r="AX272" i="3"/>
  <c r="AT272" i="3"/>
  <c r="AP272" i="3"/>
  <c r="AO272" i="3"/>
  <c r="AW272" i="3"/>
  <c r="AY273" i="3"/>
  <c r="BC285" i="3"/>
  <c r="AX285" i="3"/>
  <c r="AS285" i="3"/>
  <c r="AR285" i="3"/>
  <c r="AN285" i="3"/>
  <c r="AT285" i="3" s="1"/>
  <c r="AY285" i="3"/>
  <c r="X229" i="3"/>
  <c r="AH229" i="3" s="1"/>
  <c r="X231" i="3"/>
  <c r="AH231" i="3" s="1"/>
  <c r="X233" i="3"/>
  <c r="AH233" i="3" s="1"/>
  <c r="X235" i="3"/>
  <c r="AH235" i="3" s="1"/>
  <c r="X237" i="3"/>
  <c r="AH237" i="3" s="1"/>
  <c r="X239" i="3"/>
  <c r="AH239" i="3" s="1"/>
  <c r="X241" i="3"/>
  <c r="AH241" i="3" s="1"/>
  <c r="X243" i="3"/>
  <c r="AH243" i="3" s="1"/>
  <c r="X245" i="3"/>
  <c r="AH245" i="3" s="1"/>
  <c r="X247" i="3"/>
  <c r="AH247" i="3" s="1"/>
  <c r="X249" i="3"/>
  <c r="AH249" i="3" s="1"/>
  <c r="X251" i="3"/>
  <c r="AH251" i="3" s="1"/>
  <c r="BC252" i="3"/>
  <c r="AX252" i="3"/>
  <c r="AT252" i="3"/>
  <c r="AN252" i="3"/>
  <c r="AS252" i="3"/>
  <c r="AY252" i="3"/>
  <c r="BC254" i="3"/>
  <c r="AR258" i="3"/>
  <c r="AN258" i="3"/>
  <c r="AZ258" i="3" s="1"/>
  <c r="AQ258" i="3"/>
  <c r="BC258" i="3"/>
  <c r="AP258" i="3"/>
  <c r="AS258" i="3"/>
  <c r="BC261" i="3"/>
  <c r="AN261" i="3"/>
  <c r="AX261" i="3" s="1"/>
  <c r="AR266" i="3"/>
  <c r="AN266" i="3"/>
  <c r="AZ266" i="3" s="1"/>
  <c r="AQ266" i="3"/>
  <c r="BC266" i="3"/>
  <c r="AP266" i="3"/>
  <c r="AS266" i="3"/>
  <c r="BC269" i="3"/>
  <c r="AN269" i="3"/>
  <c r="AW269" i="3" s="1"/>
  <c r="AR274" i="3"/>
  <c r="AN274" i="3"/>
  <c r="AZ274" i="3" s="1"/>
  <c r="AQ274" i="3"/>
  <c r="BC274" i="3"/>
  <c r="AP274" i="3"/>
  <c r="AS274" i="3"/>
  <c r="AR276" i="3"/>
  <c r="AN276" i="3"/>
  <c r="AZ276" i="3" s="1"/>
  <c r="AQ276" i="3"/>
  <c r="BC276" i="3"/>
  <c r="AP276" i="3"/>
  <c r="AS276" i="3"/>
  <c r="AR278" i="3"/>
  <c r="AN278" i="3"/>
  <c r="AZ278" i="3" s="1"/>
  <c r="AQ278" i="3"/>
  <c r="BC278" i="3"/>
  <c r="AP278" i="3"/>
  <c r="AS278" i="3"/>
  <c r="AR280" i="3"/>
  <c r="AN280" i="3"/>
  <c r="AZ280" i="3" s="1"/>
  <c r="AQ280" i="3"/>
  <c r="BC280" i="3"/>
  <c r="AP280" i="3"/>
  <c r="AS280" i="3"/>
  <c r="AQ282" i="3"/>
  <c r="BC282" i="3"/>
  <c r="AP282" i="3"/>
  <c r="AW282" i="3"/>
  <c r="AR304" i="3"/>
  <c r="AN304" i="3"/>
  <c r="AS304" i="3" s="1"/>
  <c r="AQ304" i="3"/>
  <c r="BC304" i="3"/>
  <c r="AP304" i="3"/>
  <c r="AO304" i="3"/>
  <c r="AU315" i="3"/>
  <c r="X349" i="3"/>
  <c r="AH349" i="3" s="1"/>
  <c r="AN351" i="3" s="1"/>
  <c r="BC257" i="3"/>
  <c r="AT257" i="3"/>
  <c r="AR257" i="3"/>
  <c r="AN257" i="3"/>
  <c r="AY257" i="3" s="1"/>
  <c r="AV260" i="3"/>
  <c r="AR260" i="3"/>
  <c r="AN260" i="3"/>
  <c r="AZ260" i="3" s="1"/>
  <c r="AU260" i="3"/>
  <c r="AQ260" i="3"/>
  <c r="BC260" i="3"/>
  <c r="AT260" i="3"/>
  <c r="AP260" i="3"/>
  <c r="AS260" i="3"/>
  <c r="BC263" i="3"/>
  <c r="AX263" i="3"/>
  <c r="AS263" i="3"/>
  <c r="AR263" i="3"/>
  <c r="AN263" i="3"/>
  <c r="AY263" i="3" s="1"/>
  <c r="AV268" i="3"/>
  <c r="AR268" i="3"/>
  <c r="AN268" i="3"/>
  <c r="AO268" i="3" s="1"/>
  <c r="AU268" i="3"/>
  <c r="AQ268" i="3"/>
  <c r="BC268" i="3"/>
  <c r="AT268" i="3"/>
  <c r="AP268" i="3"/>
  <c r="AS268" i="3"/>
  <c r="BC271" i="3"/>
  <c r="AX271" i="3"/>
  <c r="AS271" i="3"/>
  <c r="AR271" i="3"/>
  <c r="AN271" i="3"/>
  <c r="AY271" i="3" s="1"/>
  <c r="BC275" i="3"/>
  <c r="AX275" i="3"/>
  <c r="AS275" i="3"/>
  <c r="AR275" i="3"/>
  <c r="AN275" i="3"/>
  <c r="AU275" i="3" s="1"/>
  <c r="BC277" i="3"/>
  <c r="AN277" i="3"/>
  <c r="AU277" i="3" s="1"/>
  <c r="BC279" i="3"/>
  <c r="AP279" i="3"/>
  <c r="AW279" i="3"/>
  <c r="AZ279" i="3"/>
  <c r="AV279" i="3"/>
  <c r="AN279" i="3"/>
  <c r="AU279" i="3" s="1"/>
  <c r="BC281" i="3"/>
  <c r="AX281" i="3"/>
  <c r="AW281" i="3"/>
  <c r="AS281" i="3"/>
  <c r="AV281" i="3"/>
  <c r="AR281" i="3"/>
  <c r="AN281" i="3"/>
  <c r="AU281" i="3" s="1"/>
  <c r="AZ284" i="3"/>
  <c r="AZ286" i="3"/>
  <c r="AV286" i="3"/>
  <c r="AN286" i="3"/>
  <c r="AR286" i="3" s="1"/>
  <c r="AY286" i="3"/>
  <c r="AU286" i="3"/>
  <c r="BC286" i="3"/>
  <c r="AX286" i="3"/>
  <c r="AT286" i="3"/>
  <c r="AO286" i="3"/>
  <c r="AW286" i="3"/>
  <c r="AN288" i="3"/>
  <c r="AZ288" i="3" s="1"/>
  <c r="BC288" i="3"/>
  <c r="AR290" i="3"/>
  <c r="AN290" i="3"/>
  <c r="AZ290" i="3" s="1"/>
  <c r="AQ290" i="3"/>
  <c r="BC290" i="3"/>
  <c r="AP290" i="3"/>
  <c r="AO290" i="3"/>
  <c r="AV292" i="3"/>
  <c r="AR292" i="3"/>
  <c r="AN292" i="3"/>
  <c r="AZ292" i="3" s="1"/>
  <c r="AU292" i="3"/>
  <c r="AQ292" i="3"/>
  <c r="BC292" i="3"/>
  <c r="AT292" i="3"/>
  <c r="AP292" i="3"/>
  <c r="AO292" i="3"/>
  <c r="AW292" i="3"/>
  <c r="AZ294" i="3"/>
  <c r="AV294" i="3"/>
  <c r="AN294" i="3"/>
  <c r="AR294" i="3" s="1"/>
  <c r="AY294" i="3"/>
  <c r="AU294" i="3"/>
  <c r="AQ294" i="3"/>
  <c r="BC294" i="3"/>
  <c r="AX294" i="3"/>
  <c r="AT294" i="3"/>
  <c r="AP294" i="3"/>
  <c r="AO294" i="3"/>
  <c r="AW294" i="3"/>
  <c r="AN296" i="3"/>
  <c r="AZ296" i="3" s="1"/>
  <c r="BC296" i="3"/>
  <c r="AO310" i="3"/>
  <c r="BC311" i="3"/>
  <c r="AP311" i="3"/>
  <c r="AW311" i="3"/>
  <c r="AZ311" i="3"/>
  <c r="AV311" i="3"/>
  <c r="AN311" i="3"/>
  <c r="AX311" i="3" s="1"/>
  <c r="AU311" i="3"/>
  <c r="AQ311" i="3"/>
  <c r="AU257" i="3"/>
  <c r="AW260" i="3"/>
  <c r="AR262" i="3"/>
  <c r="AN262" i="3"/>
  <c r="AZ262" i="3" s="1"/>
  <c r="AQ262" i="3"/>
  <c r="BC262" i="3"/>
  <c r="AP262" i="3"/>
  <c r="AS262" i="3"/>
  <c r="BC265" i="3"/>
  <c r="AX265" i="3"/>
  <c r="AS265" i="3"/>
  <c r="AR265" i="3"/>
  <c r="AN265" i="3"/>
  <c r="AU265" i="3" s="1"/>
  <c r="AW268" i="3"/>
  <c r="AZ270" i="3"/>
  <c r="AV270" i="3"/>
  <c r="AN270" i="3"/>
  <c r="AY270" i="3"/>
  <c r="AU270" i="3"/>
  <c r="BC270" i="3"/>
  <c r="AX270" i="3"/>
  <c r="AT270" i="3"/>
  <c r="AS270" i="3"/>
  <c r="AU271" i="3"/>
  <c r="BC273" i="3"/>
  <c r="AP273" i="3"/>
  <c r="AW273" i="3"/>
  <c r="AZ273" i="3"/>
  <c r="AV273" i="3"/>
  <c r="AN273" i="3"/>
  <c r="AU273" i="3" s="1"/>
  <c r="AQ273" i="3"/>
  <c r="AQ275" i="3"/>
  <c r="AQ279" i="3"/>
  <c r="AQ281" i="3"/>
  <c r="AN282" i="3"/>
  <c r="AV282" i="3" s="1"/>
  <c r="AN283" i="3"/>
  <c r="AQ283" i="3" s="1"/>
  <c r="BC283" i="3"/>
  <c r="AS286" i="3"/>
  <c r="AS288" i="3"/>
  <c r="AS290" i="3"/>
  <c r="AS292" i="3"/>
  <c r="AS294" i="3"/>
  <c r="AS296" i="3"/>
  <c r="BC303" i="3"/>
  <c r="AX303" i="3"/>
  <c r="AS303" i="3"/>
  <c r="AR303" i="3"/>
  <c r="AN303" i="3"/>
  <c r="AY303" i="3" s="1"/>
  <c r="AO308" i="3"/>
  <c r="BC331" i="3"/>
  <c r="AN331" i="3"/>
  <c r="AP331" i="3" s="1"/>
  <c r="AO284" i="3"/>
  <c r="AW284" i="3"/>
  <c r="BC287" i="3"/>
  <c r="AX287" i="3"/>
  <c r="AS287" i="3"/>
  <c r="AR287" i="3"/>
  <c r="AN287" i="3"/>
  <c r="AP287" i="3" s="1"/>
  <c r="BC289" i="3"/>
  <c r="AN289" i="3"/>
  <c r="AX289" i="3" s="1"/>
  <c r="BC291" i="3"/>
  <c r="AP291" i="3"/>
  <c r="AW291" i="3"/>
  <c r="AZ291" i="3"/>
  <c r="AV291" i="3"/>
  <c r="AN291" i="3"/>
  <c r="BC293" i="3"/>
  <c r="AX293" i="3"/>
  <c r="AW293" i="3"/>
  <c r="AS293" i="3"/>
  <c r="AV293" i="3"/>
  <c r="AR293" i="3"/>
  <c r="AN293" i="3"/>
  <c r="AP293" i="3" s="1"/>
  <c r="BC295" i="3"/>
  <c r="AX295" i="3"/>
  <c r="AS295" i="3"/>
  <c r="AR295" i="3"/>
  <c r="AN295" i="3"/>
  <c r="AP295" i="3" s="1"/>
  <c r="BC297" i="3"/>
  <c r="AN297" i="3"/>
  <c r="AX297" i="3" s="1"/>
  <c r="AR298" i="3"/>
  <c r="AN298" i="3"/>
  <c r="AZ298" i="3" s="1"/>
  <c r="AQ298" i="3"/>
  <c r="BC298" i="3"/>
  <c r="AP298" i="3"/>
  <c r="AS298" i="3"/>
  <c r="BC305" i="3"/>
  <c r="AX305" i="3"/>
  <c r="AW305" i="3"/>
  <c r="AS305" i="3"/>
  <c r="AV305" i="3"/>
  <c r="AR305" i="3"/>
  <c r="AN305" i="3"/>
  <c r="AP305" i="3" s="1"/>
  <c r="AZ306" i="3"/>
  <c r="AV306" i="3"/>
  <c r="AN306" i="3"/>
  <c r="AY306" i="3"/>
  <c r="AU306" i="3"/>
  <c r="BC306" i="3"/>
  <c r="AX306" i="3"/>
  <c r="AT306" i="3"/>
  <c r="AP306" i="3"/>
  <c r="AS306" i="3"/>
  <c r="BC313" i="3"/>
  <c r="AN313" i="3"/>
  <c r="AR314" i="3"/>
  <c r="AN314" i="3"/>
  <c r="AZ314" i="3" s="1"/>
  <c r="AQ314" i="3"/>
  <c r="BC314" i="3"/>
  <c r="AP314" i="3"/>
  <c r="AS314" i="3"/>
  <c r="BC325" i="3"/>
  <c r="AP325" i="3"/>
  <c r="AW325" i="3"/>
  <c r="AZ325" i="3"/>
  <c r="AV325" i="3"/>
  <c r="AN325" i="3"/>
  <c r="AX325" i="3" s="1"/>
  <c r="AY325" i="3"/>
  <c r="AU325" i="3"/>
  <c r="AZ333" i="3"/>
  <c r="AX333" i="3"/>
  <c r="BC333" i="3"/>
  <c r="AW333" i="3"/>
  <c r="AV333" i="3"/>
  <c r="AR333" i="3"/>
  <c r="AN333" i="3"/>
  <c r="AT333" i="3" s="1"/>
  <c r="AU333" i="3"/>
  <c r="AQ333" i="3"/>
  <c r="AR284" i="3"/>
  <c r="BC299" i="3"/>
  <c r="AX299" i="3"/>
  <c r="AS299" i="3"/>
  <c r="AR299" i="3"/>
  <c r="AN299" i="3"/>
  <c r="AQ299" i="3" s="1"/>
  <c r="AV300" i="3"/>
  <c r="AR300" i="3"/>
  <c r="AN300" i="3"/>
  <c r="AW300" i="3" s="1"/>
  <c r="AU300" i="3"/>
  <c r="AQ300" i="3"/>
  <c r="BC300" i="3"/>
  <c r="AT300" i="3"/>
  <c r="AP300" i="3"/>
  <c r="AS300" i="3"/>
  <c r="BC307" i="3"/>
  <c r="AX307" i="3"/>
  <c r="AW307" i="3"/>
  <c r="AS307" i="3"/>
  <c r="AV307" i="3"/>
  <c r="AR307" i="3"/>
  <c r="AN307" i="3"/>
  <c r="AQ307" i="3" s="1"/>
  <c r="AZ308" i="3"/>
  <c r="AV308" i="3"/>
  <c r="AR308" i="3"/>
  <c r="AN308" i="3"/>
  <c r="AW308" i="3" s="1"/>
  <c r="AY308" i="3"/>
  <c r="AU308" i="3"/>
  <c r="AQ308" i="3"/>
  <c r="BC308" i="3"/>
  <c r="AX308" i="3"/>
  <c r="AT308" i="3"/>
  <c r="AP308" i="3"/>
  <c r="AS308" i="3"/>
  <c r="BC315" i="3"/>
  <c r="AP315" i="3"/>
  <c r="AW315" i="3"/>
  <c r="AZ315" i="3"/>
  <c r="AV315" i="3"/>
  <c r="AN315" i="3"/>
  <c r="AQ315" i="3" s="1"/>
  <c r="AY315" i="3"/>
  <c r="AN316" i="3"/>
  <c r="AZ316" i="3" s="1"/>
  <c r="BC316" i="3"/>
  <c r="AS316" i="3"/>
  <c r="BC327" i="3"/>
  <c r="AX327" i="3"/>
  <c r="AS327" i="3"/>
  <c r="AR327" i="3"/>
  <c r="AN327" i="3"/>
  <c r="AT327" i="3" s="1"/>
  <c r="AQ327" i="3"/>
  <c r="AR335" i="3"/>
  <c r="AN335" i="3"/>
  <c r="AZ335" i="3" s="1"/>
  <c r="BC335" i="3"/>
  <c r="AW335" i="3"/>
  <c r="AP335" i="3"/>
  <c r="AO335" i="3"/>
  <c r="AY284" i="3"/>
  <c r="AU284" i="3"/>
  <c r="AQ284" i="3"/>
  <c r="BC284" i="3"/>
  <c r="AX284" i="3"/>
  <c r="AT284" i="3"/>
  <c r="AP284" i="3"/>
  <c r="AS284" i="3"/>
  <c r="BC301" i="3"/>
  <c r="AN301" i="3"/>
  <c r="AU301" i="3" s="1"/>
  <c r="AR302" i="3"/>
  <c r="AN302" i="3"/>
  <c r="AW302" i="3" s="1"/>
  <c r="AQ302" i="3"/>
  <c r="BC302" i="3"/>
  <c r="AP302" i="3"/>
  <c r="AS302" i="3"/>
  <c r="BC309" i="3"/>
  <c r="AX309" i="3"/>
  <c r="AS309" i="3"/>
  <c r="AR309" i="3"/>
  <c r="AN309" i="3"/>
  <c r="AU309" i="3" s="1"/>
  <c r="AV310" i="3"/>
  <c r="AR310" i="3"/>
  <c r="AN310" i="3"/>
  <c r="AW310" i="3" s="1"/>
  <c r="AU310" i="3"/>
  <c r="AQ310" i="3"/>
  <c r="BC310" i="3"/>
  <c r="AT310" i="3"/>
  <c r="AP310" i="3"/>
  <c r="AS310" i="3"/>
  <c r="AW316" i="3"/>
  <c r="BC317" i="3"/>
  <c r="AP317" i="3"/>
  <c r="AW317" i="3"/>
  <c r="AZ317" i="3"/>
  <c r="AV317" i="3"/>
  <c r="AN317" i="3"/>
  <c r="AX317" i="3" s="1"/>
  <c r="AY317" i="3"/>
  <c r="BC318" i="3"/>
  <c r="AR318" i="3"/>
  <c r="AN318" i="3"/>
  <c r="AW318" i="3" s="1"/>
  <c r="AQ318" i="3"/>
  <c r="AX318" i="3"/>
  <c r="AS318" i="3"/>
  <c r="AW319" i="3"/>
  <c r="AZ319" i="3"/>
  <c r="AV319" i="3"/>
  <c r="AN319" i="3"/>
  <c r="AU319" i="3" s="1"/>
  <c r="BC319" i="3"/>
  <c r="AT319" i="3"/>
  <c r="AQ319" i="3"/>
  <c r="AX319" i="3"/>
  <c r="AP319" i="3"/>
  <c r="BC321" i="3"/>
  <c r="AN321" i="3"/>
  <c r="AP321" i="3" s="1"/>
  <c r="BC329" i="3"/>
  <c r="AP329" i="3"/>
  <c r="AW329" i="3"/>
  <c r="AZ329" i="3"/>
  <c r="AV329" i="3"/>
  <c r="AN329" i="3"/>
  <c r="AX329" i="3" s="1"/>
  <c r="AY329" i="3"/>
  <c r="AU329" i="3"/>
  <c r="AN320" i="3"/>
  <c r="BC320" i="3"/>
  <c r="X341" i="3"/>
  <c r="AH341" i="3" s="1"/>
  <c r="AN337" i="3"/>
  <c r="AO337" i="3" s="1"/>
  <c r="AN339" i="3"/>
  <c r="AS339" i="3" s="1"/>
  <c r="BC339" i="3"/>
  <c r="BC359" i="3"/>
  <c r="AX359" i="3"/>
  <c r="AS359" i="3"/>
  <c r="AR359" i="3"/>
  <c r="AN359" i="3"/>
  <c r="AT359" i="3" s="1"/>
  <c r="AQ359" i="3"/>
  <c r="AN322" i="3"/>
  <c r="AW322" i="3" s="1"/>
  <c r="BC322" i="3"/>
  <c r="AS322" i="3"/>
  <c r="AN324" i="3"/>
  <c r="AW324" i="3" s="1"/>
  <c r="BC324" i="3"/>
  <c r="AN326" i="3"/>
  <c r="AW326" i="3" s="1"/>
  <c r="BC326" i="3"/>
  <c r="AN328" i="3"/>
  <c r="AW328" i="3" s="1"/>
  <c r="BC328" i="3"/>
  <c r="AS328" i="3"/>
  <c r="AN330" i="3"/>
  <c r="AW330" i="3" s="1"/>
  <c r="BC330" i="3"/>
  <c r="AS330" i="3"/>
  <c r="AN332" i="3"/>
  <c r="AW332" i="3" s="1"/>
  <c r="BC332" i="3"/>
  <c r="BC342" i="3"/>
  <c r="BC351" i="3"/>
  <c r="AN338" i="3"/>
  <c r="AU338" i="3" s="1"/>
  <c r="AZ340" i="3"/>
  <c r="X343" i="3"/>
  <c r="AH343" i="3" s="1"/>
  <c r="BC344" i="3"/>
  <c r="BC353" i="3"/>
  <c r="AX353" i="3"/>
  <c r="AS353" i="3"/>
  <c r="AR353" i="3"/>
  <c r="AN353" i="3"/>
  <c r="AT353" i="3" s="1"/>
  <c r="AQ353" i="3"/>
  <c r="BC361" i="3"/>
  <c r="AN361" i="3"/>
  <c r="AP361" i="3" s="1"/>
  <c r="AW379" i="3"/>
  <c r="BC334" i="3"/>
  <c r="AP334" i="3"/>
  <c r="AN334" i="3"/>
  <c r="AX334" i="3" s="1"/>
  <c r="BC336" i="3"/>
  <c r="AN336" i="3"/>
  <c r="X345" i="3"/>
  <c r="AH345" i="3" s="1"/>
  <c r="AN346" i="3" s="1"/>
  <c r="BC346" i="3"/>
  <c r="BC355" i="3"/>
  <c r="AX355" i="3"/>
  <c r="AS355" i="3"/>
  <c r="AR355" i="3"/>
  <c r="AN355" i="3"/>
  <c r="AT355" i="3" s="1"/>
  <c r="AQ355" i="3"/>
  <c r="BC363" i="3"/>
  <c r="AN363" i="3"/>
  <c r="AP363" i="3" s="1"/>
  <c r="BC338" i="3"/>
  <c r="AX338" i="3"/>
  <c r="AW338" i="3"/>
  <c r="AS338" i="3"/>
  <c r="AZ338" i="3"/>
  <c r="AY340" i="3"/>
  <c r="AU340" i="3"/>
  <c r="AQ340" i="3"/>
  <c r="BC340" i="3"/>
  <c r="AX340" i="3"/>
  <c r="AT340" i="3"/>
  <c r="AP340" i="3"/>
  <c r="AW340" i="3"/>
  <c r="AS340" i="3"/>
  <c r="AO340" i="3"/>
  <c r="AR340" i="3"/>
  <c r="X347" i="3"/>
  <c r="AH347" i="3" s="1"/>
  <c r="AN348" i="3" s="1"/>
  <c r="BC348" i="3"/>
  <c r="BC357" i="3"/>
  <c r="AX357" i="3"/>
  <c r="AS357" i="3"/>
  <c r="AR357" i="3"/>
  <c r="AN357" i="3"/>
  <c r="AT357" i="3" s="1"/>
  <c r="AQ357" i="3"/>
  <c r="AR365" i="3"/>
  <c r="AN365" i="3"/>
  <c r="AZ365" i="3" s="1"/>
  <c r="BC365" i="3"/>
  <c r="AW365" i="3"/>
  <c r="AP365" i="3"/>
  <c r="AY365" i="3"/>
  <c r="AQ376" i="3"/>
  <c r="BC367" i="3"/>
  <c r="AN367" i="3"/>
  <c r="AZ367" i="3" s="1"/>
  <c r="BC373" i="3"/>
  <c r="AN373" i="3"/>
  <c r="AP373" i="3" s="1"/>
  <c r="BC369" i="3"/>
  <c r="AX369" i="3"/>
  <c r="AW369" i="3"/>
  <c r="AS369" i="3"/>
  <c r="AV369" i="3"/>
  <c r="AR369" i="3"/>
  <c r="AN369" i="3"/>
  <c r="AY369" i="3" s="1"/>
  <c r="AQ369" i="3"/>
  <c r="BC350" i="3"/>
  <c r="AR352" i="3"/>
  <c r="AN352" i="3"/>
  <c r="AW352" i="3" s="1"/>
  <c r="AQ352" i="3"/>
  <c r="BC352" i="3"/>
  <c r="AP352" i="3"/>
  <c r="AS352" i="3"/>
  <c r="AR354" i="3"/>
  <c r="AN354" i="3"/>
  <c r="AW354" i="3" s="1"/>
  <c r="AQ354" i="3"/>
  <c r="BC354" i="3"/>
  <c r="AP354" i="3"/>
  <c r="AS354" i="3"/>
  <c r="AR356" i="3"/>
  <c r="AN356" i="3"/>
  <c r="AW356" i="3" s="1"/>
  <c r="AQ356" i="3"/>
  <c r="BC356" i="3"/>
  <c r="AP356" i="3"/>
  <c r="AS356" i="3"/>
  <c r="AR358" i="3"/>
  <c r="AN358" i="3"/>
  <c r="AW358" i="3" s="1"/>
  <c r="AQ358" i="3"/>
  <c r="BC358" i="3"/>
  <c r="AP358" i="3"/>
  <c r="AS358" i="3"/>
  <c r="AR360" i="3"/>
  <c r="AN360" i="3"/>
  <c r="AW360" i="3" s="1"/>
  <c r="AQ360" i="3"/>
  <c r="BC360" i="3"/>
  <c r="AP360" i="3"/>
  <c r="AS360" i="3"/>
  <c r="AR362" i="3"/>
  <c r="AN362" i="3"/>
  <c r="AW362" i="3" s="1"/>
  <c r="AQ362" i="3"/>
  <c r="BC362" i="3"/>
  <c r="AP362" i="3"/>
  <c r="AS362" i="3"/>
  <c r="AR364" i="3"/>
  <c r="AN364" i="3"/>
  <c r="AW364" i="3" s="1"/>
  <c r="AQ364" i="3"/>
  <c r="BC364" i="3"/>
  <c r="AP364" i="3"/>
  <c r="AS364" i="3"/>
  <c r="AZ370" i="3"/>
  <c r="AV370" i="3"/>
  <c r="AR370" i="3"/>
  <c r="AN370" i="3"/>
  <c r="AS370" i="3" s="1"/>
  <c r="AY370" i="3"/>
  <c r="AU370" i="3"/>
  <c r="AQ370" i="3"/>
  <c r="BC370" i="3"/>
  <c r="AX370" i="3"/>
  <c r="AT370" i="3"/>
  <c r="AP370" i="3"/>
  <c r="AO370" i="3"/>
  <c r="AW370" i="3"/>
  <c r="AV372" i="3"/>
  <c r="AR372" i="3"/>
  <c r="AN372" i="3"/>
  <c r="AO372" i="3" s="1"/>
  <c r="AU372" i="3"/>
  <c r="AQ372" i="3"/>
  <c r="BC372" i="3"/>
  <c r="AT372" i="3"/>
  <c r="AP372" i="3"/>
  <c r="AS372" i="3"/>
  <c r="BC375" i="3"/>
  <c r="AX375" i="3"/>
  <c r="AS375" i="3"/>
  <c r="AR375" i="3"/>
  <c r="AN375" i="3"/>
  <c r="AY375" i="3" s="1"/>
  <c r="BC384" i="3"/>
  <c r="AX384" i="3"/>
  <c r="CC4" i="3" s="1"/>
  <c r="AS384" i="3"/>
  <c r="BX4" i="3" s="1"/>
  <c r="AR384" i="3"/>
  <c r="BW4" i="3" s="1"/>
  <c r="AN384" i="3"/>
  <c r="AP384" i="3" s="1"/>
  <c r="BU4" i="3" s="1"/>
  <c r="AO385" i="3"/>
  <c r="AY386" i="3"/>
  <c r="CD6" i="3" s="1"/>
  <c r="BC366" i="3"/>
  <c r="AN366" i="3"/>
  <c r="AZ366" i="3" s="1"/>
  <c r="AR368" i="3"/>
  <c r="AN368" i="3"/>
  <c r="AQ368" i="3" s="1"/>
  <c r="BC368" i="3"/>
  <c r="AT368" i="3"/>
  <c r="AP368" i="3"/>
  <c r="AW372" i="3"/>
  <c r="AZ374" i="3"/>
  <c r="AV374" i="3"/>
  <c r="AR374" i="3"/>
  <c r="AN374" i="3"/>
  <c r="AW374" i="3" s="1"/>
  <c r="AY374" i="3"/>
  <c r="AU374" i="3"/>
  <c r="AQ374" i="3"/>
  <c r="BC374" i="3"/>
  <c r="AX374" i="3"/>
  <c r="AT374" i="3"/>
  <c r="AP374" i="3"/>
  <c r="AS374" i="3"/>
  <c r="AU375" i="3"/>
  <c r="BC371" i="3"/>
  <c r="AX371" i="3"/>
  <c r="AS371" i="3"/>
  <c r="AR371" i="3"/>
  <c r="AN371" i="3"/>
  <c r="AU371" i="3" s="1"/>
  <c r="BC376" i="3"/>
  <c r="AX376" i="3"/>
  <c r="AT376" i="3"/>
  <c r="AV376" i="3"/>
  <c r="AR376" i="3"/>
  <c r="AN376" i="3"/>
  <c r="AP376" i="3" s="1"/>
  <c r="AO376" i="3"/>
  <c r="AU376" i="3"/>
  <c r="AS376" i="3"/>
  <c r="AY382" i="3"/>
  <c r="BC378" i="3"/>
  <c r="AT378" i="3"/>
  <c r="AR378" i="3"/>
  <c r="AN378" i="3"/>
  <c r="AZ378" i="3" s="1"/>
  <c r="BC380" i="3"/>
  <c r="AX380" i="3"/>
  <c r="AZ380" i="3"/>
  <c r="AV380" i="3"/>
  <c r="AR380" i="3"/>
  <c r="AN380" i="3"/>
  <c r="AS380" i="3"/>
  <c r="AN383" i="3"/>
  <c r="BC383" i="3"/>
  <c r="AU386" i="3"/>
  <c r="BZ6" i="3" s="1"/>
  <c r="AR385" i="3"/>
  <c r="BW5" i="3" s="1"/>
  <c r="AN385" i="3"/>
  <c r="BS5" i="3" s="1"/>
  <c r="AQ385" i="3"/>
  <c r="BV5" i="3" s="1"/>
  <c r="BC385" i="3"/>
  <c r="AP385" i="3"/>
  <c r="BU5" i="3" s="1"/>
  <c r="AS385" i="3"/>
  <c r="BX5" i="3" s="1"/>
  <c r="AR377" i="3"/>
  <c r="AN377" i="3"/>
  <c r="AZ377" i="3" s="1"/>
  <c r="BC377" i="3"/>
  <c r="AT377" i="3"/>
  <c r="AP377" i="3"/>
  <c r="AV379" i="3"/>
  <c r="AR379" i="3"/>
  <c r="AN379" i="3"/>
  <c r="AO379" i="3" s="1"/>
  <c r="BC379" i="3"/>
  <c r="AX379" i="3"/>
  <c r="AT379" i="3"/>
  <c r="AP379" i="3"/>
  <c r="AZ381" i="3"/>
  <c r="AV381" i="3"/>
  <c r="AN381" i="3"/>
  <c r="AS381" i="3" s="1"/>
  <c r="AY381" i="3"/>
  <c r="AU381" i="3"/>
  <c r="AQ381" i="3"/>
  <c r="BC381" i="3"/>
  <c r="AX381" i="3"/>
  <c r="AT381" i="3"/>
  <c r="AP381" i="3"/>
  <c r="AO381" i="3"/>
  <c r="BC382" i="3"/>
  <c r="AX382" i="3"/>
  <c r="AW382" i="3"/>
  <c r="AS382" i="3"/>
  <c r="AV382" i="3"/>
  <c r="AR382" i="3"/>
  <c r="AN382" i="3"/>
  <c r="AU382" i="3" s="1"/>
  <c r="AW385" i="3"/>
  <c r="CB5" i="3" s="1"/>
  <c r="BC386" i="3"/>
  <c r="AP386" i="3"/>
  <c r="BU6" i="3" s="1"/>
  <c r="AW386" i="3"/>
  <c r="CB6" i="3" s="1"/>
  <c r="AZ386" i="3"/>
  <c r="CE6" i="3" s="1"/>
  <c r="AV386" i="3"/>
  <c r="CA6" i="3" s="1"/>
  <c r="AN386" i="3"/>
  <c r="BC10" i="2"/>
  <c r="BS10" i="2" s="1"/>
  <c r="AN11" i="2"/>
  <c r="AY11" i="2" s="1"/>
  <c r="BC19" i="2"/>
  <c r="BS19" i="2" s="1"/>
  <c r="AN20" i="2"/>
  <c r="AX20" i="2" s="1"/>
  <c r="AY13" i="2"/>
  <c r="AT13" i="2"/>
  <c r="AO13" i="2"/>
  <c r="AR13" i="2"/>
  <c r="AN13" i="2"/>
  <c r="AU13" i="2" s="1"/>
  <c r="BC12" i="2"/>
  <c r="BS12" i="2" s="1"/>
  <c r="AS16" i="2"/>
  <c r="AR16" i="2"/>
  <c r="AN16" i="2"/>
  <c r="AO16" i="2" s="1"/>
  <c r="AQ16" i="2"/>
  <c r="AP16" i="2"/>
  <c r="BC15" i="2"/>
  <c r="BS15" i="2" s="1"/>
  <c r="BC8" i="2"/>
  <c r="BS8" i="2" s="1"/>
  <c r="AW15" i="2"/>
  <c r="AZ15" i="2"/>
  <c r="AV15" i="2"/>
  <c r="AN15" i="2"/>
  <c r="AS15" i="2" s="1"/>
  <c r="AY15" i="2"/>
  <c r="AU15" i="2"/>
  <c r="AX15" i="2"/>
  <c r="AT15" i="2"/>
  <c r="BC14" i="2"/>
  <c r="BS14" i="2" s="1"/>
  <c r="AX19" i="2"/>
  <c r="AW19" i="2"/>
  <c r="BC18" i="2"/>
  <c r="BS18" i="2" s="1"/>
  <c r="AZ19" i="2"/>
  <c r="AN19" i="2"/>
  <c r="AY19" i="2" s="1"/>
  <c r="AN28" i="2"/>
  <c r="AZ28" i="2" s="1"/>
  <c r="AX28" i="2"/>
  <c r="AW28" i="2"/>
  <c r="BC27" i="2"/>
  <c r="BS27" i="2" s="1"/>
  <c r="AY29" i="2"/>
  <c r="AU29" i="2"/>
  <c r="AX29" i="2"/>
  <c r="AT29" i="2"/>
  <c r="AP29" i="2"/>
  <c r="AW29" i="2"/>
  <c r="AS29" i="2"/>
  <c r="AO29" i="2"/>
  <c r="BC28" i="2"/>
  <c r="BS28" i="2" s="1"/>
  <c r="AZ29" i="2"/>
  <c r="AV29" i="2"/>
  <c r="AR29" i="2"/>
  <c r="AN29" i="2"/>
  <c r="AQ29" i="2" s="1"/>
  <c r="AZ32" i="2"/>
  <c r="AV32" i="2"/>
  <c r="AR32" i="2"/>
  <c r="AN32" i="2"/>
  <c r="AY32" i="2"/>
  <c r="AU32" i="2"/>
  <c r="AQ32" i="2"/>
  <c r="AX32" i="2"/>
  <c r="AT32" i="2"/>
  <c r="AP32" i="2"/>
  <c r="AW32" i="2"/>
  <c r="AS32" i="2"/>
  <c r="AO32" i="2"/>
  <c r="BC31" i="2"/>
  <c r="BS31" i="2" s="1"/>
  <c r="BC32" i="2"/>
  <c r="BS32" i="2" s="1"/>
  <c r="AN33" i="2"/>
  <c r="AX33" i="2" s="1"/>
  <c r="AN36" i="2"/>
  <c r="AZ36" i="2" s="1"/>
  <c r="AX36" i="2"/>
  <c r="AW36" i="2"/>
  <c r="BC35" i="2"/>
  <c r="BS35" i="2" s="1"/>
  <c r="AY41" i="2"/>
  <c r="AU41" i="2"/>
  <c r="AX41" i="2"/>
  <c r="AT41" i="2"/>
  <c r="AP41" i="2"/>
  <c r="AW41" i="2"/>
  <c r="AS41" i="2"/>
  <c r="AO41" i="2"/>
  <c r="BC40" i="2"/>
  <c r="BS40" i="2" s="1"/>
  <c r="AZ41" i="2"/>
  <c r="AV41" i="2"/>
  <c r="AR41" i="2"/>
  <c r="AN41" i="2"/>
  <c r="AQ41" i="2" s="1"/>
  <c r="AZ44" i="2"/>
  <c r="AV44" i="2"/>
  <c r="AR44" i="2"/>
  <c r="AN44" i="2"/>
  <c r="AY44" i="2"/>
  <c r="AU44" i="2"/>
  <c r="AQ44" i="2"/>
  <c r="AX44" i="2"/>
  <c r="AT44" i="2"/>
  <c r="AP44" i="2"/>
  <c r="AW44" i="2"/>
  <c r="AS44" i="2"/>
  <c r="AO44" i="2"/>
  <c r="BC43" i="2"/>
  <c r="BS43" i="2" s="1"/>
  <c r="AV49" i="2"/>
  <c r="AR49" i="2"/>
  <c r="AN49" i="2"/>
  <c r="AZ49" i="2" s="1"/>
  <c r="AU49" i="2"/>
  <c r="AQ49" i="2"/>
  <c r="AX49" i="2"/>
  <c r="AW49" i="2"/>
  <c r="AO49" i="2"/>
  <c r="AS49" i="2"/>
  <c r="BC48" i="2"/>
  <c r="BS48" i="2" s="1"/>
  <c r="N14" i="2"/>
  <c r="BC4" i="2"/>
  <c r="BS4" i="2" s="1"/>
  <c r="AQ22" i="2"/>
  <c r="AW22" i="2"/>
  <c r="AZ22" i="2"/>
  <c r="AN22" i="2"/>
  <c r="AX22" i="2" s="1"/>
  <c r="BC21" i="2"/>
  <c r="BS21" i="2" s="1"/>
  <c r="AP10" i="2"/>
  <c r="AZ10" i="2"/>
  <c r="AN10" i="2"/>
  <c r="AW10" i="2" s="1"/>
  <c r="AQ10" i="2"/>
  <c r="BC9" i="2"/>
  <c r="BS9" i="2" s="1"/>
  <c r="AN12" i="2"/>
  <c r="AW12" i="2" s="1"/>
  <c r="BC11" i="2"/>
  <c r="BS11" i="2" s="1"/>
  <c r="AQ12" i="2"/>
  <c r="BC7" i="2"/>
  <c r="BS7" i="2" s="1"/>
  <c r="AW14" i="2"/>
  <c r="AS14" i="2"/>
  <c r="AO14" i="2"/>
  <c r="AZ14" i="2"/>
  <c r="AV14" i="2"/>
  <c r="AR14" i="2"/>
  <c r="AN14" i="2"/>
  <c r="BC13" i="2"/>
  <c r="BS13" i="2" s="1"/>
  <c r="AY14" i="2"/>
  <c r="AU14" i="2"/>
  <c r="AQ14" i="2"/>
  <c r="AX14" i="2"/>
  <c r="AT14" i="2"/>
  <c r="AP14" i="2"/>
  <c r="AZ18" i="2"/>
  <c r="AV18" i="2"/>
  <c r="AR18" i="2"/>
  <c r="AN18" i="2"/>
  <c r="AY18" i="2"/>
  <c r="AU18" i="2"/>
  <c r="AQ18" i="2"/>
  <c r="AX18" i="2"/>
  <c r="AT18" i="2"/>
  <c r="AP18" i="2"/>
  <c r="AW18" i="2"/>
  <c r="AS18" i="2"/>
  <c r="AO18" i="2"/>
  <c r="BC17" i="2"/>
  <c r="BS17" i="2" s="1"/>
  <c r="AS21" i="2"/>
  <c r="AO21" i="2"/>
  <c r="BC20" i="2"/>
  <c r="BS20" i="2" s="1"/>
  <c r="AV21" i="2"/>
  <c r="AR21" i="2"/>
  <c r="AN21" i="2"/>
  <c r="AW21" i="2" s="1"/>
  <c r="AU21" i="2"/>
  <c r="AQ21" i="2"/>
  <c r="AX21" i="2"/>
  <c r="AP21" i="2"/>
  <c r="AY26" i="2"/>
  <c r="AQ26" i="2"/>
  <c r="AX26" i="2"/>
  <c r="AT26" i="2"/>
  <c r="AW26" i="2"/>
  <c r="AS26" i="2"/>
  <c r="AO26" i="2"/>
  <c r="AZ26" i="2"/>
  <c r="AV26" i="2"/>
  <c r="AR26" i="2"/>
  <c r="AN26" i="2"/>
  <c r="AU26" i="2" s="1"/>
  <c r="BC25" i="2"/>
  <c r="BS25" i="2" s="1"/>
  <c r="AW31" i="2"/>
  <c r="BC30" i="2"/>
  <c r="BS30" i="2" s="1"/>
  <c r="AZ31" i="2"/>
  <c r="AN31" i="2"/>
  <c r="AS31" i="2" s="1"/>
  <c r="AY31" i="2"/>
  <c r="AX31" i="2"/>
  <c r="AT31" i="2"/>
  <c r="AW35" i="2"/>
  <c r="AS35" i="2"/>
  <c r="AO35" i="2"/>
  <c r="BC34" i="2"/>
  <c r="BS34" i="2" s="1"/>
  <c r="AZ35" i="2"/>
  <c r="AV35" i="2"/>
  <c r="AR35" i="2"/>
  <c r="AN35" i="2"/>
  <c r="AY35" i="2"/>
  <c r="AU35" i="2"/>
  <c r="AQ35" i="2"/>
  <c r="AX35" i="2"/>
  <c r="AT35" i="2"/>
  <c r="AP35" i="2"/>
  <c r="AT38" i="2"/>
  <c r="AP38" i="2"/>
  <c r="AS38" i="2"/>
  <c r="AO38" i="2"/>
  <c r="BC37" i="2"/>
  <c r="BS37" i="2" s="1"/>
  <c r="AV38" i="2"/>
  <c r="AR38" i="2"/>
  <c r="AN38" i="2"/>
  <c r="AX38" i="2" s="1"/>
  <c r="AU38" i="2"/>
  <c r="AQ38" i="2"/>
  <c r="BC42" i="2"/>
  <c r="BS42" i="2" s="1"/>
  <c r="AN43" i="2"/>
  <c r="AW43" i="2" s="1"/>
  <c r="AX43" i="2"/>
  <c r="AX46" i="2"/>
  <c r="AW46" i="2"/>
  <c r="BC45" i="2"/>
  <c r="BS45" i="2" s="1"/>
  <c r="AZ46" i="2"/>
  <c r="AN46" i="2"/>
  <c r="AT46" i="2" s="1"/>
  <c r="AY46" i="2"/>
  <c r="AN17" i="2"/>
  <c r="AZ17" i="2" s="1"/>
  <c r="BC16" i="2"/>
  <c r="BS16" i="2" s="1"/>
  <c r="AY24" i="2"/>
  <c r="AQ24" i="2"/>
  <c r="AX24" i="2"/>
  <c r="AT24" i="2"/>
  <c r="AW24" i="2"/>
  <c r="AS24" i="2"/>
  <c r="AO24" i="2"/>
  <c r="AZ24" i="2"/>
  <c r="AV24" i="2"/>
  <c r="AR24" i="2"/>
  <c r="AN24" i="2"/>
  <c r="AU24" i="2" s="1"/>
  <c r="BC23" i="2"/>
  <c r="BS23" i="2" s="1"/>
  <c r="BC29" i="2"/>
  <c r="BS29" i="2" s="1"/>
  <c r="AN30" i="2"/>
  <c r="AX30" i="2" s="1"/>
  <c r="AX34" i="2"/>
  <c r="AW34" i="2"/>
  <c r="BC33" i="2"/>
  <c r="BS33" i="2" s="1"/>
  <c r="AZ34" i="2"/>
  <c r="AN34" i="2"/>
  <c r="AT34" i="2" s="1"/>
  <c r="AY34" i="2"/>
  <c r="AY37" i="2"/>
  <c r="AU37" i="2"/>
  <c r="AT37" i="2"/>
  <c r="AP37" i="2"/>
  <c r="AS37" i="2"/>
  <c r="AO37" i="2"/>
  <c r="BC36" i="2"/>
  <c r="BS36" i="2" s="1"/>
  <c r="AV37" i="2"/>
  <c r="AR37" i="2"/>
  <c r="AN37" i="2"/>
  <c r="AQ37" i="2" s="1"/>
  <c r="AV40" i="2"/>
  <c r="AR40" i="2"/>
  <c r="AN40" i="2"/>
  <c r="AZ40" i="2" s="1"/>
  <c r="AU40" i="2"/>
  <c r="AQ40" i="2"/>
  <c r="AX40" i="2"/>
  <c r="AP40" i="2"/>
  <c r="AW40" i="2"/>
  <c r="AO40" i="2"/>
  <c r="BC39" i="2"/>
  <c r="BS39" i="2" s="1"/>
  <c r="AX45" i="2"/>
  <c r="AW45" i="2"/>
  <c r="BC44" i="2"/>
  <c r="BS44" i="2" s="1"/>
  <c r="AZ45" i="2"/>
  <c r="AN45" i="2"/>
  <c r="AY45" i="2" s="1"/>
  <c r="AW48" i="2"/>
  <c r="AS48" i="2"/>
  <c r="AZ48" i="2"/>
  <c r="AV48" i="2"/>
  <c r="AR48" i="2"/>
  <c r="AN48" i="2"/>
  <c r="AO48" i="2" s="1"/>
  <c r="AY48" i="2"/>
  <c r="AQ48" i="2"/>
  <c r="AX48" i="2"/>
  <c r="AP48" i="2"/>
  <c r="AU48" i="2"/>
  <c r="AT48" i="2"/>
  <c r="BC47" i="2"/>
  <c r="BS47" i="2" s="1"/>
  <c r="AU50" i="2"/>
  <c r="AP50" i="2"/>
  <c r="AN50" i="2"/>
  <c r="AQ50" i="2" s="1"/>
  <c r="AS50" i="2"/>
  <c r="BC49" i="2"/>
  <c r="BS49" i="2" s="1"/>
  <c r="AW50" i="2"/>
  <c r="AW39" i="2"/>
  <c r="BC38" i="2"/>
  <c r="BS38" i="2" s="1"/>
  <c r="AZ39" i="2"/>
  <c r="AN39" i="2"/>
  <c r="AS39" i="2" s="1"/>
  <c r="AY39" i="2"/>
  <c r="AX39" i="2"/>
  <c r="AT39" i="2"/>
  <c r="AX42" i="2"/>
  <c r="AT42" i="2"/>
  <c r="AP42" i="2"/>
  <c r="AW42" i="2"/>
  <c r="AS42" i="2"/>
  <c r="AO42" i="2"/>
  <c r="BC41" i="2"/>
  <c r="BS41" i="2" s="1"/>
  <c r="AZ42" i="2"/>
  <c r="AV42" i="2"/>
  <c r="AR42" i="2"/>
  <c r="AN42" i="2"/>
  <c r="AY42" i="2"/>
  <c r="AU42" i="2"/>
  <c r="AQ42" i="2"/>
  <c r="AS47" i="2"/>
  <c r="AO47" i="2"/>
  <c r="BC46" i="2"/>
  <c r="BS46" i="2" s="1"/>
  <c r="AV47" i="2"/>
  <c r="AR47" i="2"/>
  <c r="AN47" i="2"/>
  <c r="AW47" i="2" s="1"/>
  <c r="AU47" i="2"/>
  <c r="AQ47" i="2"/>
  <c r="AX47" i="2"/>
  <c r="AP47" i="2"/>
  <c r="H13" i="2"/>
  <c r="H15" i="2"/>
  <c r="H16" i="2"/>
  <c r="H17" i="2"/>
  <c r="H18" i="2"/>
  <c r="I21" i="2"/>
  <c r="M14" i="2" s="1"/>
  <c r="BC52" i="2"/>
  <c r="BS52" i="2" s="1"/>
  <c r="AN53" i="2"/>
  <c r="AX53" i="2" s="1"/>
  <c r="AW54" i="2"/>
  <c r="BC53" i="2"/>
  <c r="BS53" i="2" s="1"/>
  <c r="AZ54" i="2"/>
  <c r="AN54" i="2"/>
  <c r="AS54" i="2" s="1"/>
  <c r="AY54" i="2"/>
  <c r="AX54" i="2"/>
  <c r="AT54" i="2"/>
  <c r="BC61" i="2"/>
  <c r="BS61" i="2" s="1"/>
  <c r="BC69" i="2"/>
  <c r="BS69" i="2" s="1"/>
  <c r="BC5" i="2"/>
  <c r="BS5" i="2" s="1"/>
  <c r="X6" i="2"/>
  <c r="AH6" i="2" s="1"/>
  <c r="AN9" i="2" s="1"/>
  <c r="I13" i="2"/>
  <c r="M6" i="2" s="1"/>
  <c r="I15" i="2"/>
  <c r="M8" i="2" s="1"/>
  <c r="I16" i="2"/>
  <c r="M9" i="2" s="1"/>
  <c r="I17" i="2"/>
  <c r="M10" i="2" s="1"/>
  <c r="I18" i="2"/>
  <c r="M11" i="2" s="1"/>
  <c r="H19" i="2"/>
  <c r="AX56" i="2"/>
  <c r="AW56" i="2"/>
  <c r="BC55" i="2"/>
  <c r="BS55" i="2" s="1"/>
  <c r="AZ56" i="2"/>
  <c r="AN56" i="2"/>
  <c r="AY56" i="2" s="1"/>
  <c r="BC58" i="2"/>
  <c r="BS58" i="2" s="1"/>
  <c r="AY64" i="2"/>
  <c r="AU64" i="2"/>
  <c r="AT64" i="2"/>
  <c r="AP64" i="2"/>
  <c r="AS64" i="2"/>
  <c r="AO64" i="2"/>
  <c r="BC63" i="2"/>
  <c r="BS63" i="2" s="1"/>
  <c r="AV64" i="2"/>
  <c r="AR64" i="2"/>
  <c r="AN64" i="2"/>
  <c r="AQ64" i="2" s="1"/>
  <c r="BC66" i="2"/>
  <c r="BS66" i="2" s="1"/>
  <c r="AX72" i="2"/>
  <c r="AW72" i="2"/>
  <c r="BC71" i="2"/>
  <c r="BS71" i="2" s="1"/>
  <c r="AZ72" i="2"/>
  <c r="AN72" i="2"/>
  <c r="AY72" i="2" s="1"/>
  <c r="BC74" i="2"/>
  <c r="BS74" i="2" s="1"/>
  <c r="BC77" i="2"/>
  <c r="BS77" i="2" s="1"/>
  <c r="BC78" i="2"/>
  <c r="BS78" i="2" s="1"/>
  <c r="BC81" i="2"/>
  <c r="BS81" i="2" s="1"/>
  <c r="BC82" i="2"/>
  <c r="BS82" i="2" s="1"/>
  <c r="BC85" i="2"/>
  <c r="BS85" i="2" s="1"/>
  <c r="BC86" i="2"/>
  <c r="BS86" i="2" s="1"/>
  <c r="AX88" i="2"/>
  <c r="AW88" i="2"/>
  <c r="BC87" i="2"/>
  <c r="BS87" i="2" s="1"/>
  <c r="AZ88" i="2"/>
  <c r="AN88" i="2"/>
  <c r="AY88" i="2" s="1"/>
  <c r="BC93" i="2"/>
  <c r="BS93" i="2" s="1"/>
  <c r="BC94" i="2"/>
  <c r="BS94" i="2" s="1"/>
  <c r="AY96" i="2"/>
  <c r="AU96" i="2"/>
  <c r="AX96" i="2"/>
  <c r="AT96" i="2"/>
  <c r="AP96" i="2"/>
  <c r="AW96" i="2"/>
  <c r="AS96" i="2"/>
  <c r="AO96" i="2"/>
  <c r="BC95" i="2"/>
  <c r="BS95" i="2" s="1"/>
  <c r="AZ96" i="2"/>
  <c r="AV96" i="2"/>
  <c r="AR96" i="2"/>
  <c r="AN96" i="2"/>
  <c r="AQ96" i="2" s="1"/>
  <c r="BC101" i="2"/>
  <c r="BS101" i="2" s="1"/>
  <c r="BC102" i="2"/>
  <c r="BS102" i="2" s="1"/>
  <c r="AY104" i="2"/>
  <c r="AU104" i="2"/>
  <c r="AT104" i="2"/>
  <c r="AP104" i="2"/>
  <c r="AS104" i="2"/>
  <c r="AO104" i="2"/>
  <c r="BC103" i="2"/>
  <c r="BS103" i="2" s="1"/>
  <c r="AV104" i="2"/>
  <c r="AR104" i="2"/>
  <c r="AN104" i="2"/>
  <c r="AQ104" i="2" s="1"/>
  <c r="BC109" i="2"/>
  <c r="BS109" i="2" s="1"/>
  <c r="BC112" i="2"/>
  <c r="BS112" i="2" s="1"/>
  <c r="AN113" i="2"/>
  <c r="AQ113" i="2" s="1"/>
  <c r="H12" i="2"/>
  <c r="H14" i="2"/>
  <c r="I19" i="2"/>
  <c r="M12" i="2" s="1"/>
  <c r="H20" i="2"/>
  <c r="BC22" i="2"/>
  <c r="BS22" i="2" s="1"/>
  <c r="AN23" i="2"/>
  <c r="AU23" i="2" s="1"/>
  <c r="AR23" i="2"/>
  <c r="BC24" i="2"/>
  <c r="BS24" i="2" s="1"/>
  <c r="AN25" i="2"/>
  <c r="AO25" i="2" s="1"/>
  <c r="BC26" i="2"/>
  <c r="BS26" i="2" s="1"/>
  <c r="AN27" i="2"/>
  <c r="AP27" i="2" s="1"/>
  <c r="AV27" i="2"/>
  <c r="AX51" i="2"/>
  <c r="AT51" i="2"/>
  <c r="AW51" i="2"/>
  <c r="AS51" i="2"/>
  <c r="BC50" i="2"/>
  <c r="BS50" i="2" s="1"/>
  <c r="AY52" i="2"/>
  <c r="AX52" i="2"/>
  <c r="AT52" i="2"/>
  <c r="AS52" i="2"/>
  <c r="AO52" i="2"/>
  <c r="BC51" i="2"/>
  <c r="BS51" i="2" s="1"/>
  <c r="AV52" i="2"/>
  <c r="AR52" i="2"/>
  <c r="AN52" i="2"/>
  <c r="AU52" i="2" s="1"/>
  <c r="AN51" i="2"/>
  <c r="AU51" i="2" s="1"/>
  <c r="AV51" i="2"/>
  <c r="BC57" i="2"/>
  <c r="BS57" i="2" s="1"/>
  <c r="BC65" i="2"/>
  <c r="BS65" i="2" s="1"/>
  <c r="BC73" i="2"/>
  <c r="BS73" i="2" s="1"/>
  <c r="AZ112" i="2"/>
  <c r="AV112" i="2"/>
  <c r="AR112" i="2"/>
  <c r="AN112" i="2"/>
  <c r="AY112" i="2"/>
  <c r="AU112" i="2"/>
  <c r="AQ112" i="2"/>
  <c r="AT112" i="2"/>
  <c r="AS112" i="2"/>
  <c r="BC111" i="2"/>
  <c r="BS111" i="2" s="1"/>
  <c r="AX112" i="2"/>
  <c r="AP112" i="2"/>
  <c r="AW112" i="2"/>
  <c r="AO112" i="2"/>
  <c r="I12" i="2"/>
  <c r="M5" i="2" s="1"/>
  <c r="I14" i="2"/>
  <c r="M7" i="2" s="1"/>
  <c r="I20" i="2"/>
  <c r="M13" i="2" s="1"/>
  <c r="AS25" i="2"/>
  <c r="AN55" i="2"/>
  <c r="AZ55" i="2" s="1"/>
  <c r="AX55" i="2"/>
  <c r="AW55" i="2"/>
  <c r="BC54" i="2"/>
  <c r="BS54" i="2" s="1"/>
  <c r="AY60" i="2"/>
  <c r="AU60" i="2"/>
  <c r="AX60" i="2"/>
  <c r="AT60" i="2"/>
  <c r="AP60" i="2"/>
  <c r="AW60" i="2"/>
  <c r="AS60" i="2"/>
  <c r="AO60" i="2"/>
  <c r="BC59" i="2"/>
  <c r="BS59" i="2" s="1"/>
  <c r="AZ60" i="2"/>
  <c r="AV60" i="2"/>
  <c r="AR60" i="2"/>
  <c r="AN60" i="2"/>
  <c r="AQ60" i="2" s="1"/>
  <c r="BC62" i="2"/>
  <c r="BS62" i="2" s="1"/>
  <c r="BC67" i="2"/>
  <c r="BS67" i="2" s="1"/>
  <c r="AN68" i="2"/>
  <c r="AX68" i="2" s="1"/>
  <c r="BC70" i="2"/>
  <c r="BS70" i="2" s="1"/>
  <c r="AY76" i="2"/>
  <c r="AU76" i="2"/>
  <c r="AX76" i="2"/>
  <c r="AT76" i="2"/>
  <c r="AP76" i="2"/>
  <c r="AW76" i="2"/>
  <c r="AS76" i="2"/>
  <c r="AO76" i="2"/>
  <c r="BC75" i="2"/>
  <c r="BS75" i="2" s="1"/>
  <c r="AZ76" i="2"/>
  <c r="AV76" i="2"/>
  <c r="AR76" i="2"/>
  <c r="AN76" i="2"/>
  <c r="AQ76" i="2" s="1"/>
  <c r="AY80" i="2"/>
  <c r="AU80" i="2"/>
  <c r="AX80" i="2"/>
  <c r="AT80" i="2"/>
  <c r="AP80" i="2"/>
  <c r="AW80" i="2"/>
  <c r="AS80" i="2"/>
  <c r="AO80" i="2"/>
  <c r="BC79" i="2"/>
  <c r="BS79" i="2" s="1"/>
  <c r="AZ80" i="2"/>
  <c r="AV80" i="2"/>
  <c r="AR80" i="2"/>
  <c r="AN80" i="2"/>
  <c r="AQ80" i="2" s="1"/>
  <c r="AY84" i="2"/>
  <c r="AU84" i="2"/>
  <c r="AX84" i="2"/>
  <c r="AT84" i="2"/>
  <c r="AP84" i="2"/>
  <c r="AW84" i="2"/>
  <c r="AS84" i="2"/>
  <c r="AO84" i="2"/>
  <c r="BC83" i="2"/>
  <c r="BS83" i="2" s="1"/>
  <c r="AZ84" i="2"/>
  <c r="AV84" i="2"/>
  <c r="AR84" i="2"/>
  <c r="AN84" i="2"/>
  <c r="AQ84" i="2" s="1"/>
  <c r="BC89" i="2"/>
  <c r="BS89" i="2" s="1"/>
  <c r="BC90" i="2"/>
  <c r="BS90" i="2" s="1"/>
  <c r="AY92" i="2"/>
  <c r="AU92" i="2"/>
  <c r="AT92" i="2"/>
  <c r="AP92" i="2"/>
  <c r="AS92" i="2"/>
  <c r="AO92" i="2"/>
  <c r="BC91" i="2"/>
  <c r="BS91" i="2" s="1"/>
  <c r="AV92" i="2"/>
  <c r="AR92" i="2"/>
  <c r="AN92" i="2"/>
  <c r="AQ92" i="2" s="1"/>
  <c r="BC97" i="2"/>
  <c r="BS97" i="2" s="1"/>
  <c r="BC98" i="2"/>
  <c r="BS98" i="2" s="1"/>
  <c r="BC99" i="2"/>
  <c r="BS99" i="2" s="1"/>
  <c r="AN100" i="2"/>
  <c r="AX100" i="2" s="1"/>
  <c r="BC105" i="2"/>
  <c r="BS105" i="2" s="1"/>
  <c r="BC106" i="2"/>
  <c r="BS106" i="2" s="1"/>
  <c r="AX108" i="2"/>
  <c r="AW108" i="2"/>
  <c r="BC107" i="2"/>
  <c r="BS107" i="2" s="1"/>
  <c r="AZ108" i="2"/>
  <c r="AN108" i="2"/>
  <c r="AY108" i="2" s="1"/>
  <c r="BC113" i="2"/>
  <c r="BS113" i="2" s="1"/>
  <c r="AQ115" i="2"/>
  <c r="AW115" i="2"/>
  <c r="BC114" i="2"/>
  <c r="BS114" i="2" s="1"/>
  <c r="AZ115" i="2"/>
  <c r="AN115" i="2"/>
  <c r="AX115" i="2" s="1"/>
  <c r="AN114" i="2"/>
  <c r="AZ114" i="2" s="1"/>
  <c r="BC117" i="2"/>
  <c r="BS117" i="2" s="1"/>
  <c r="AY123" i="2"/>
  <c r="AU123" i="2"/>
  <c r="AX123" i="2"/>
  <c r="AT123" i="2"/>
  <c r="AP123" i="2"/>
  <c r="AW123" i="2"/>
  <c r="AS123" i="2"/>
  <c r="AO123" i="2"/>
  <c r="BC122" i="2"/>
  <c r="BS122" i="2" s="1"/>
  <c r="AZ123" i="2"/>
  <c r="AV123" i="2"/>
  <c r="AR123" i="2"/>
  <c r="AN123" i="2"/>
  <c r="AQ123" i="2" s="1"/>
  <c r="BC125" i="2"/>
  <c r="BS125" i="2" s="1"/>
  <c r="BC130" i="2"/>
  <c r="BS130" i="2" s="1"/>
  <c r="AN131" i="2"/>
  <c r="AX131" i="2" s="1"/>
  <c r="AN134" i="2"/>
  <c r="AZ134" i="2" s="1"/>
  <c r="AX134" i="2"/>
  <c r="AW134" i="2"/>
  <c r="BC133" i="2"/>
  <c r="BS133" i="2" s="1"/>
  <c r="AY139" i="2"/>
  <c r="AU139" i="2"/>
  <c r="AX139" i="2"/>
  <c r="AT139" i="2"/>
  <c r="AP139" i="2"/>
  <c r="AW139" i="2"/>
  <c r="AS139" i="2"/>
  <c r="AO139" i="2"/>
  <c r="BC138" i="2"/>
  <c r="BS138" i="2" s="1"/>
  <c r="AZ139" i="2"/>
  <c r="AV139" i="2"/>
  <c r="AR139" i="2"/>
  <c r="AN139" i="2"/>
  <c r="AQ139" i="2" s="1"/>
  <c r="AZ142" i="2"/>
  <c r="AV142" i="2"/>
  <c r="AR142" i="2"/>
  <c r="AN142" i="2"/>
  <c r="AY142" i="2"/>
  <c r="AU142" i="2"/>
  <c r="AQ142" i="2"/>
  <c r="AX142" i="2"/>
  <c r="AT142" i="2"/>
  <c r="AP142" i="2"/>
  <c r="AW142" i="2"/>
  <c r="AS142" i="2"/>
  <c r="AO142" i="2"/>
  <c r="BC141" i="2"/>
  <c r="BS141" i="2" s="1"/>
  <c r="BC146" i="2"/>
  <c r="BS146" i="2" s="1"/>
  <c r="AN147" i="2"/>
  <c r="AX147" i="2" s="1"/>
  <c r="AN150" i="2"/>
  <c r="AZ150" i="2" s="1"/>
  <c r="AX150" i="2"/>
  <c r="AW150" i="2"/>
  <c r="BC149" i="2"/>
  <c r="BS149" i="2" s="1"/>
  <c r="AY155" i="2"/>
  <c r="AU155" i="2"/>
  <c r="AX155" i="2"/>
  <c r="AT155" i="2"/>
  <c r="AP155" i="2"/>
  <c r="AW155" i="2"/>
  <c r="AS155" i="2"/>
  <c r="AO155" i="2"/>
  <c r="BC154" i="2"/>
  <c r="BS154" i="2" s="1"/>
  <c r="AZ155" i="2"/>
  <c r="AV155" i="2"/>
  <c r="AR155" i="2"/>
  <c r="AN155" i="2"/>
  <c r="AQ155" i="2" s="1"/>
  <c r="AZ158" i="2"/>
  <c r="AV158" i="2"/>
  <c r="AR158" i="2"/>
  <c r="AN158" i="2"/>
  <c r="AY158" i="2"/>
  <c r="AU158" i="2"/>
  <c r="AQ158" i="2"/>
  <c r="AX158" i="2"/>
  <c r="AT158" i="2"/>
  <c r="AP158" i="2"/>
  <c r="AW158" i="2"/>
  <c r="AS158" i="2"/>
  <c r="AO158" i="2"/>
  <c r="BC157" i="2"/>
  <c r="BS157" i="2" s="1"/>
  <c r="BC162" i="2"/>
  <c r="BS162" i="2" s="1"/>
  <c r="AN163" i="2"/>
  <c r="AX163" i="2" s="1"/>
  <c r="AN166" i="2"/>
  <c r="AZ166" i="2" s="1"/>
  <c r="AX166" i="2"/>
  <c r="AW166" i="2"/>
  <c r="BC165" i="2"/>
  <c r="BS165" i="2" s="1"/>
  <c r="AN171" i="2"/>
  <c r="AU171" i="2" s="1"/>
  <c r="BC170" i="2"/>
  <c r="BS170" i="2" s="1"/>
  <c r="AW174" i="2"/>
  <c r="AS174" i="2"/>
  <c r="AO174" i="2"/>
  <c r="BC173" i="2"/>
  <c r="BS173" i="2" s="1"/>
  <c r="AZ174" i="2"/>
  <c r="AV174" i="2"/>
  <c r="AR174" i="2"/>
  <c r="AN174" i="2"/>
  <c r="AY174" i="2"/>
  <c r="AU174" i="2"/>
  <c r="AQ174" i="2"/>
  <c r="AP174" i="2"/>
  <c r="AX174" i="2"/>
  <c r="AT174" i="2"/>
  <c r="X56" i="2"/>
  <c r="AH56" i="2" s="1"/>
  <c r="AN59" i="2" s="1"/>
  <c r="X60" i="2"/>
  <c r="AH60" i="2" s="1"/>
  <c r="AN62" i="2" s="1"/>
  <c r="X64" i="2"/>
  <c r="AH64" i="2" s="1"/>
  <c r="X68" i="2"/>
  <c r="AH68" i="2" s="1"/>
  <c r="AN70" i="2" s="1"/>
  <c r="X72" i="2"/>
  <c r="AH72" i="2" s="1"/>
  <c r="AN75" i="2" s="1"/>
  <c r="X76" i="2"/>
  <c r="AH76" i="2" s="1"/>
  <c r="X80" i="2"/>
  <c r="AH80" i="2" s="1"/>
  <c r="X84" i="2"/>
  <c r="AH84" i="2" s="1"/>
  <c r="AN86" i="2" s="1"/>
  <c r="X88" i="2"/>
  <c r="AH88" i="2" s="1"/>
  <c r="AN91" i="2" s="1"/>
  <c r="X92" i="2"/>
  <c r="AH92" i="2" s="1"/>
  <c r="AN95" i="2" s="1"/>
  <c r="X96" i="2"/>
  <c r="AH96" i="2" s="1"/>
  <c r="X100" i="2"/>
  <c r="AH100" i="2" s="1"/>
  <c r="AN103" i="2" s="1"/>
  <c r="X104" i="2"/>
  <c r="AH104" i="2" s="1"/>
  <c r="X108" i="2"/>
  <c r="AH108" i="2" s="1"/>
  <c r="AQ114" i="2"/>
  <c r="BC116" i="2"/>
  <c r="BS116" i="2" s="1"/>
  <c r="BC124" i="2"/>
  <c r="BS124" i="2" s="1"/>
  <c r="AS133" i="2"/>
  <c r="AO133" i="2"/>
  <c r="BC132" i="2"/>
  <c r="BS132" i="2" s="1"/>
  <c r="AV133" i="2"/>
  <c r="AR133" i="2"/>
  <c r="AN133" i="2"/>
  <c r="AW133" i="2" s="1"/>
  <c r="AU133" i="2"/>
  <c r="AQ133" i="2"/>
  <c r="AX133" i="2"/>
  <c r="AP133" i="2"/>
  <c r="BC135" i="2"/>
  <c r="BS135" i="2" s="1"/>
  <c r="AN136" i="2"/>
  <c r="AX136" i="2" s="1"/>
  <c r="BC140" i="2"/>
  <c r="BS140" i="2" s="1"/>
  <c r="AN141" i="2"/>
  <c r="AW141" i="2" s="1"/>
  <c r="AX141" i="2"/>
  <c r="AX144" i="2"/>
  <c r="AW144" i="2"/>
  <c r="BC143" i="2"/>
  <c r="BS143" i="2" s="1"/>
  <c r="AZ144" i="2"/>
  <c r="AN144" i="2"/>
  <c r="AT144" i="2" s="1"/>
  <c r="AY144" i="2"/>
  <c r="AW149" i="2"/>
  <c r="AS149" i="2"/>
  <c r="AO149" i="2"/>
  <c r="BC148" i="2"/>
  <c r="BS148" i="2" s="1"/>
  <c r="AZ149" i="2"/>
  <c r="AV149" i="2"/>
  <c r="AR149" i="2"/>
  <c r="AN149" i="2"/>
  <c r="AY149" i="2"/>
  <c r="AU149" i="2"/>
  <c r="AQ149" i="2"/>
  <c r="AX149" i="2"/>
  <c r="AT149" i="2"/>
  <c r="AP149" i="2"/>
  <c r="AT152" i="2"/>
  <c r="AP152" i="2"/>
  <c r="AS152" i="2"/>
  <c r="AO152" i="2"/>
  <c r="BC151" i="2"/>
  <c r="BS151" i="2" s="1"/>
  <c r="AV152" i="2"/>
  <c r="AR152" i="2"/>
  <c r="AN152" i="2"/>
  <c r="AX152" i="2" s="1"/>
  <c r="AU152" i="2"/>
  <c r="AQ152" i="2"/>
  <c r="BC156" i="2"/>
  <c r="BS156" i="2" s="1"/>
  <c r="AN157" i="2"/>
  <c r="AW157" i="2" s="1"/>
  <c r="AX157" i="2"/>
  <c r="AX160" i="2"/>
  <c r="AW160" i="2"/>
  <c r="BC159" i="2"/>
  <c r="BS159" i="2" s="1"/>
  <c r="AZ160" i="2"/>
  <c r="AN160" i="2"/>
  <c r="AT160" i="2" s="1"/>
  <c r="AY160" i="2"/>
  <c r="AW165" i="2"/>
  <c r="AS165" i="2"/>
  <c r="AO165" i="2"/>
  <c r="BC164" i="2"/>
  <c r="BS164" i="2" s="1"/>
  <c r="AZ165" i="2"/>
  <c r="AV165" i="2"/>
  <c r="AR165" i="2"/>
  <c r="AN165" i="2"/>
  <c r="AY165" i="2"/>
  <c r="AU165" i="2"/>
  <c r="AQ165" i="2"/>
  <c r="AX165" i="2"/>
  <c r="AT165" i="2"/>
  <c r="AP165" i="2"/>
  <c r="AT168" i="2"/>
  <c r="AP168" i="2"/>
  <c r="AS168" i="2"/>
  <c r="AO168" i="2"/>
  <c r="BC167" i="2"/>
  <c r="BS167" i="2" s="1"/>
  <c r="AV168" i="2"/>
  <c r="AR168" i="2"/>
  <c r="AN168" i="2"/>
  <c r="AX168" i="2" s="1"/>
  <c r="AU168" i="2"/>
  <c r="AQ168" i="2"/>
  <c r="BC110" i="2"/>
  <c r="BS110" i="2" s="1"/>
  <c r="AY119" i="2"/>
  <c r="AU119" i="2"/>
  <c r="AX119" i="2"/>
  <c r="AT119" i="2"/>
  <c r="AP119" i="2"/>
  <c r="AW119" i="2"/>
  <c r="AS119" i="2"/>
  <c r="AO119" i="2"/>
  <c r="BC118" i="2"/>
  <c r="BS118" i="2" s="1"/>
  <c r="AZ119" i="2"/>
  <c r="AV119" i="2"/>
  <c r="AR119" i="2"/>
  <c r="AN119" i="2"/>
  <c r="AQ119" i="2" s="1"/>
  <c r="BC121" i="2"/>
  <c r="BS121" i="2" s="1"/>
  <c r="BC126" i="2"/>
  <c r="BS126" i="2" s="1"/>
  <c r="AN127" i="2"/>
  <c r="AX127" i="2" s="1"/>
  <c r="BC129" i="2"/>
  <c r="BS129" i="2" s="1"/>
  <c r="AY135" i="2"/>
  <c r="AU135" i="2"/>
  <c r="AX135" i="2"/>
  <c r="AT135" i="2"/>
  <c r="AP135" i="2"/>
  <c r="AW135" i="2"/>
  <c r="AS135" i="2"/>
  <c r="AO135" i="2"/>
  <c r="BC134" i="2"/>
  <c r="BS134" i="2" s="1"/>
  <c r="AZ135" i="2"/>
  <c r="AV135" i="2"/>
  <c r="AR135" i="2"/>
  <c r="AN135" i="2"/>
  <c r="AQ135" i="2" s="1"/>
  <c r="AZ138" i="2"/>
  <c r="AV138" i="2"/>
  <c r="AR138" i="2"/>
  <c r="AN138" i="2"/>
  <c r="AY138" i="2"/>
  <c r="AU138" i="2"/>
  <c r="AQ138" i="2"/>
  <c r="AX138" i="2"/>
  <c r="AT138" i="2"/>
  <c r="AP138" i="2"/>
  <c r="AW138" i="2"/>
  <c r="AS138" i="2"/>
  <c r="AO138" i="2"/>
  <c r="BC137" i="2"/>
  <c r="BS137" i="2" s="1"/>
  <c r="BC142" i="2"/>
  <c r="BS142" i="2" s="1"/>
  <c r="AN143" i="2"/>
  <c r="AX143" i="2" s="1"/>
  <c r="AN146" i="2"/>
  <c r="AZ146" i="2" s="1"/>
  <c r="AX146" i="2"/>
  <c r="AW146" i="2"/>
  <c r="BC145" i="2"/>
  <c r="BS145" i="2" s="1"/>
  <c r="AY151" i="2"/>
  <c r="AU151" i="2"/>
  <c r="AX151" i="2"/>
  <c r="AT151" i="2"/>
  <c r="AP151" i="2"/>
  <c r="AW151" i="2"/>
  <c r="AS151" i="2"/>
  <c r="AO151" i="2"/>
  <c r="BC150" i="2"/>
  <c r="BS150" i="2" s="1"/>
  <c r="AZ151" i="2"/>
  <c r="AV151" i="2"/>
  <c r="AR151" i="2"/>
  <c r="AN151" i="2"/>
  <c r="AQ151" i="2" s="1"/>
  <c r="AZ154" i="2"/>
  <c r="AV154" i="2"/>
  <c r="AR154" i="2"/>
  <c r="AN154" i="2"/>
  <c r="AY154" i="2"/>
  <c r="AU154" i="2"/>
  <c r="AQ154" i="2"/>
  <c r="AX154" i="2"/>
  <c r="AT154" i="2"/>
  <c r="AP154" i="2"/>
  <c r="AW154" i="2"/>
  <c r="AS154" i="2"/>
  <c r="AO154" i="2"/>
  <c r="BC153" i="2"/>
  <c r="BS153" i="2" s="1"/>
  <c r="BC158" i="2"/>
  <c r="BS158" i="2" s="1"/>
  <c r="AN159" i="2"/>
  <c r="AX159" i="2" s="1"/>
  <c r="AN162" i="2"/>
  <c r="AZ162" i="2" s="1"/>
  <c r="AX162" i="2"/>
  <c r="AW162" i="2"/>
  <c r="BC161" i="2"/>
  <c r="BS161" i="2" s="1"/>
  <c r="AY167" i="2"/>
  <c r="AU167" i="2"/>
  <c r="AX167" i="2"/>
  <c r="AT167" i="2"/>
  <c r="AP167" i="2"/>
  <c r="AW167" i="2"/>
  <c r="AS167" i="2"/>
  <c r="AO167" i="2"/>
  <c r="BC166" i="2"/>
  <c r="BS166" i="2" s="1"/>
  <c r="AZ167" i="2"/>
  <c r="AV167" i="2"/>
  <c r="AR167" i="2"/>
  <c r="AN167" i="2"/>
  <c r="AQ167" i="2" s="1"/>
  <c r="AZ170" i="2"/>
  <c r="AV170" i="2"/>
  <c r="AR170" i="2"/>
  <c r="AN170" i="2"/>
  <c r="AY170" i="2"/>
  <c r="AU170" i="2"/>
  <c r="AQ170" i="2"/>
  <c r="AX170" i="2"/>
  <c r="AP170" i="2"/>
  <c r="AW170" i="2"/>
  <c r="AO170" i="2"/>
  <c r="AT170" i="2"/>
  <c r="AS170" i="2"/>
  <c r="BC169" i="2"/>
  <c r="BS169" i="2" s="1"/>
  <c r="BC120" i="2"/>
  <c r="BS120" i="2" s="1"/>
  <c r="BC128" i="2"/>
  <c r="BS128" i="2" s="1"/>
  <c r="AT132" i="2"/>
  <c r="AP132" i="2"/>
  <c r="AS132" i="2"/>
  <c r="AO132" i="2"/>
  <c r="BC131" i="2"/>
  <c r="BS131" i="2" s="1"/>
  <c r="AV132" i="2"/>
  <c r="AR132" i="2"/>
  <c r="AN132" i="2"/>
  <c r="AX132" i="2" s="1"/>
  <c r="AU132" i="2"/>
  <c r="AQ132" i="2"/>
  <c r="BC136" i="2"/>
  <c r="BS136" i="2" s="1"/>
  <c r="AN137" i="2"/>
  <c r="AW137" i="2" s="1"/>
  <c r="AX137" i="2"/>
  <c r="AX140" i="2"/>
  <c r="AW140" i="2"/>
  <c r="BC139" i="2"/>
  <c r="BS139" i="2" s="1"/>
  <c r="AZ140" i="2"/>
  <c r="AN140" i="2"/>
  <c r="AT140" i="2" s="1"/>
  <c r="AY140" i="2"/>
  <c r="AW145" i="2"/>
  <c r="BC144" i="2"/>
  <c r="BS144" i="2" s="1"/>
  <c r="AZ145" i="2"/>
  <c r="AN145" i="2"/>
  <c r="AS145" i="2" s="1"/>
  <c r="AY145" i="2"/>
  <c r="AX145" i="2"/>
  <c r="AT145" i="2"/>
  <c r="AX148" i="2"/>
  <c r="AT148" i="2"/>
  <c r="AP148" i="2"/>
  <c r="AW148" i="2"/>
  <c r="AS148" i="2"/>
  <c r="AO148" i="2"/>
  <c r="BC147" i="2"/>
  <c r="BS147" i="2" s="1"/>
  <c r="AZ148" i="2"/>
  <c r="AV148" i="2"/>
  <c r="AR148" i="2"/>
  <c r="AN148" i="2"/>
  <c r="AY148" i="2"/>
  <c r="AU148" i="2"/>
  <c r="AQ148" i="2"/>
  <c r="AS153" i="2"/>
  <c r="AO153" i="2"/>
  <c r="BC152" i="2"/>
  <c r="BS152" i="2" s="1"/>
  <c r="AV153" i="2"/>
  <c r="AR153" i="2"/>
  <c r="AN153" i="2"/>
  <c r="AW153" i="2" s="1"/>
  <c r="AU153" i="2"/>
  <c r="AQ153" i="2"/>
  <c r="AX153" i="2"/>
  <c r="AP153" i="2"/>
  <c r="BC155" i="2"/>
  <c r="BS155" i="2" s="1"/>
  <c r="AN156" i="2"/>
  <c r="AX156" i="2" s="1"/>
  <c r="AW161" i="2"/>
  <c r="BC160" i="2"/>
  <c r="BS160" i="2" s="1"/>
  <c r="AZ161" i="2"/>
  <c r="AN161" i="2"/>
  <c r="AS161" i="2" s="1"/>
  <c r="AY161" i="2"/>
  <c r="AX161" i="2"/>
  <c r="AT161" i="2"/>
  <c r="AX164" i="2"/>
  <c r="AT164" i="2"/>
  <c r="AP164" i="2"/>
  <c r="AW164" i="2"/>
  <c r="AS164" i="2"/>
  <c r="AO164" i="2"/>
  <c r="BC163" i="2"/>
  <c r="BS163" i="2" s="1"/>
  <c r="AZ164" i="2"/>
  <c r="AV164" i="2"/>
  <c r="AR164" i="2"/>
  <c r="AN164" i="2"/>
  <c r="AY164" i="2"/>
  <c r="AU164" i="2"/>
  <c r="AQ164" i="2"/>
  <c r="AN169" i="2"/>
  <c r="AZ169" i="2" s="1"/>
  <c r="BC168" i="2"/>
  <c r="BS168" i="2" s="1"/>
  <c r="AX169" i="2"/>
  <c r="AY173" i="2"/>
  <c r="BC178" i="2"/>
  <c r="BS178" i="2" s="1"/>
  <c r="BC186" i="2"/>
  <c r="BS186" i="2" s="1"/>
  <c r="BC194" i="2"/>
  <c r="BS194" i="2" s="1"/>
  <c r="BC202" i="2"/>
  <c r="BS202" i="2" s="1"/>
  <c r="BC210" i="2"/>
  <c r="BS210" i="2" s="1"/>
  <c r="AN211" i="2"/>
  <c r="AW211" i="2" s="1"/>
  <c r="AX211" i="2"/>
  <c r="AX214" i="2"/>
  <c r="AW214" i="2"/>
  <c r="BC213" i="2"/>
  <c r="BS213" i="2" s="1"/>
  <c r="AZ214" i="2"/>
  <c r="AN214" i="2"/>
  <c r="AT214" i="2" s="1"/>
  <c r="AY214" i="2"/>
  <c r="AW219" i="2"/>
  <c r="BC218" i="2"/>
  <c r="BS218" i="2" s="1"/>
  <c r="AZ219" i="2"/>
  <c r="AN219" i="2"/>
  <c r="AS219" i="2" s="1"/>
  <c r="AY219" i="2"/>
  <c r="AX219" i="2"/>
  <c r="AT219" i="2"/>
  <c r="AX222" i="2"/>
  <c r="AT222" i="2"/>
  <c r="AP222" i="2"/>
  <c r="AW222" i="2"/>
  <c r="AS222" i="2"/>
  <c r="AO222" i="2"/>
  <c r="BC221" i="2"/>
  <c r="BS221" i="2" s="1"/>
  <c r="AZ222" i="2"/>
  <c r="AV222" i="2"/>
  <c r="AR222" i="2"/>
  <c r="AN222" i="2"/>
  <c r="AY222" i="2"/>
  <c r="AU222" i="2"/>
  <c r="AQ222" i="2"/>
  <c r="AV228" i="2"/>
  <c r="AR228" i="2"/>
  <c r="AN228" i="2"/>
  <c r="AZ228" i="2" s="1"/>
  <c r="AU228" i="2"/>
  <c r="AQ228" i="2"/>
  <c r="AT228" i="2"/>
  <c r="BC227" i="2"/>
  <c r="BS227" i="2" s="1"/>
  <c r="AX228" i="2"/>
  <c r="AP228" i="2"/>
  <c r="AW228" i="2"/>
  <c r="AO228" i="2"/>
  <c r="X115" i="2"/>
  <c r="AH115" i="2" s="1"/>
  <c r="AN118" i="2" s="1"/>
  <c r="X119" i="2"/>
  <c r="AH119" i="2" s="1"/>
  <c r="X123" i="2"/>
  <c r="AH123" i="2" s="1"/>
  <c r="AN125" i="2" s="1"/>
  <c r="X127" i="2"/>
  <c r="AH127" i="2" s="1"/>
  <c r="AN176" i="2"/>
  <c r="AZ176" i="2" s="1"/>
  <c r="AX176" i="2"/>
  <c r="AW176" i="2"/>
  <c r="BC175" i="2"/>
  <c r="BS175" i="2" s="1"/>
  <c r="AY181" i="2"/>
  <c r="AU181" i="2"/>
  <c r="AX181" i="2"/>
  <c r="AT181" i="2"/>
  <c r="AP181" i="2"/>
  <c r="AW181" i="2"/>
  <c r="AS181" i="2"/>
  <c r="AO181" i="2"/>
  <c r="BC180" i="2"/>
  <c r="BS180" i="2" s="1"/>
  <c r="AZ181" i="2"/>
  <c r="AV181" i="2"/>
  <c r="AR181" i="2"/>
  <c r="AN181" i="2"/>
  <c r="AQ181" i="2" s="1"/>
  <c r="BC183" i="2"/>
  <c r="BS183" i="2" s="1"/>
  <c r="BC188" i="2"/>
  <c r="BS188" i="2" s="1"/>
  <c r="AN189" i="2"/>
  <c r="AX189" i="2" s="1"/>
  <c r="BC191" i="2"/>
  <c r="BS191" i="2" s="1"/>
  <c r="AY197" i="2"/>
  <c r="AU197" i="2"/>
  <c r="AX197" i="2"/>
  <c r="AT197" i="2"/>
  <c r="AP197" i="2"/>
  <c r="AW197" i="2"/>
  <c r="AS197" i="2"/>
  <c r="AO197" i="2"/>
  <c r="BC196" i="2"/>
  <c r="BS196" i="2" s="1"/>
  <c r="AZ197" i="2"/>
  <c r="AV197" i="2"/>
  <c r="AR197" i="2"/>
  <c r="AN197" i="2"/>
  <c r="AQ197" i="2" s="1"/>
  <c r="BC199" i="2"/>
  <c r="BS199" i="2" s="1"/>
  <c r="BC204" i="2"/>
  <c r="BS204" i="2" s="1"/>
  <c r="AN205" i="2"/>
  <c r="AX205" i="2" s="1"/>
  <c r="BC207" i="2"/>
  <c r="BS207" i="2" s="1"/>
  <c r="AY213" i="2"/>
  <c r="AU213" i="2"/>
  <c r="AX213" i="2"/>
  <c r="AT213" i="2"/>
  <c r="AP213" i="2"/>
  <c r="AW213" i="2"/>
  <c r="AS213" i="2"/>
  <c r="AO213" i="2"/>
  <c r="BC212" i="2"/>
  <c r="BS212" i="2" s="1"/>
  <c r="AZ213" i="2"/>
  <c r="AV213" i="2"/>
  <c r="AR213" i="2"/>
  <c r="AN213" i="2"/>
  <c r="AQ213" i="2" s="1"/>
  <c r="AZ216" i="2"/>
  <c r="AV216" i="2"/>
  <c r="AR216" i="2"/>
  <c r="AN216" i="2"/>
  <c r="AY216" i="2"/>
  <c r="AU216" i="2"/>
  <c r="AQ216" i="2"/>
  <c r="AX216" i="2"/>
  <c r="AT216" i="2"/>
  <c r="AP216" i="2"/>
  <c r="AW216" i="2"/>
  <c r="AS216" i="2"/>
  <c r="AO216" i="2"/>
  <c r="BC215" i="2"/>
  <c r="BS215" i="2" s="1"/>
  <c r="BC220" i="2"/>
  <c r="BS220" i="2" s="1"/>
  <c r="AN221" i="2"/>
  <c r="AX221" i="2" s="1"/>
  <c r="AN224" i="2"/>
  <c r="AZ224" i="2" s="1"/>
  <c r="AX224" i="2"/>
  <c r="AT224" i="2"/>
  <c r="BC223" i="2"/>
  <c r="BS223" i="2" s="1"/>
  <c r="AX172" i="2"/>
  <c r="AP172" i="2"/>
  <c r="AW172" i="2"/>
  <c r="AO172" i="2"/>
  <c r="BC171" i="2"/>
  <c r="BS171" i="2" s="1"/>
  <c r="AS173" i="2"/>
  <c r="AO173" i="2"/>
  <c r="BC172" i="2"/>
  <c r="BS172" i="2" s="1"/>
  <c r="AV173" i="2"/>
  <c r="AR173" i="2"/>
  <c r="AN173" i="2"/>
  <c r="AU173" i="2" s="1"/>
  <c r="AN172" i="2"/>
  <c r="AV172" i="2"/>
  <c r="AT173" i="2"/>
  <c r="BC182" i="2"/>
  <c r="BS182" i="2" s="1"/>
  <c r="BC190" i="2"/>
  <c r="BS190" i="2" s="1"/>
  <c r="BC198" i="2"/>
  <c r="BS198" i="2" s="1"/>
  <c r="BC206" i="2"/>
  <c r="BS206" i="2" s="1"/>
  <c r="AN207" i="2"/>
  <c r="AW207" i="2" s="1"/>
  <c r="AX207" i="2"/>
  <c r="AX210" i="2"/>
  <c r="AW210" i="2"/>
  <c r="BC209" i="2"/>
  <c r="BS209" i="2" s="1"/>
  <c r="AZ210" i="2"/>
  <c r="AN210" i="2"/>
  <c r="AT210" i="2" s="1"/>
  <c r="AY210" i="2"/>
  <c r="AW215" i="2"/>
  <c r="BC214" i="2"/>
  <c r="BS214" i="2" s="1"/>
  <c r="AZ215" i="2"/>
  <c r="AN215" i="2"/>
  <c r="AS215" i="2" s="1"/>
  <c r="AY215" i="2"/>
  <c r="AX215" i="2"/>
  <c r="AT215" i="2"/>
  <c r="AX218" i="2"/>
  <c r="AT218" i="2"/>
  <c r="AP218" i="2"/>
  <c r="AW218" i="2"/>
  <c r="AS218" i="2"/>
  <c r="AO218" i="2"/>
  <c r="BC217" i="2"/>
  <c r="BS217" i="2" s="1"/>
  <c r="AZ218" i="2"/>
  <c r="AV218" i="2"/>
  <c r="AR218" i="2"/>
  <c r="AN218" i="2"/>
  <c r="AY218" i="2"/>
  <c r="AU218" i="2"/>
  <c r="AQ218" i="2"/>
  <c r="AS223" i="2"/>
  <c r="AO223" i="2"/>
  <c r="BC222" i="2"/>
  <c r="BS222" i="2" s="1"/>
  <c r="AV223" i="2"/>
  <c r="AR223" i="2"/>
  <c r="AN223" i="2"/>
  <c r="AW223" i="2" s="1"/>
  <c r="AU223" i="2"/>
  <c r="AQ223" i="2"/>
  <c r="AX223" i="2"/>
  <c r="AP223" i="2"/>
  <c r="X174" i="2"/>
  <c r="AH174" i="2" s="1"/>
  <c r="AY177" i="2"/>
  <c r="AU177" i="2"/>
  <c r="AX177" i="2"/>
  <c r="AT177" i="2"/>
  <c r="AP177" i="2"/>
  <c r="AW177" i="2"/>
  <c r="AS177" i="2"/>
  <c r="AO177" i="2"/>
  <c r="BC176" i="2"/>
  <c r="BS176" i="2" s="1"/>
  <c r="AZ177" i="2"/>
  <c r="AV177" i="2"/>
  <c r="AR177" i="2"/>
  <c r="AN177" i="2"/>
  <c r="AQ177" i="2" s="1"/>
  <c r="BC179" i="2"/>
  <c r="BS179" i="2" s="1"/>
  <c r="BC184" i="2"/>
  <c r="BS184" i="2" s="1"/>
  <c r="AN185" i="2"/>
  <c r="AX185" i="2" s="1"/>
  <c r="AN188" i="2"/>
  <c r="AZ188" i="2" s="1"/>
  <c r="AX188" i="2"/>
  <c r="AW188" i="2"/>
  <c r="BC187" i="2"/>
  <c r="BS187" i="2" s="1"/>
  <c r="AY193" i="2"/>
  <c r="AU193" i="2"/>
  <c r="AX193" i="2"/>
  <c r="AT193" i="2"/>
  <c r="AP193" i="2"/>
  <c r="AW193" i="2"/>
  <c r="AS193" i="2"/>
  <c r="AO193" i="2"/>
  <c r="BC192" i="2"/>
  <c r="BS192" i="2" s="1"/>
  <c r="AZ193" i="2"/>
  <c r="AV193" i="2"/>
  <c r="AR193" i="2"/>
  <c r="AN193" i="2"/>
  <c r="AQ193" i="2" s="1"/>
  <c r="BC195" i="2"/>
  <c r="BS195" i="2" s="1"/>
  <c r="BC200" i="2"/>
  <c r="BS200" i="2" s="1"/>
  <c r="AN201" i="2"/>
  <c r="AX201" i="2" s="1"/>
  <c r="AN204" i="2"/>
  <c r="AZ204" i="2" s="1"/>
  <c r="AX204" i="2"/>
  <c r="AW204" i="2"/>
  <c r="BC203" i="2"/>
  <c r="BS203" i="2" s="1"/>
  <c r="AY209" i="2"/>
  <c r="AU209" i="2"/>
  <c r="AX209" i="2"/>
  <c r="AT209" i="2"/>
  <c r="AP209" i="2"/>
  <c r="AW209" i="2"/>
  <c r="AS209" i="2"/>
  <c r="AO209" i="2"/>
  <c r="BC208" i="2"/>
  <c r="BS208" i="2" s="1"/>
  <c r="AZ209" i="2"/>
  <c r="AV209" i="2"/>
  <c r="AR209" i="2"/>
  <c r="AN209" i="2"/>
  <c r="AQ209" i="2" s="1"/>
  <c r="AZ212" i="2"/>
  <c r="AV212" i="2"/>
  <c r="AR212" i="2"/>
  <c r="AN212" i="2"/>
  <c r="AY212" i="2"/>
  <c r="AU212" i="2"/>
  <c r="AQ212" i="2"/>
  <c r="AX212" i="2"/>
  <c r="AT212" i="2"/>
  <c r="AP212" i="2"/>
  <c r="AW212" i="2"/>
  <c r="AS212" i="2"/>
  <c r="AO212" i="2"/>
  <c r="BC211" i="2"/>
  <c r="BS211" i="2" s="1"/>
  <c r="BC216" i="2"/>
  <c r="BS216" i="2" s="1"/>
  <c r="AN217" i="2"/>
  <c r="AX217" i="2" s="1"/>
  <c r="AN220" i="2"/>
  <c r="AZ220" i="2" s="1"/>
  <c r="AX220" i="2"/>
  <c r="AW220" i="2"/>
  <c r="BC219" i="2"/>
  <c r="BS219" i="2" s="1"/>
  <c r="AY225" i="2"/>
  <c r="AT225" i="2"/>
  <c r="AN225" i="2"/>
  <c r="AU225" i="2" s="1"/>
  <c r="AS225" i="2"/>
  <c r="AR225" i="2"/>
  <c r="BC224" i="2"/>
  <c r="BS224" i="2" s="1"/>
  <c r="AU226" i="2"/>
  <c r="AZ229" i="2"/>
  <c r="AQ229" i="2"/>
  <c r="AX229" i="2"/>
  <c r="AR229" i="2"/>
  <c r="BC228" i="2"/>
  <c r="BS228" i="2" s="1"/>
  <c r="AO229" i="2"/>
  <c r="AV229" i="2"/>
  <c r="AN229" i="2"/>
  <c r="AY229" i="2" s="1"/>
  <c r="AR226" i="2"/>
  <c r="AZ230" i="2"/>
  <c r="AN230" i="2"/>
  <c r="AV230" i="2" s="1"/>
  <c r="AY230" i="2"/>
  <c r="AX230" i="2"/>
  <c r="AT230" i="2"/>
  <c r="AW230" i="2"/>
  <c r="AS230" i="2"/>
  <c r="BC229" i="2"/>
  <c r="BS229" i="2" s="1"/>
  <c r="BC236" i="2"/>
  <c r="BS236" i="2" s="1"/>
  <c r="AX240" i="2"/>
  <c r="AW240" i="2"/>
  <c r="BC239" i="2"/>
  <c r="BS239" i="2" s="1"/>
  <c r="AZ240" i="2"/>
  <c r="AN240" i="2"/>
  <c r="AT240" i="2" s="1"/>
  <c r="AY240" i="2"/>
  <c r="AW245" i="2"/>
  <c r="BC244" i="2"/>
  <c r="BS244" i="2" s="1"/>
  <c r="AZ245" i="2"/>
  <c r="AN245" i="2"/>
  <c r="AS245" i="2" s="1"/>
  <c r="AY245" i="2"/>
  <c r="AX245" i="2"/>
  <c r="AT245" i="2"/>
  <c r="AX248" i="2"/>
  <c r="AT248" i="2"/>
  <c r="AP248" i="2"/>
  <c r="AW248" i="2"/>
  <c r="AS248" i="2"/>
  <c r="AO248" i="2"/>
  <c r="BC247" i="2"/>
  <c r="BS247" i="2" s="1"/>
  <c r="AZ248" i="2"/>
  <c r="AV248" i="2"/>
  <c r="AR248" i="2"/>
  <c r="AN248" i="2"/>
  <c r="AY248" i="2"/>
  <c r="AU248" i="2"/>
  <c r="AQ248" i="2"/>
  <c r="AS253" i="2"/>
  <c r="AO253" i="2"/>
  <c r="BC252" i="2"/>
  <c r="BS252" i="2" s="1"/>
  <c r="AV253" i="2"/>
  <c r="AR253" i="2"/>
  <c r="AN253" i="2"/>
  <c r="AW253" i="2" s="1"/>
  <c r="AU253" i="2"/>
  <c r="AQ253" i="2"/>
  <c r="AX253" i="2"/>
  <c r="AP253" i="2"/>
  <c r="BC255" i="2"/>
  <c r="BS255" i="2" s="1"/>
  <c r="AN256" i="2"/>
  <c r="AX256" i="2" s="1"/>
  <c r="AX262" i="2"/>
  <c r="AW262" i="2"/>
  <c r="BC261" i="2"/>
  <c r="BS261" i="2" s="1"/>
  <c r="AZ262" i="2"/>
  <c r="AN262" i="2"/>
  <c r="AT262" i="2" s="1"/>
  <c r="AY262" i="2"/>
  <c r="X177" i="2"/>
  <c r="AH177" i="2" s="1"/>
  <c r="X181" i="2"/>
  <c r="AH181" i="2" s="1"/>
  <c r="X185" i="2"/>
  <c r="AH185" i="2" s="1"/>
  <c r="AN187" i="2" s="1"/>
  <c r="X189" i="2"/>
  <c r="AH189" i="2" s="1"/>
  <c r="AN192" i="2" s="1"/>
  <c r="X193" i="2"/>
  <c r="AH193" i="2" s="1"/>
  <c r="X197" i="2"/>
  <c r="AH197" i="2" s="1"/>
  <c r="X201" i="2"/>
  <c r="AH201" i="2" s="1"/>
  <c r="AN203" i="2" s="1"/>
  <c r="X205" i="2"/>
  <c r="AH205" i="2" s="1"/>
  <c r="AN208" i="2" s="1"/>
  <c r="AX231" i="2"/>
  <c r="AW231" i="2"/>
  <c r="BC230" i="2"/>
  <c r="BS230" i="2" s="1"/>
  <c r="AZ231" i="2"/>
  <c r="AN231" i="2"/>
  <c r="AY231" i="2" s="1"/>
  <c r="AZ234" i="2"/>
  <c r="AN234" i="2"/>
  <c r="AV234" i="2" s="1"/>
  <c r="AY234" i="2"/>
  <c r="AX234" i="2"/>
  <c r="AT234" i="2"/>
  <c r="AW234" i="2"/>
  <c r="AS234" i="2"/>
  <c r="BC233" i="2"/>
  <c r="BS233" i="2" s="1"/>
  <c r="AY239" i="2"/>
  <c r="AU239" i="2"/>
  <c r="AT239" i="2"/>
  <c r="AP239" i="2"/>
  <c r="AS239" i="2"/>
  <c r="AO239" i="2"/>
  <c r="BC238" i="2"/>
  <c r="BS238" i="2" s="1"/>
  <c r="AV239" i="2"/>
  <c r="AR239" i="2"/>
  <c r="AN239" i="2"/>
  <c r="AQ239" i="2" s="1"/>
  <c r="AV242" i="2"/>
  <c r="AR242" i="2"/>
  <c r="AN242" i="2"/>
  <c r="AZ242" i="2" s="1"/>
  <c r="AU242" i="2"/>
  <c r="AQ242" i="2"/>
  <c r="AX242" i="2"/>
  <c r="AP242" i="2"/>
  <c r="AW242" i="2"/>
  <c r="AO242" i="2"/>
  <c r="BC241" i="2"/>
  <c r="BS241" i="2" s="1"/>
  <c r="AX247" i="2"/>
  <c r="AW247" i="2"/>
  <c r="BC246" i="2"/>
  <c r="BS246" i="2" s="1"/>
  <c r="AZ247" i="2"/>
  <c r="AN247" i="2"/>
  <c r="AY247" i="2" s="1"/>
  <c r="AZ250" i="2"/>
  <c r="AN250" i="2"/>
  <c r="AV250" i="2" s="1"/>
  <c r="AY250" i="2"/>
  <c r="AX250" i="2"/>
  <c r="AT250" i="2"/>
  <c r="AW250" i="2"/>
  <c r="AS250" i="2"/>
  <c r="BC249" i="2"/>
  <c r="BS249" i="2" s="1"/>
  <c r="AY255" i="2"/>
  <c r="AU255" i="2"/>
  <c r="AT255" i="2"/>
  <c r="AP255" i="2"/>
  <c r="AS255" i="2"/>
  <c r="AO255" i="2"/>
  <c r="BC254" i="2"/>
  <c r="BS254" i="2" s="1"/>
  <c r="AV255" i="2"/>
  <c r="AR255" i="2"/>
  <c r="AN255" i="2"/>
  <c r="AQ255" i="2" s="1"/>
  <c r="AV258" i="2"/>
  <c r="AR258" i="2"/>
  <c r="AN258" i="2"/>
  <c r="AZ258" i="2" s="1"/>
  <c r="AU258" i="2"/>
  <c r="AQ258" i="2"/>
  <c r="AX258" i="2"/>
  <c r="AW258" i="2"/>
  <c r="AO258" i="2"/>
  <c r="AT258" i="2"/>
  <c r="AS258" i="2"/>
  <c r="BC257" i="2"/>
  <c r="BS257" i="2" s="1"/>
  <c r="AP226" i="2"/>
  <c r="AO226" i="2"/>
  <c r="BC225" i="2"/>
  <c r="BS225" i="2" s="1"/>
  <c r="BC226" i="2"/>
  <c r="BS226" i="2" s="1"/>
  <c r="AN227" i="2"/>
  <c r="AU227" i="2" s="1"/>
  <c r="AN226" i="2"/>
  <c r="AT226" i="2" s="1"/>
  <c r="BC232" i="2"/>
  <c r="BS232" i="2" s="1"/>
  <c r="AN233" i="2"/>
  <c r="AW233" i="2" s="1"/>
  <c r="AX233" i="2"/>
  <c r="BC240" i="2"/>
  <c r="BS240" i="2" s="1"/>
  <c r="AN241" i="2"/>
  <c r="AW241" i="2" s="1"/>
  <c r="AX241" i="2"/>
  <c r="AX244" i="2"/>
  <c r="AW244" i="2"/>
  <c r="BC243" i="2"/>
  <c r="BS243" i="2" s="1"/>
  <c r="AZ244" i="2"/>
  <c r="AN244" i="2"/>
  <c r="AT244" i="2" s="1"/>
  <c r="AY244" i="2"/>
  <c r="AW249" i="2"/>
  <c r="BC248" i="2"/>
  <c r="BS248" i="2" s="1"/>
  <c r="AZ249" i="2"/>
  <c r="AN249" i="2"/>
  <c r="AS249" i="2" s="1"/>
  <c r="AY249" i="2"/>
  <c r="AX249" i="2"/>
  <c r="AT249" i="2"/>
  <c r="AX252" i="2"/>
  <c r="AT252" i="2"/>
  <c r="AP252" i="2"/>
  <c r="AW252" i="2"/>
  <c r="AS252" i="2"/>
  <c r="AO252" i="2"/>
  <c r="BC251" i="2"/>
  <c r="BS251" i="2" s="1"/>
  <c r="AZ252" i="2"/>
  <c r="AV252" i="2"/>
  <c r="AR252" i="2"/>
  <c r="AN252" i="2"/>
  <c r="AY252" i="2"/>
  <c r="AU252" i="2"/>
  <c r="AQ252" i="2"/>
  <c r="AS257" i="2"/>
  <c r="AO257" i="2"/>
  <c r="BC256" i="2"/>
  <c r="BS256" i="2" s="1"/>
  <c r="AV257" i="2"/>
  <c r="AR257" i="2"/>
  <c r="AN257" i="2"/>
  <c r="AW257" i="2" s="1"/>
  <c r="AU257" i="2"/>
  <c r="AQ257" i="2"/>
  <c r="AX257" i="2"/>
  <c r="AP257" i="2"/>
  <c r="AX235" i="2"/>
  <c r="AW235" i="2"/>
  <c r="BC234" i="2"/>
  <c r="BS234" i="2" s="1"/>
  <c r="AZ235" i="2"/>
  <c r="AN235" i="2"/>
  <c r="AY235" i="2" s="1"/>
  <c r="BC237" i="2"/>
  <c r="BS237" i="2" s="1"/>
  <c r="AY243" i="2"/>
  <c r="AU243" i="2"/>
  <c r="AT243" i="2"/>
  <c r="AP243" i="2"/>
  <c r="AS243" i="2"/>
  <c r="AO243" i="2"/>
  <c r="BC242" i="2"/>
  <c r="BS242" i="2" s="1"/>
  <c r="AV243" i="2"/>
  <c r="AR243" i="2"/>
  <c r="AN243" i="2"/>
  <c r="AQ243" i="2" s="1"/>
  <c r="AV246" i="2"/>
  <c r="AR246" i="2"/>
  <c r="AN246" i="2"/>
  <c r="AZ246" i="2" s="1"/>
  <c r="AU246" i="2"/>
  <c r="AQ246" i="2"/>
  <c r="AX246" i="2"/>
  <c r="AP246" i="2"/>
  <c r="AW246" i="2"/>
  <c r="AO246" i="2"/>
  <c r="BC245" i="2"/>
  <c r="BS245" i="2" s="1"/>
  <c r="AX251" i="2"/>
  <c r="AW251" i="2"/>
  <c r="BC250" i="2"/>
  <c r="BS250" i="2" s="1"/>
  <c r="AZ251" i="2"/>
  <c r="AN251" i="2"/>
  <c r="AY251" i="2" s="1"/>
  <c r="AZ254" i="2"/>
  <c r="AN254" i="2"/>
  <c r="AV254" i="2" s="1"/>
  <c r="AY254" i="2"/>
  <c r="AX254" i="2"/>
  <c r="AT254" i="2"/>
  <c r="AW254" i="2"/>
  <c r="AS254" i="2"/>
  <c r="BC253" i="2"/>
  <c r="BS253" i="2" s="1"/>
  <c r="AU259" i="2"/>
  <c r="AP259" i="2"/>
  <c r="AN259" i="2"/>
  <c r="AQ259" i="2" s="1"/>
  <c r="AS259" i="2"/>
  <c r="BC258" i="2"/>
  <c r="BS258" i="2" s="1"/>
  <c r="AW259" i="2"/>
  <c r="AR260" i="2"/>
  <c r="AZ260" i="2"/>
  <c r="BC266" i="2"/>
  <c r="BS266" i="2" s="1"/>
  <c r="BC274" i="2"/>
  <c r="BS274" i="2" s="1"/>
  <c r="BC282" i="2"/>
  <c r="BS282" i="2" s="1"/>
  <c r="BC286" i="2"/>
  <c r="BS286" i="2" s="1"/>
  <c r="X231" i="2"/>
  <c r="AH231" i="2" s="1"/>
  <c r="X235" i="2"/>
  <c r="AH235" i="2" s="1"/>
  <c r="AN237" i="2" s="1"/>
  <c r="AZ264" i="2"/>
  <c r="AN264" i="2"/>
  <c r="AV264" i="2" s="1"/>
  <c r="AY264" i="2"/>
  <c r="AX264" i="2"/>
  <c r="AT264" i="2"/>
  <c r="AW264" i="2"/>
  <c r="AS264" i="2"/>
  <c r="BC263" i="2"/>
  <c r="BS263" i="2" s="1"/>
  <c r="AY269" i="2"/>
  <c r="AU269" i="2"/>
  <c r="AT269" i="2"/>
  <c r="AP269" i="2"/>
  <c r="AS269" i="2"/>
  <c r="AO269" i="2"/>
  <c r="BC268" i="2"/>
  <c r="BS268" i="2" s="1"/>
  <c r="AV269" i="2"/>
  <c r="AR269" i="2"/>
  <c r="AN269" i="2"/>
  <c r="AQ269" i="2" s="1"/>
  <c r="BC271" i="2"/>
  <c r="BS271" i="2" s="1"/>
  <c r="AX277" i="2"/>
  <c r="AW277" i="2"/>
  <c r="BC276" i="2"/>
  <c r="BS276" i="2" s="1"/>
  <c r="AZ277" i="2"/>
  <c r="AN277" i="2"/>
  <c r="AY277" i="2" s="1"/>
  <c r="BC279" i="2"/>
  <c r="BS279" i="2" s="1"/>
  <c r="AZ291" i="2"/>
  <c r="AN291" i="2"/>
  <c r="AV291" i="2" s="1"/>
  <c r="AY291" i="2"/>
  <c r="AX291" i="2"/>
  <c r="AP291" i="2"/>
  <c r="AO291" i="2"/>
  <c r="AT291" i="2"/>
  <c r="BC290" i="2"/>
  <c r="BS290" i="2" s="1"/>
  <c r="AX260" i="2"/>
  <c r="AT260" i="2"/>
  <c r="AW260" i="2"/>
  <c r="AS260" i="2"/>
  <c r="BC259" i="2"/>
  <c r="BS259" i="2" s="1"/>
  <c r="BC260" i="2"/>
  <c r="BS260" i="2" s="1"/>
  <c r="AN261" i="2"/>
  <c r="AQ261" i="2" s="1"/>
  <c r="AN260" i="2"/>
  <c r="AU260" i="2" s="1"/>
  <c r="AW263" i="2"/>
  <c r="AS263" i="2"/>
  <c r="AO263" i="2"/>
  <c r="BC262" i="2"/>
  <c r="BS262" i="2" s="1"/>
  <c r="AZ263" i="2"/>
  <c r="AV263" i="2"/>
  <c r="AR263" i="2"/>
  <c r="AN263" i="2"/>
  <c r="AY263" i="2"/>
  <c r="AU263" i="2"/>
  <c r="AQ263" i="2"/>
  <c r="AX263" i="2"/>
  <c r="AT263" i="2"/>
  <c r="AP263" i="2"/>
  <c r="AW271" i="2"/>
  <c r="BC270" i="2"/>
  <c r="BS270" i="2" s="1"/>
  <c r="AZ271" i="2"/>
  <c r="AN271" i="2"/>
  <c r="AS271" i="2" s="1"/>
  <c r="AY271" i="2"/>
  <c r="AX271" i="2"/>
  <c r="AT271" i="2"/>
  <c r="BC278" i="2"/>
  <c r="BS278" i="2" s="1"/>
  <c r="AY265" i="2"/>
  <c r="AU265" i="2"/>
  <c r="AT265" i="2"/>
  <c r="AP265" i="2"/>
  <c r="AS265" i="2"/>
  <c r="AO265" i="2"/>
  <c r="BC264" i="2"/>
  <c r="BS264" i="2" s="1"/>
  <c r="AV265" i="2"/>
  <c r="AR265" i="2"/>
  <c r="AN265" i="2"/>
  <c r="AQ265" i="2" s="1"/>
  <c r="BC267" i="2"/>
  <c r="BS267" i="2" s="1"/>
  <c r="AX273" i="2"/>
  <c r="AW273" i="2"/>
  <c r="BC272" i="2"/>
  <c r="BS272" i="2" s="1"/>
  <c r="AZ273" i="2"/>
  <c r="AN273" i="2"/>
  <c r="AY273" i="2" s="1"/>
  <c r="AZ276" i="2"/>
  <c r="AN276" i="2"/>
  <c r="AV276" i="2" s="1"/>
  <c r="AY276" i="2"/>
  <c r="AX276" i="2"/>
  <c r="AT276" i="2"/>
  <c r="AW276" i="2"/>
  <c r="AS276" i="2"/>
  <c r="BC275" i="2"/>
  <c r="BS275" i="2" s="1"/>
  <c r="AY281" i="2"/>
  <c r="AU281" i="2"/>
  <c r="AT281" i="2"/>
  <c r="AP281" i="2"/>
  <c r="AS281" i="2"/>
  <c r="AO281" i="2"/>
  <c r="BC280" i="2"/>
  <c r="BS280" i="2" s="1"/>
  <c r="AV281" i="2"/>
  <c r="AR281" i="2"/>
  <c r="AN281" i="2"/>
  <c r="AQ281" i="2" s="1"/>
  <c r="BC283" i="2"/>
  <c r="BS283" i="2" s="1"/>
  <c r="AX285" i="2"/>
  <c r="AW285" i="2"/>
  <c r="BC284" i="2"/>
  <c r="BS284" i="2" s="1"/>
  <c r="AZ285" i="2"/>
  <c r="AN285" i="2"/>
  <c r="AY285" i="2" s="1"/>
  <c r="BC287" i="2"/>
  <c r="BS287" i="2" s="1"/>
  <c r="AU292" i="2"/>
  <c r="AP292" i="2"/>
  <c r="AN292" i="2"/>
  <c r="AQ292" i="2" s="1"/>
  <c r="AS292" i="2"/>
  <c r="BC291" i="2"/>
  <c r="BS291" i="2" s="1"/>
  <c r="AW292" i="2"/>
  <c r="AT289" i="2"/>
  <c r="AP289" i="2"/>
  <c r="AS289" i="2"/>
  <c r="AO289" i="2"/>
  <c r="BC288" i="2"/>
  <c r="BS288" i="2" s="1"/>
  <c r="AS290" i="2"/>
  <c r="AO290" i="2"/>
  <c r="BC289" i="2"/>
  <c r="BS289" i="2" s="1"/>
  <c r="AV290" i="2"/>
  <c r="AR290" i="2"/>
  <c r="AN290" i="2"/>
  <c r="AW290" i="2" s="1"/>
  <c r="AN289" i="2"/>
  <c r="AV289" i="2"/>
  <c r="AT290" i="2"/>
  <c r="AN293" i="2"/>
  <c r="AR293" i="2" s="1"/>
  <c r="AZ297" i="2"/>
  <c r="AV297" i="2"/>
  <c r="AR297" i="2"/>
  <c r="AN297" i="2"/>
  <c r="AY297" i="2"/>
  <c r="AU297" i="2"/>
  <c r="AQ297" i="2"/>
  <c r="AX297" i="2"/>
  <c r="AT297" i="2"/>
  <c r="AP297" i="2"/>
  <c r="AW297" i="2"/>
  <c r="AS297" i="2"/>
  <c r="AO297" i="2"/>
  <c r="BC296" i="2"/>
  <c r="BS296" i="2" s="1"/>
  <c r="BC301" i="2"/>
  <c r="BS301" i="2" s="1"/>
  <c r="AN302" i="2"/>
  <c r="AX302" i="2" s="1"/>
  <c r="AN305" i="2"/>
  <c r="AZ305" i="2" s="1"/>
  <c r="AX305" i="2"/>
  <c r="AW305" i="2"/>
  <c r="BC304" i="2"/>
  <c r="BS304" i="2" s="1"/>
  <c r="AY310" i="2"/>
  <c r="AU310" i="2"/>
  <c r="AX310" i="2"/>
  <c r="AT310" i="2"/>
  <c r="AP310" i="2"/>
  <c r="AW310" i="2"/>
  <c r="AS310" i="2"/>
  <c r="AO310" i="2"/>
  <c r="BC309" i="2"/>
  <c r="BS309" i="2" s="1"/>
  <c r="AZ310" i="2"/>
  <c r="AV310" i="2"/>
  <c r="AR310" i="2"/>
  <c r="AN310" i="2"/>
  <c r="AQ310" i="2" s="1"/>
  <c r="AZ314" i="2"/>
  <c r="AN314" i="2"/>
  <c r="AV314" i="2" s="1"/>
  <c r="AY314" i="2"/>
  <c r="AW314" i="2"/>
  <c r="AO314" i="2"/>
  <c r="BC313" i="2"/>
  <c r="BS313" i="2" s="1"/>
  <c r="AX314" i="2"/>
  <c r="X265" i="2"/>
  <c r="AH265" i="2" s="1"/>
  <c r="X269" i="2"/>
  <c r="AH269" i="2" s="1"/>
  <c r="X273" i="2"/>
  <c r="AH273" i="2" s="1"/>
  <c r="X277" i="2"/>
  <c r="AH277" i="2" s="1"/>
  <c r="AN279" i="2" s="1"/>
  <c r="X281" i="2"/>
  <c r="AH281" i="2" s="1"/>
  <c r="X285" i="2"/>
  <c r="AH285" i="2" s="1"/>
  <c r="AN287" i="2" s="1"/>
  <c r="AQ289" i="2"/>
  <c r="AY289" i="2"/>
  <c r="AU290" i="2"/>
  <c r="AS296" i="2"/>
  <c r="AO296" i="2"/>
  <c r="BC295" i="2"/>
  <c r="BS295" i="2" s="1"/>
  <c r="AV296" i="2"/>
  <c r="AR296" i="2"/>
  <c r="AN296" i="2"/>
  <c r="AW296" i="2" s="1"/>
  <c r="AU296" i="2"/>
  <c r="AQ296" i="2"/>
  <c r="AX296" i="2"/>
  <c r="AP296" i="2"/>
  <c r="BC298" i="2"/>
  <c r="BS298" i="2" s="1"/>
  <c r="AN299" i="2"/>
  <c r="AX299" i="2" s="1"/>
  <c r="BC303" i="2"/>
  <c r="BS303" i="2" s="1"/>
  <c r="AN304" i="2"/>
  <c r="AW304" i="2" s="1"/>
  <c r="AX304" i="2"/>
  <c r="AY293" i="2"/>
  <c r="AU293" i="2"/>
  <c r="AQ293" i="2"/>
  <c r="AX293" i="2"/>
  <c r="AT293" i="2"/>
  <c r="AP293" i="2"/>
  <c r="AW293" i="2"/>
  <c r="AS293" i="2"/>
  <c r="AO293" i="2"/>
  <c r="BC292" i="2"/>
  <c r="BS292" i="2" s="1"/>
  <c r="BC293" i="2"/>
  <c r="BS293" i="2" s="1"/>
  <c r="AN294" i="2"/>
  <c r="AX294" i="2" s="1"/>
  <c r="AV293" i="2"/>
  <c r="AT295" i="2"/>
  <c r="AP295" i="2"/>
  <c r="AS295" i="2"/>
  <c r="AO295" i="2"/>
  <c r="BC294" i="2"/>
  <c r="BS294" i="2" s="1"/>
  <c r="AV295" i="2"/>
  <c r="AR295" i="2"/>
  <c r="AN295" i="2"/>
  <c r="AX295" i="2" s="1"/>
  <c r="AU295" i="2"/>
  <c r="AQ295" i="2"/>
  <c r="AX298" i="2"/>
  <c r="AW298" i="2"/>
  <c r="BC297" i="2"/>
  <c r="BS297" i="2" s="1"/>
  <c r="AZ298" i="2"/>
  <c r="AN298" i="2"/>
  <c r="AY298" i="2" s="1"/>
  <c r="AZ301" i="2"/>
  <c r="AN301" i="2"/>
  <c r="AV301" i="2" s="1"/>
  <c r="AY301" i="2"/>
  <c r="AX301" i="2"/>
  <c r="AT301" i="2"/>
  <c r="AW301" i="2"/>
  <c r="AS301" i="2"/>
  <c r="BC300" i="2"/>
  <c r="BS300" i="2" s="1"/>
  <c r="AY306" i="2"/>
  <c r="AU306" i="2"/>
  <c r="AT306" i="2"/>
  <c r="AP306" i="2"/>
  <c r="AS306" i="2"/>
  <c r="AO306" i="2"/>
  <c r="BC305" i="2"/>
  <c r="BS305" i="2" s="1"/>
  <c r="AV306" i="2"/>
  <c r="AR306" i="2"/>
  <c r="AN306" i="2"/>
  <c r="AQ306" i="2" s="1"/>
  <c r="BC308" i="2"/>
  <c r="BS308" i="2" s="1"/>
  <c r="BC311" i="2"/>
  <c r="BS311" i="2" s="1"/>
  <c r="BC312" i="2"/>
  <c r="BS312" i="2" s="1"/>
  <c r="AZ293" i="2"/>
  <c r="AW300" i="2"/>
  <c r="BC299" i="2"/>
  <c r="BS299" i="2" s="1"/>
  <c r="AZ300" i="2"/>
  <c r="AN300" i="2"/>
  <c r="AS300" i="2" s="1"/>
  <c r="AY300" i="2"/>
  <c r="AX300" i="2"/>
  <c r="AT300" i="2"/>
  <c r="BC307" i="2"/>
  <c r="BS307" i="2" s="1"/>
  <c r="AN308" i="2"/>
  <c r="AW308" i="2" s="1"/>
  <c r="AX308" i="2"/>
  <c r="AN318" i="2"/>
  <c r="AZ318" i="2" s="1"/>
  <c r="AS318" i="2"/>
  <c r="BC317" i="2"/>
  <c r="BS317" i="2" s="1"/>
  <c r="BC319" i="2"/>
  <c r="BS319" i="2" s="1"/>
  <c r="AX325" i="2"/>
  <c r="AW325" i="2"/>
  <c r="BC324" i="2"/>
  <c r="BS324" i="2" s="1"/>
  <c r="AZ325" i="2"/>
  <c r="AN325" i="2"/>
  <c r="AY325" i="2" s="1"/>
  <c r="AZ328" i="2"/>
  <c r="AN328" i="2"/>
  <c r="AV328" i="2" s="1"/>
  <c r="AY328" i="2"/>
  <c r="AX328" i="2"/>
  <c r="AT328" i="2"/>
  <c r="AW328" i="2"/>
  <c r="AS328" i="2"/>
  <c r="BC327" i="2"/>
  <c r="BS327" i="2" s="1"/>
  <c r="AY333" i="2"/>
  <c r="AU333" i="2"/>
  <c r="AT333" i="2"/>
  <c r="AP333" i="2"/>
  <c r="AO333" i="2"/>
  <c r="AV333" i="2"/>
  <c r="AN333" i="2"/>
  <c r="AQ333" i="2" s="1"/>
  <c r="AZ333" i="2"/>
  <c r="AR333" i="2"/>
  <c r="BC332" i="2"/>
  <c r="BS332" i="2" s="1"/>
  <c r="AV336" i="2"/>
  <c r="AR336" i="2"/>
  <c r="AN336" i="2"/>
  <c r="AZ336" i="2" s="1"/>
  <c r="AU336" i="2"/>
  <c r="AQ336" i="2"/>
  <c r="AW336" i="2"/>
  <c r="AT336" i="2"/>
  <c r="AS336" i="2"/>
  <c r="BC335" i="2"/>
  <c r="BS335" i="2" s="1"/>
  <c r="AP336" i="2"/>
  <c r="X302" i="2"/>
  <c r="AH302" i="2" s="1"/>
  <c r="X306" i="2"/>
  <c r="AH306" i="2" s="1"/>
  <c r="X310" i="2"/>
  <c r="AH310" i="2" s="1"/>
  <c r="AN312" i="2" s="1"/>
  <c r="X314" i="2"/>
  <c r="AH314" i="2" s="1"/>
  <c r="AW327" i="2"/>
  <c r="AS327" i="2"/>
  <c r="AO327" i="2"/>
  <c r="BC326" i="2"/>
  <c r="BS326" i="2" s="1"/>
  <c r="AZ327" i="2"/>
  <c r="AV327" i="2"/>
  <c r="AR327" i="2"/>
  <c r="AN327" i="2"/>
  <c r="AY327" i="2"/>
  <c r="AU327" i="2"/>
  <c r="AQ327" i="2"/>
  <c r="AX327" i="2"/>
  <c r="AT327" i="2"/>
  <c r="AP327" i="2"/>
  <c r="AT330" i="2"/>
  <c r="AP330" i="2"/>
  <c r="AS330" i="2"/>
  <c r="AO330" i="2"/>
  <c r="BC329" i="2"/>
  <c r="BS329" i="2" s="1"/>
  <c r="AV330" i="2"/>
  <c r="AR330" i="2"/>
  <c r="AN330" i="2"/>
  <c r="AX330" i="2" s="1"/>
  <c r="AU330" i="2"/>
  <c r="AQ330" i="2"/>
  <c r="AN332" i="2"/>
  <c r="AZ332" i="2" s="1"/>
  <c r="AS332" i="2"/>
  <c r="BC331" i="2"/>
  <c r="BS331" i="2" s="1"/>
  <c r="BC320" i="2"/>
  <c r="BS320" i="2" s="1"/>
  <c r="BC323" i="2"/>
  <c r="BS323" i="2" s="1"/>
  <c r="AX329" i="2"/>
  <c r="AW329" i="2"/>
  <c r="BC328" i="2"/>
  <c r="BS328" i="2" s="1"/>
  <c r="AZ329" i="2"/>
  <c r="AN329" i="2"/>
  <c r="AY329" i="2" s="1"/>
  <c r="BC315" i="2"/>
  <c r="BS315" i="2" s="1"/>
  <c r="BC316" i="2"/>
  <c r="BS316" i="2" s="1"/>
  <c r="AN316" i="2"/>
  <c r="AR316" i="2" s="1"/>
  <c r="X318" i="2"/>
  <c r="AH318" i="2" s="1"/>
  <c r="BC322" i="2"/>
  <c r="BS322" i="2" s="1"/>
  <c r="AN323" i="2"/>
  <c r="AW323" i="2" s="1"/>
  <c r="AX323" i="2"/>
  <c r="AX326" i="2"/>
  <c r="AW326" i="2"/>
  <c r="BC325" i="2"/>
  <c r="BS325" i="2" s="1"/>
  <c r="AZ326" i="2"/>
  <c r="AN326" i="2"/>
  <c r="AT326" i="2" s="1"/>
  <c r="AY326" i="2"/>
  <c r="AW331" i="2"/>
  <c r="AS331" i="2"/>
  <c r="AZ331" i="2"/>
  <c r="AV331" i="2"/>
  <c r="AR331" i="2"/>
  <c r="AN331" i="2"/>
  <c r="AO331" i="2" s="1"/>
  <c r="AT331" i="2"/>
  <c r="BC330" i="2"/>
  <c r="BS330" i="2" s="1"/>
  <c r="AY331" i="2"/>
  <c r="AQ331" i="2"/>
  <c r="AX331" i="2"/>
  <c r="AP331" i="2"/>
  <c r="AU331" i="2"/>
  <c r="AQ335" i="2"/>
  <c r="BC340" i="2"/>
  <c r="BS340" i="2" s="1"/>
  <c r="AZ350" i="2"/>
  <c r="AN350" i="2"/>
  <c r="AV350" i="2" s="1"/>
  <c r="AY350" i="2"/>
  <c r="AS350" i="2"/>
  <c r="BC349" i="2"/>
  <c r="BS349" i="2" s="1"/>
  <c r="AW350" i="2"/>
  <c r="X321" i="2"/>
  <c r="AH321" i="2" s="1"/>
  <c r="BC333" i="2"/>
  <c r="BS333" i="2" s="1"/>
  <c r="AW335" i="2"/>
  <c r="BC334" i="2"/>
  <c r="BS334" i="2" s="1"/>
  <c r="AZ335" i="2"/>
  <c r="AN335" i="2"/>
  <c r="AY335" i="2" s="1"/>
  <c r="AN334" i="2"/>
  <c r="X336" i="2"/>
  <c r="AH336" i="2" s="1"/>
  <c r="AZ338" i="2"/>
  <c r="AN338" i="2"/>
  <c r="AV338" i="2" s="1"/>
  <c r="AY338" i="2"/>
  <c r="AX338" i="2"/>
  <c r="AT338" i="2"/>
  <c r="AW338" i="2"/>
  <c r="AS338" i="2"/>
  <c r="BC337" i="2"/>
  <c r="BS337" i="2" s="1"/>
  <c r="AY343" i="2"/>
  <c r="AU343" i="2"/>
  <c r="AT343" i="2"/>
  <c r="AP343" i="2"/>
  <c r="AS343" i="2"/>
  <c r="AO343" i="2"/>
  <c r="BC342" i="2"/>
  <c r="BS342" i="2" s="1"/>
  <c r="AV343" i="2"/>
  <c r="AR343" i="2"/>
  <c r="AN343" i="2"/>
  <c r="AQ343" i="2" s="1"/>
  <c r="BC345" i="2"/>
  <c r="BS345" i="2" s="1"/>
  <c r="AX347" i="2"/>
  <c r="AW347" i="2"/>
  <c r="BC346" i="2"/>
  <c r="BS346" i="2" s="1"/>
  <c r="AZ347" i="2"/>
  <c r="AN347" i="2"/>
  <c r="AY347" i="2" s="1"/>
  <c r="BC344" i="2"/>
  <c r="BS344" i="2" s="1"/>
  <c r="BC348" i="2"/>
  <c r="BS348" i="2" s="1"/>
  <c r="AV354" i="2"/>
  <c r="AR354" i="2"/>
  <c r="AN354" i="2"/>
  <c r="AZ354" i="2" s="1"/>
  <c r="AU354" i="2"/>
  <c r="AQ354" i="2"/>
  <c r="AW354" i="2"/>
  <c r="AT354" i="2"/>
  <c r="AS354" i="2"/>
  <c r="BC353" i="2"/>
  <c r="BS353" i="2" s="1"/>
  <c r="AP354" i="2"/>
  <c r="BC338" i="2"/>
  <c r="BS338" i="2" s="1"/>
  <c r="AN339" i="2"/>
  <c r="AX339" i="2" s="1"/>
  <c r="AN342" i="2"/>
  <c r="AZ342" i="2" s="1"/>
  <c r="AX342" i="2"/>
  <c r="AW342" i="2"/>
  <c r="BC341" i="2"/>
  <c r="BS341" i="2" s="1"/>
  <c r="X339" i="2"/>
  <c r="AH339" i="2" s="1"/>
  <c r="X343" i="2"/>
  <c r="AH343" i="2" s="1"/>
  <c r="X347" i="2"/>
  <c r="AH347" i="2" s="1"/>
  <c r="AN349" i="2" s="1"/>
  <c r="BC351" i="2"/>
  <c r="BS351" i="2" s="1"/>
  <c r="BC352" i="2"/>
  <c r="BS352" i="2" s="1"/>
  <c r="X354" i="2"/>
  <c r="AH354" i="2" s="1"/>
  <c r="BC356" i="2"/>
  <c r="BS356" i="2" s="1"/>
  <c r="AN357" i="2"/>
  <c r="AX357" i="2" s="1"/>
  <c r="BC359" i="2"/>
  <c r="BS359" i="2" s="1"/>
  <c r="AY361" i="2"/>
  <c r="AU361" i="2"/>
  <c r="AX361" i="2"/>
  <c r="AT361" i="2"/>
  <c r="AP361" i="2"/>
  <c r="AW361" i="2"/>
  <c r="AO361" i="2"/>
  <c r="AV361" i="2"/>
  <c r="AN361" i="2"/>
  <c r="AQ361" i="2" s="1"/>
  <c r="BC360" i="2"/>
  <c r="BS360" i="2" s="1"/>
  <c r="AS361" i="2"/>
  <c r="AZ361" i="2"/>
  <c r="AR361" i="2"/>
  <c r="AU362" i="2"/>
  <c r="BC358" i="2"/>
  <c r="BS358" i="2" s="1"/>
  <c r="X350" i="2"/>
  <c r="AH350" i="2" s="1"/>
  <c r="AV356" i="2"/>
  <c r="AR356" i="2"/>
  <c r="AN356" i="2"/>
  <c r="AZ356" i="2" s="1"/>
  <c r="AU356" i="2"/>
  <c r="AQ356" i="2"/>
  <c r="AX356" i="2"/>
  <c r="AP356" i="2"/>
  <c r="AW356" i="2"/>
  <c r="AO356" i="2"/>
  <c r="BC355" i="2"/>
  <c r="BS355" i="2" s="1"/>
  <c r="AN364" i="2"/>
  <c r="AZ364" i="2" s="1"/>
  <c r="AW364" i="2"/>
  <c r="BC363" i="2"/>
  <c r="BS363" i="2" s="1"/>
  <c r="AZ366" i="2"/>
  <c r="AN366" i="2"/>
  <c r="AV366" i="2" s="1"/>
  <c r="AY366" i="2"/>
  <c r="AX366" i="2"/>
  <c r="AT366" i="2"/>
  <c r="AW366" i="2"/>
  <c r="AS366" i="2"/>
  <c r="BC365" i="2"/>
  <c r="BS365" i="2" s="1"/>
  <c r="BC368" i="2"/>
  <c r="BS368" i="2" s="1"/>
  <c r="BC369" i="2"/>
  <c r="BS369" i="2" s="1"/>
  <c r="AQ374" i="2"/>
  <c r="AX374" i="2"/>
  <c r="AV374" i="2"/>
  <c r="AN374" i="2"/>
  <c r="AY374" i="2" s="1"/>
  <c r="AZ374" i="2"/>
  <c r="AR374" i="2"/>
  <c r="BC373" i="2"/>
  <c r="BS373" i="2" s="1"/>
  <c r="AO374" i="2"/>
  <c r="X357" i="2"/>
  <c r="AH357" i="2" s="1"/>
  <c r="AT362" i="2"/>
  <c r="AP362" i="2"/>
  <c r="AS362" i="2"/>
  <c r="AO362" i="2"/>
  <c r="BC361" i="2"/>
  <c r="BS361" i="2" s="1"/>
  <c r="AS363" i="2"/>
  <c r="AO363" i="2"/>
  <c r="BC362" i="2"/>
  <c r="BS362" i="2" s="1"/>
  <c r="AV363" i="2"/>
  <c r="AR363" i="2"/>
  <c r="AN363" i="2"/>
  <c r="AY363" i="2" s="1"/>
  <c r="AN362" i="2"/>
  <c r="AV362" i="2"/>
  <c r="AT363" i="2"/>
  <c r="X364" i="2"/>
  <c r="AH364" i="2" s="1"/>
  <c r="AY367" i="2"/>
  <c r="AU367" i="2"/>
  <c r="AT367" i="2"/>
  <c r="AP367" i="2"/>
  <c r="AS367" i="2"/>
  <c r="AO367" i="2"/>
  <c r="BC366" i="2"/>
  <c r="BS366" i="2" s="1"/>
  <c r="AV367" i="2"/>
  <c r="AR367" i="2"/>
  <c r="AN367" i="2"/>
  <c r="AQ367" i="2" s="1"/>
  <c r="AV373" i="2"/>
  <c r="AR373" i="2"/>
  <c r="AN373" i="2"/>
  <c r="AZ373" i="2" s="1"/>
  <c r="AU373" i="2"/>
  <c r="AQ373" i="2"/>
  <c r="AX373" i="2"/>
  <c r="AW373" i="2"/>
  <c r="AO373" i="2"/>
  <c r="AS373" i="2"/>
  <c r="BC372" i="2"/>
  <c r="BS372" i="2" s="1"/>
  <c r="AT371" i="2"/>
  <c r="AP371" i="2"/>
  <c r="AS371" i="2"/>
  <c r="AO371" i="2"/>
  <c r="BC370" i="2"/>
  <c r="BS370" i="2" s="1"/>
  <c r="AS372" i="2"/>
  <c r="AO372" i="2"/>
  <c r="BC371" i="2"/>
  <c r="BS371" i="2" s="1"/>
  <c r="AV372" i="2"/>
  <c r="AR372" i="2"/>
  <c r="AN372" i="2"/>
  <c r="AW372" i="2" s="1"/>
  <c r="AN371" i="2"/>
  <c r="AV371" i="2"/>
  <c r="AT372" i="2"/>
  <c r="X367" i="2"/>
  <c r="AH367" i="2" s="1"/>
  <c r="AQ371" i="2"/>
  <c r="AY371" i="2"/>
  <c r="AN375" i="2"/>
  <c r="AU375" i="2" s="1"/>
  <c r="AT375" i="2"/>
  <c r="AS375" i="2"/>
  <c r="BC374" i="2"/>
  <c r="BS374" i="2" s="1"/>
  <c r="AV377" i="2"/>
  <c r="AV376" i="2"/>
  <c r="AR376" i="2"/>
  <c r="AN376" i="2"/>
  <c r="AZ376" i="2" s="1"/>
  <c r="AT376" i="2"/>
  <c r="AP376" i="2"/>
  <c r="AW376" i="2"/>
  <c r="BC375" i="2"/>
  <c r="BS375" i="2" s="1"/>
  <c r="AU376" i="2"/>
  <c r="AY376" i="2"/>
  <c r="AQ376" i="2"/>
  <c r="AN377" i="2"/>
  <c r="BC378" i="2"/>
  <c r="BS378" i="2" s="1"/>
  <c r="AY377" i="2"/>
  <c r="AU377" i="2"/>
  <c r="AQ377" i="2"/>
  <c r="AW377" i="2"/>
  <c r="AS377" i="2"/>
  <c r="AO377" i="2"/>
  <c r="BC376" i="2"/>
  <c r="BS376" i="2" s="1"/>
  <c r="X377" i="2"/>
  <c r="AH377" i="2" s="1"/>
  <c r="AP377" i="2"/>
  <c r="AX377" i="2"/>
  <c r="AY380" i="2"/>
  <c r="AQ380" i="2"/>
  <c r="AX380" i="2"/>
  <c r="AS380" i="2"/>
  <c r="AN380" i="2"/>
  <c r="AU380" i="2" s="1"/>
  <c r="AW380" i="2"/>
  <c r="AR380" i="2"/>
  <c r="AV380" i="2"/>
  <c r="AP380" i="2"/>
  <c r="AZ380" i="2"/>
  <c r="AT380" i="2"/>
  <c r="AO380" i="2"/>
  <c r="BC379" i="2"/>
  <c r="BS379" i="2" s="1"/>
  <c r="AX381" i="2"/>
  <c r="AN382" i="2"/>
  <c r="AV381" i="2"/>
  <c r="AU381" i="2"/>
  <c r="AO381" i="2"/>
  <c r="BC380" i="2"/>
  <c r="BS380" i="2" s="1"/>
  <c r="AY381" i="2"/>
  <c r="AS381" i="2"/>
  <c r="AN381" i="2"/>
  <c r="AT381" i="2" s="1"/>
  <c r="AR381" i="2"/>
  <c r="AS383" i="2"/>
  <c r="BC385" i="2"/>
  <c r="BS385" i="2" s="1"/>
  <c r="AW382" i="2"/>
  <c r="AS382" i="2"/>
  <c r="BC381" i="2"/>
  <c r="BS381" i="2" s="1"/>
  <c r="BC382" i="2"/>
  <c r="BS382" i="2" s="1"/>
  <c r="BC383" i="2"/>
  <c r="BS383" i="2" s="1"/>
  <c r="AZ383" i="2"/>
  <c r="AN383" i="2"/>
  <c r="AV383" i="2" s="1"/>
  <c r="AY383" i="2"/>
  <c r="AX383" i="2"/>
  <c r="AT383" i="2"/>
  <c r="AN384" i="2"/>
  <c r="AN387" i="2"/>
  <c r="AZ387" i="2" s="1"/>
  <c r="BC386" i="2"/>
  <c r="BS386" i="2" s="1"/>
  <c r="AQ387" i="2"/>
  <c r="AW387" i="2"/>
  <c r="X384" i="2"/>
  <c r="AH384" i="2" s="1"/>
  <c r="AN386" i="2" s="1"/>
  <c r="AX351" i="3" l="1"/>
  <c r="AS351" i="3"/>
  <c r="AR351" i="3"/>
  <c r="AQ351" i="3"/>
  <c r="AW351" i="3"/>
  <c r="AU351" i="3"/>
  <c r="AT351" i="3"/>
  <c r="AO351" i="3"/>
  <c r="AP351" i="3"/>
  <c r="AZ351" i="3"/>
  <c r="AY351" i="3"/>
  <c r="AV351" i="3"/>
  <c r="AU47" i="3"/>
  <c r="AY47" i="3"/>
  <c r="AW47" i="3"/>
  <c r="AV47" i="3"/>
  <c r="AZ47" i="3"/>
  <c r="AX47" i="3"/>
  <c r="AS47" i="3"/>
  <c r="AR47" i="3"/>
  <c r="AQ47" i="3"/>
  <c r="AT47" i="3"/>
  <c r="AO47" i="3"/>
  <c r="AP47" i="3"/>
  <c r="AV13" i="3"/>
  <c r="AO13" i="3"/>
  <c r="AS13" i="3"/>
  <c r="AP13" i="3"/>
  <c r="AW13" i="3"/>
  <c r="AT13" i="3"/>
  <c r="AR13" i="3"/>
  <c r="AY13" i="3"/>
  <c r="AU13" i="3"/>
  <c r="AX13" i="3"/>
  <c r="AZ13" i="3"/>
  <c r="AQ13" i="3"/>
  <c r="AV346" i="3"/>
  <c r="AZ346" i="3"/>
  <c r="AQ346" i="3"/>
  <c r="AP346" i="3"/>
  <c r="AR346" i="3"/>
  <c r="AT346" i="3"/>
  <c r="AW346" i="3"/>
  <c r="AU346" i="3"/>
  <c r="AY346" i="3"/>
  <c r="AX346" i="3"/>
  <c r="AS346" i="3"/>
  <c r="AO346" i="3"/>
  <c r="AV348" i="3"/>
  <c r="AZ348" i="3"/>
  <c r="AQ348" i="3"/>
  <c r="AP348" i="3"/>
  <c r="AR348" i="3"/>
  <c r="AU348" i="3"/>
  <c r="AW348" i="3"/>
  <c r="AO348" i="3"/>
  <c r="AY348" i="3"/>
  <c r="AX348" i="3"/>
  <c r="AS348" i="3"/>
  <c r="AT348" i="3"/>
  <c r="AY22" i="3"/>
  <c r="AZ22" i="3"/>
  <c r="AV22" i="3"/>
  <c r="AU22" i="3"/>
  <c r="AX22" i="3"/>
  <c r="AW22" i="3"/>
  <c r="AP22" i="3"/>
  <c r="AQ22" i="3"/>
  <c r="AT22" i="3"/>
  <c r="AS22" i="3"/>
  <c r="AR22" i="3"/>
  <c r="AO22" i="3"/>
  <c r="AT8" i="3"/>
  <c r="AO8" i="3"/>
  <c r="AV8" i="3"/>
  <c r="AX8" i="3"/>
  <c r="AQ8" i="3"/>
  <c r="AP8" i="3"/>
  <c r="AY8" i="3"/>
  <c r="AR8" i="3"/>
  <c r="AS8" i="3"/>
  <c r="AW8" i="3"/>
  <c r="AU8" i="3"/>
  <c r="AZ8" i="3"/>
  <c r="AW383" i="3"/>
  <c r="AO383" i="3"/>
  <c r="AT363" i="3"/>
  <c r="AZ336" i="3"/>
  <c r="AU336" i="3"/>
  <c r="AO336" i="3"/>
  <c r="AV336" i="3"/>
  <c r="AQ336" i="3"/>
  <c r="AR336" i="3"/>
  <c r="AS332" i="3"/>
  <c r="AS320" i="3"/>
  <c r="AW320" i="3"/>
  <c r="AO328" i="3"/>
  <c r="AO321" i="3"/>
  <c r="AT301" i="3"/>
  <c r="AQ313" i="3"/>
  <c r="AU313" i="3"/>
  <c r="AO313" i="3"/>
  <c r="AT297" i="3"/>
  <c r="AO289" i="3"/>
  <c r="AT331" i="3"/>
  <c r="AO288" i="3"/>
  <c r="AO261" i="3"/>
  <c r="BC231" i="3"/>
  <c r="AN231" i="3"/>
  <c r="AY231" i="3" s="1"/>
  <c r="AV253" i="3"/>
  <c r="AN253" i="3"/>
  <c r="AR253" i="3" s="1"/>
  <c r="AT253" i="3"/>
  <c r="AX253" i="3"/>
  <c r="BC253" i="3"/>
  <c r="AQ253" i="3"/>
  <c r="AP253" i="3"/>
  <c r="AN225" i="3"/>
  <c r="AY225" i="3" s="1"/>
  <c r="BC225" i="3"/>
  <c r="AT225" i="3"/>
  <c r="AZ225" i="3"/>
  <c r="AN236" i="3"/>
  <c r="AS236" i="3" s="1"/>
  <c r="AP236" i="3"/>
  <c r="BC236" i="3"/>
  <c r="AO330" i="3"/>
  <c r="AT195" i="3"/>
  <c r="AS192" i="3"/>
  <c r="AP163" i="3"/>
  <c r="AP155" i="3"/>
  <c r="BC137" i="3"/>
  <c r="AN137" i="3"/>
  <c r="AU137" i="3" s="1"/>
  <c r="BC113" i="3"/>
  <c r="AN113" i="3"/>
  <c r="AW113" i="3" s="1"/>
  <c r="AN98" i="3"/>
  <c r="AS98" i="3" s="1"/>
  <c r="BC98" i="3"/>
  <c r="AN29" i="3"/>
  <c r="AY29" i="3" s="1"/>
  <c r="BC29" i="3"/>
  <c r="AZ29" i="3"/>
  <c r="AT76" i="3"/>
  <c r="AN41" i="3"/>
  <c r="AS41" i="3" s="1"/>
  <c r="AP41" i="3"/>
  <c r="BC41" i="3"/>
  <c r="AN26" i="3"/>
  <c r="AZ26" i="3" s="1"/>
  <c r="BC26" i="3"/>
  <c r="AP26" i="3"/>
  <c r="AY26" i="3"/>
  <c r="AO26" i="3"/>
  <c r="AU26" i="3"/>
  <c r="AS26" i="3"/>
  <c r="J19" i="3"/>
  <c r="AD25" i="3" s="1"/>
  <c r="N12" i="3"/>
  <c r="AN97" i="3"/>
  <c r="AW97" i="3" s="1"/>
  <c r="BC97" i="3"/>
  <c r="AR97" i="3"/>
  <c r="AT74" i="3"/>
  <c r="BC16" i="3"/>
  <c r="AN16" i="3"/>
  <c r="AV16" i="3" s="1"/>
  <c r="AN17" i="3"/>
  <c r="AQ14" i="3"/>
  <c r="AT23" i="3"/>
  <c r="AY10" i="3"/>
  <c r="AQ386" i="3"/>
  <c r="BV6" i="3" s="1"/>
  <c r="BS6" i="3"/>
  <c r="AO386" i="3"/>
  <c r="BT6" i="3" s="1"/>
  <c r="AT386" i="3"/>
  <c r="BY6" i="3" s="1"/>
  <c r="AQ382" i="3"/>
  <c r="AZ382" i="3"/>
  <c r="AP382" i="3"/>
  <c r="AS379" i="3"/>
  <c r="AZ379" i="3"/>
  <c r="AX377" i="3"/>
  <c r="AV377" i="3"/>
  <c r="AT385" i="3"/>
  <c r="BY5" i="3" s="1"/>
  <c r="AU385" i="3"/>
  <c r="BZ5" i="3" s="1"/>
  <c r="AV385" i="3"/>
  <c r="CA5" i="3" s="1"/>
  <c r="AP383" i="3"/>
  <c r="AQ383" i="3"/>
  <c r="AR383" i="3"/>
  <c r="AW380" i="3"/>
  <c r="AO380" i="3"/>
  <c r="AU380" i="3"/>
  <c r="AY380" i="3"/>
  <c r="AQ380" i="3"/>
  <c r="AP380" i="3"/>
  <c r="AV378" i="3"/>
  <c r="AX378" i="3"/>
  <c r="AY376" i="3"/>
  <c r="AW376" i="3"/>
  <c r="AZ376" i="3"/>
  <c r="AV371" i="3"/>
  <c r="AW371" i="3"/>
  <c r="AX368" i="3"/>
  <c r="AV368" i="3"/>
  <c r="AP366" i="3"/>
  <c r="AV366" i="3"/>
  <c r="AU384" i="3"/>
  <c r="BZ4" i="3" s="1"/>
  <c r="AV384" i="3"/>
  <c r="CA4" i="3" s="1"/>
  <c r="AW384" i="3"/>
  <c r="CB4" i="3" s="1"/>
  <c r="AV375" i="3"/>
  <c r="AW375" i="3"/>
  <c r="AX372" i="3"/>
  <c r="AY372" i="3"/>
  <c r="AZ372" i="3"/>
  <c r="AY368" i="3"/>
  <c r="AT364" i="3"/>
  <c r="AU364" i="3"/>
  <c r="AV364" i="3"/>
  <c r="AT362" i="3"/>
  <c r="AU362" i="3"/>
  <c r="AV362" i="3"/>
  <c r="AT360" i="3"/>
  <c r="AU360" i="3"/>
  <c r="AV360" i="3"/>
  <c r="AT358" i="3"/>
  <c r="AU358" i="3"/>
  <c r="AV358" i="3"/>
  <c r="AT356" i="3"/>
  <c r="AU356" i="3"/>
  <c r="AV356" i="3"/>
  <c r="AT354" i="3"/>
  <c r="AU354" i="3"/>
  <c r="AV354" i="3"/>
  <c r="AT352" i="3"/>
  <c r="AU352" i="3"/>
  <c r="AV352" i="3"/>
  <c r="AU369" i="3"/>
  <c r="AZ369" i="3"/>
  <c r="AP369" i="3"/>
  <c r="AO374" i="3"/>
  <c r="AR373" i="3"/>
  <c r="AS373" i="3"/>
  <c r="AX373" i="3"/>
  <c r="AW367" i="3"/>
  <c r="AR367" i="3"/>
  <c r="AT367" i="3"/>
  <c r="AO365" i="3"/>
  <c r="AU365" i="3"/>
  <c r="AS365" i="3"/>
  <c r="AV365" i="3"/>
  <c r="AU357" i="3"/>
  <c r="AV357" i="3"/>
  <c r="AW357" i="3"/>
  <c r="AR338" i="3"/>
  <c r="AP338" i="3"/>
  <c r="AQ363" i="3"/>
  <c r="AR363" i="3"/>
  <c r="AS363" i="3"/>
  <c r="AX363" i="3"/>
  <c r="AU355" i="3"/>
  <c r="AV355" i="3"/>
  <c r="AW355" i="3"/>
  <c r="AQ338" i="3"/>
  <c r="AP336" i="3"/>
  <c r="AY334" i="3"/>
  <c r="AT334" i="3"/>
  <c r="AQ361" i="3"/>
  <c r="AR361" i="3"/>
  <c r="AS361" i="3"/>
  <c r="AX361" i="3"/>
  <c r="AU353" i="3"/>
  <c r="AV353" i="3"/>
  <c r="AW353" i="3"/>
  <c r="AR334" i="3"/>
  <c r="AP332" i="3"/>
  <c r="AQ332" i="3"/>
  <c r="AR332" i="3"/>
  <c r="AP330" i="3"/>
  <c r="AQ330" i="3"/>
  <c r="AR330" i="3"/>
  <c r="AP328" i="3"/>
  <c r="AQ328" i="3"/>
  <c r="AR328" i="3"/>
  <c r="AP326" i="3"/>
  <c r="AQ326" i="3"/>
  <c r="AR326" i="3"/>
  <c r="AP324" i="3"/>
  <c r="AQ324" i="3"/>
  <c r="AR324" i="3"/>
  <c r="AP322" i="3"/>
  <c r="AQ322" i="3"/>
  <c r="AR322" i="3"/>
  <c r="AU359" i="3"/>
  <c r="AV359" i="3"/>
  <c r="AW359" i="3"/>
  <c r="AO339" i="3"/>
  <c r="AQ339" i="3"/>
  <c r="AR339" i="3"/>
  <c r="AP337" i="3"/>
  <c r="AS337" i="3"/>
  <c r="AR337" i="3"/>
  <c r="AO320" i="3"/>
  <c r="AP320" i="3"/>
  <c r="AQ320" i="3"/>
  <c r="AR320" i="3"/>
  <c r="AT335" i="3"/>
  <c r="AO329" i="3"/>
  <c r="AT329" i="3"/>
  <c r="AQ321" i="3"/>
  <c r="AR321" i="3"/>
  <c r="AS321" i="3"/>
  <c r="AX321" i="3"/>
  <c r="AO319" i="3"/>
  <c r="AP318" i="3"/>
  <c r="AU318" i="3"/>
  <c r="AV318" i="3"/>
  <c r="AO317" i="3"/>
  <c r="AT317" i="3"/>
  <c r="AX310" i="3"/>
  <c r="AY310" i="3"/>
  <c r="AZ310" i="3"/>
  <c r="AV309" i="3"/>
  <c r="AW309" i="3"/>
  <c r="AT302" i="3"/>
  <c r="AU302" i="3"/>
  <c r="AV302" i="3"/>
  <c r="AR301" i="3"/>
  <c r="AS301" i="3"/>
  <c r="AX301" i="3"/>
  <c r="AU335" i="3"/>
  <c r="AS335" i="3"/>
  <c r="AV335" i="3"/>
  <c r="AU327" i="3"/>
  <c r="AV327" i="3"/>
  <c r="AW327" i="3"/>
  <c r="AP316" i="3"/>
  <c r="AQ316" i="3"/>
  <c r="AR316" i="3"/>
  <c r="AO315" i="3"/>
  <c r="AT315" i="3"/>
  <c r="AY307" i="3"/>
  <c r="AZ307" i="3"/>
  <c r="AP307" i="3"/>
  <c r="AX300" i="3"/>
  <c r="AY300" i="3"/>
  <c r="AZ300" i="3"/>
  <c r="AV299" i="3"/>
  <c r="AW299" i="3"/>
  <c r="AY333" i="3"/>
  <c r="AO333" i="3"/>
  <c r="AP333" i="3"/>
  <c r="AO332" i="3"/>
  <c r="AO325" i="3"/>
  <c r="AT325" i="3"/>
  <c r="AQ317" i="3"/>
  <c r="AT314" i="3"/>
  <c r="AU314" i="3"/>
  <c r="AV314" i="3"/>
  <c r="AR313" i="3"/>
  <c r="AS313" i="3"/>
  <c r="AX313" i="3"/>
  <c r="AW306" i="3"/>
  <c r="AO306" i="3"/>
  <c r="AY305" i="3"/>
  <c r="AZ305" i="3"/>
  <c r="AQ301" i="3"/>
  <c r="AT298" i="3"/>
  <c r="AU298" i="3"/>
  <c r="AV298" i="3"/>
  <c r="AR297" i="3"/>
  <c r="AS297" i="3"/>
  <c r="AV295" i="3"/>
  <c r="AW295" i="3"/>
  <c r="AZ293" i="3"/>
  <c r="AU291" i="3"/>
  <c r="AQ291" i="3"/>
  <c r="AY291" i="3"/>
  <c r="AO291" i="3"/>
  <c r="AT291" i="3"/>
  <c r="AR289" i="3"/>
  <c r="AS289" i="3"/>
  <c r="AV287" i="3"/>
  <c r="AW287" i="3"/>
  <c r="AQ331" i="3"/>
  <c r="AR331" i="3"/>
  <c r="AS331" i="3"/>
  <c r="AX331" i="3"/>
  <c r="AQ303" i="3"/>
  <c r="AV303" i="3"/>
  <c r="AW303" i="3"/>
  <c r="AU283" i="3"/>
  <c r="AR283" i="3"/>
  <c r="AS283" i="3"/>
  <c r="AO273" i="3"/>
  <c r="AT273" i="3"/>
  <c r="AO270" i="3"/>
  <c r="AW270" i="3"/>
  <c r="AV265" i="3"/>
  <c r="AW265" i="3"/>
  <c r="AT262" i="3"/>
  <c r="AU262" i="3"/>
  <c r="AV262" i="3"/>
  <c r="AU317" i="3"/>
  <c r="AO311" i="3"/>
  <c r="AT311" i="3"/>
  <c r="AU307" i="3"/>
  <c r="AP296" i="3"/>
  <c r="AQ296" i="3"/>
  <c r="AR296" i="3"/>
  <c r="AX292" i="3"/>
  <c r="AY292" i="3"/>
  <c r="AT290" i="3"/>
  <c r="AU290" i="3"/>
  <c r="AV290" i="3"/>
  <c r="AP288" i="3"/>
  <c r="AQ288" i="3"/>
  <c r="AR288" i="3"/>
  <c r="AZ281" i="3"/>
  <c r="AP281" i="3"/>
  <c r="AO279" i="3"/>
  <c r="AT279" i="3"/>
  <c r="AR277" i="3"/>
  <c r="AS277" i="3"/>
  <c r="AX277" i="3"/>
  <c r="AV275" i="3"/>
  <c r="AW275" i="3"/>
  <c r="AV271" i="3"/>
  <c r="AW271" i="3"/>
  <c r="AX268" i="3"/>
  <c r="AY268" i="3"/>
  <c r="AZ268" i="3"/>
  <c r="AV263" i="3"/>
  <c r="AW263" i="3"/>
  <c r="AX260" i="3"/>
  <c r="AY260" i="3"/>
  <c r="AV257" i="3"/>
  <c r="AX257" i="3"/>
  <c r="AO322" i="3"/>
  <c r="AT304" i="3"/>
  <c r="AU304" i="3"/>
  <c r="AV304" i="3"/>
  <c r="AR282" i="3"/>
  <c r="AT282" i="3"/>
  <c r="AU282" i="3"/>
  <c r="AT280" i="3"/>
  <c r="AU280" i="3"/>
  <c r="AV280" i="3"/>
  <c r="AT278" i="3"/>
  <c r="AU278" i="3"/>
  <c r="AV278" i="3"/>
  <c r="AT276" i="3"/>
  <c r="AU276" i="3"/>
  <c r="AV276" i="3"/>
  <c r="AT274" i="3"/>
  <c r="AU274" i="3"/>
  <c r="AV274" i="3"/>
  <c r="AR269" i="3"/>
  <c r="AS269" i="3"/>
  <c r="AX269" i="3"/>
  <c r="AT266" i="3"/>
  <c r="AU266" i="3"/>
  <c r="AV266" i="3"/>
  <c r="AR261" i="3"/>
  <c r="AS261" i="3"/>
  <c r="AT258" i="3"/>
  <c r="AU258" i="3"/>
  <c r="AV258" i="3"/>
  <c r="AV252" i="3"/>
  <c r="AQ252" i="3"/>
  <c r="AZ252" i="3"/>
  <c r="AU252" i="3"/>
  <c r="AO252" i="3"/>
  <c r="AR252" i="3"/>
  <c r="AW252" i="3"/>
  <c r="BC245" i="3"/>
  <c r="AN245" i="3"/>
  <c r="AQ245" i="3" s="1"/>
  <c r="BC237" i="3"/>
  <c r="AN237" i="3"/>
  <c r="AY237" i="3" s="1"/>
  <c r="BC229" i="3"/>
  <c r="AN229" i="3"/>
  <c r="AQ229" i="3" s="1"/>
  <c r="AQ285" i="3"/>
  <c r="AV285" i="3"/>
  <c r="AW285" i="3"/>
  <c r="AQ259" i="3"/>
  <c r="AQ256" i="3"/>
  <c r="AX256" i="3"/>
  <c r="AV256" i="3"/>
  <c r="AN230" i="3"/>
  <c r="AO230" i="3" s="1"/>
  <c r="BC230" i="3"/>
  <c r="AO267" i="3"/>
  <c r="AT267" i="3"/>
  <c r="AU259" i="3"/>
  <c r="AV259" i="3"/>
  <c r="AW259" i="3"/>
  <c r="AN244" i="3"/>
  <c r="AO244" i="3" s="1"/>
  <c r="AP244" i="3"/>
  <c r="BC244" i="3"/>
  <c r="AY311" i="3"/>
  <c r="AN242" i="3"/>
  <c r="AZ242" i="3" s="1"/>
  <c r="AT242" i="3"/>
  <c r="BC242" i="3"/>
  <c r="BC224" i="3"/>
  <c r="AZ224" i="3"/>
  <c r="AV224" i="3"/>
  <c r="AN224" i="3"/>
  <c r="AS224" i="3" s="1"/>
  <c r="AV219" i="3"/>
  <c r="AW219" i="3"/>
  <c r="AT216" i="3"/>
  <c r="AU216" i="3"/>
  <c r="AV216" i="3"/>
  <c r="AU209" i="3"/>
  <c r="AO203" i="3"/>
  <c r="AT203" i="3"/>
  <c r="AO200" i="3"/>
  <c r="AW200" i="3"/>
  <c r="AR195" i="3"/>
  <c r="AS195" i="3"/>
  <c r="AX195" i="3"/>
  <c r="AP192" i="3"/>
  <c r="AQ192" i="3"/>
  <c r="AR192" i="3"/>
  <c r="AV187" i="3"/>
  <c r="AW187" i="3"/>
  <c r="AT184" i="3"/>
  <c r="AU184" i="3"/>
  <c r="AV184" i="3"/>
  <c r="AU177" i="3"/>
  <c r="AO171" i="3"/>
  <c r="AT171" i="3"/>
  <c r="AO168" i="3"/>
  <c r="AW168" i="3"/>
  <c r="AY165" i="3"/>
  <c r="AQ165" i="3"/>
  <c r="AU165" i="3"/>
  <c r="AP165" i="3"/>
  <c r="AR163" i="3"/>
  <c r="AT163" i="3"/>
  <c r="AV161" i="3"/>
  <c r="AX161" i="3"/>
  <c r="AY157" i="3"/>
  <c r="AQ157" i="3"/>
  <c r="AU157" i="3"/>
  <c r="AP157" i="3"/>
  <c r="AR155" i="3"/>
  <c r="AT155" i="3"/>
  <c r="AY153" i="3"/>
  <c r="AQ153" i="3"/>
  <c r="AU153" i="3"/>
  <c r="AP153" i="3"/>
  <c r="AN240" i="3"/>
  <c r="AZ240" i="3" s="1"/>
  <c r="AU240" i="3"/>
  <c r="AQ240" i="3"/>
  <c r="AX240" i="3"/>
  <c r="AP240" i="3"/>
  <c r="BC240" i="3"/>
  <c r="AV217" i="3"/>
  <c r="AW217" i="3"/>
  <c r="AV209" i="3"/>
  <c r="AW209" i="3"/>
  <c r="AV201" i="3"/>
  <c r="AW201" i="3"/>
  <c r="AV193" i="3"/>
  <c r="AW193" i="3"/>
  <c r="AV185" i="3"/>
  <c r="AW185" i="3"/>
  <c r="AV177" i="3"/>
  <c r="AW177" i="3"/>
  <c r="AV169" i="3"/>
  <c r="AW169" i="3"/>
  <c r="AW220" i="3"/>
  <c r="AO220" i="3"/>
  <c r="AW212" i="3"/>
  <c r="AO212" i="3"/>
  <c r="AW204" i="3"/>
  <c r="AO204" i="3"/>
  <c r="AW196" i="3"/>
  <c r="AO196" i="3"/>
  <c r="AW188" i="3"/>
  <c r="AO188" i="3"/>
  <c r="AW180" i="3"/>
  <c r="AO180" i="3"/>
  <c r="AW172" i="3"/>
  <c r="AO172" i="3"/>
  <c r="AS166" i="3"/>
  <c r="AV166" i="3"/>
  <c r="AU164" i="3"/>
  <c r="AQ164" i="3"/>
  <c r="AY164" i="3"/>
  <c r="AO163" i="3"/>
  <c r="AX162" i="3"/>
  <c r="AV162" i="3"/>
  <c r="AU160" i="3"/>
  <c r="AQ160" i="3"/>
  <c r="AY160" i="3"/>
  <c r="AX158" i="3"/>
  <c r="AV158" i="3"/>
  <c r="AU156" i="3"/>
  <c r="AQ156" i="3"/>
  <c r="AY156" i="3"/>
  <c r="AO155" i="3"/>
  <c r="AX154" i="3"/>
  <c r="AV154" i="3"/>
  <c r="AW152" i="3"/>
  <c r="AO152" i="3"/>
  <c r="AU152" i="3"/>
  <c r="AQ152" i="3"/>
  <c r="AY152" i="3"/>
  <c r="BC143" i="3"/>
  <c r="AN143" i="3"/>
  <c r="AU143" i="3" s="1"/>
  <c r="AY135" i="3"/>
  <c r="BC135" i="3"/>
  <c r="AX135" i="3"/>
  <c r="AS135" i="3"/>
  <c r="AN135" i="3"/>
  <c r="AW135" i="3" s="1"/>
  <c r="AV135" i="3"/>
  <c r="BC127" i="3"/>
  <c r="AN127" i="3"/>
  <c r="AU127" i="3" s="1"/>
  <c r="BC119" i="3"/>
  <c r="AS119" i="3"/>
  <c r="AN119" i="3"/>
  <c r="AW119" i="3" s="1"/>
  <c r="AV119" i="3"/>
  <c r="BC111" i="3"/>
  <c r="AN111" i="3"/>
  <c r="AU111" i="3" s="1"/>
  <c r="BC103" i="3"/>
  <c r="AN103" i="3"/>
  <c r="AW103" i="3" s="1"/>
  <c r="AW153" i="3"/>
  <c r="AN132" i="3"/>
  <c r="AW132" i="3" s="1"/>
  <c r="BC132" i="3"/>
  <c r="AN146" i="3"/>
  <c r="AO146" i="3" s="1"/>
  <c r="AP146" i="3"/>
  <c r="BC146" i="3"/>
  <c r="AX146" i="3"/>
  <c r="AN114" i="3"/>
  <c r="AW114" i="3" s="1"/>
  <c r="AP114" i="3"/>
  <c r="BC114" i="3"/>
  <c r="AT218" i="3"/>
  <c r="AU218" i="3"/>
  <c r="AV218" i="3"/>
  <c r="AY203" i="3"/>
  <c r="AT202" i="3"/>
  <c r="AU202" i="3"/>
  <c r="AV202" i="3"/>
  <c r="AY187" i="3"/>
  <c r="AT186" i="3"/>
  <c r="AU186" i="3"/>
  <c r="AV186" i="3"/>
  <c r="AY171" i="3"/>
  <c r="AT170" i="3"/>
  <c r="AU170" i="3"/>
  <c r="AV170" i="3"/>
  <c r="AN144" i="3"/>
  <c r="AS144" i="3" s="1"/>
  <c r="AT144" i="3"/>
  <c r="BC144" i="3"/>
  <c r="AN112" i="3"/>
  <c r="AZ112" i="3" s="1"/>
  <c r="AT112" i="3"/>
  <c r="BC112" i="3"/>
  <c r="AX112" i="3"/>
  <c r="AN102" i="3"/>
  <c r="AS102" i="3" s="1"/>
  <c r="AX102" i="3"/>
  <c r="BC102" i="3"/>
  <c r="AO86" i="3"/>
  <c r="AT86" i="3"/>
  <c r="AO78" i="3"/>
  <c r="AT78" i="3"/>
  <c r="AU76" i="3"/>
  <c r="AO70" i="3"/>
  <c r="AT70" i="3"/>
  <c r="AO62" i="3"/>
  <c r="AT62" i="3"/>
  <c r="AO54" i="3"/>
  <c r="AT54" i="3"/>
  <c r="J13" i="3"/>
  <c r="AD19" i="3" s="1"/>
  <c r="N6" i="3"/>
  <c r="AP69" i="3"/>
  <c r="AQ69" i="3"/>
  <c r="AR69" i="3"/>
  <c r="AO56" i="3"/>
  <c r="AT56" i="3"/>
  <c r="AN110" i="3"/>
  <c r="AW110" i="3" s="1"/>
  <c r="AX110" i="3"/>
  <c r="BC110" i="3"/>
  <c r="AV84" i="3"/>
  <c r="AW84" i="3"/>
  <c r="AR76" i="3"/>
  <c r="AS76" i="3"/>
  <c r="AX76" i="3"/>
  <c r="AT73" i="3"/>
  <c r="AU73" i="3"/>
  <c r="AV73" i="3"/>
  <c r="AO68" i="3"/>
  <c r="AT68" i="3"/>
  <c r="AP65" i="3"/>
  <c r="AQ65" i="3"/>
  <c r="AR65" i="3"/>
  <c r="AV24" i="3"/>
  <c r="N7" i="3"/>
  <c r="J14" i="3"/>
  <c r="AD20" i="3" s="1"/>
  <c r="AN45" i="3"/>
  <c r="AZ45" i="3" s="1"/>
  <c r="AX45" i="3"/>
  <c r="BC45" i="3"/>
  <c r="BC150" i="3"/>
  <c r="AN150" i="3"/>
  <c r="AV150" i="3" s="1"/>
  <c r="AO87" i="3"/>
  <c r="AW87" i="3"/>
  <c r="AR74" i="3"/>
  <c r="AS74" i="3"/>
  <c r="AX74" i="3"/>
  <c r="AP71" i="3"/>
  <c r="AQ71" i="3"/>
  <c r="AO66" i="3"/>
  <c r="AT66" i="3"/>
  <c r="AW63" i="3"/>
  <c r="AO63" i="3"/>
  <c r="AV58" i="3"/>
  <c r="AW58" i="3"/>
  <c r="AT55" i="3"/>
  <c r="AU55" i="3"/>
  <c r="AV55" i="3"/>
  <c r="AO50" i="3"/>
  <c r="AT50" i="3"/>
  <c r="AN48" i="3"/>
  <c r="AO48" i="3" s="1"/>
  <c r="AT48" i="3"/>
  <c r="BC48" i="3"/>
  <c r="AN43" i="3"/>
  <c r="AW43" i="3" s="1"/>
  <c r="AT43" i="3"/>
  <c r="BC43" i="3"/>
  <c r="AU323" i="3"/>
  <c r="AV323" i="3"/>
  <c r="AW323" i="3"/>
  <c r="AO221" i="3"/>
  <c r="AT221" i="3"/>
  <c r="AU213" i="3"/>
  <c r="AV213" i="3"/>
  <c r="AW213" i="3"/>
  <c r="AO205" i="3"/>
  <c r="AT205" i="3"/>
  <c r="AU197" i="3"/>
  <c r="AV197" i="3"/>
  <c r="AW197" i="3"/>
  <c r="AO189" i="3"/>
  <c r="AT189" i="3"/>
  <c r="AU181" i="3"/>
  <c r="AV181" i="3"/>
  <c r="AW181" i="3"/>
  <c r="AO173" i="3"/>
  <c r="AT173" i="3"/>
  <c r="AS69" i="3"/>
  <c r="AV64" i="3"/>
  <c r="AW64" i="3"/>
  <c r="AP53" i="3"/>
  <c r="AQ53" i="3"/>
  <c r="AR53" i="3"/>
  <c r="AT24" i="3"/>
  <c r="AV11" i="3"/>
  <c r="AS11" i="3"/>
  <c r="AT11" i="3"/>
  <c r="AY62" i="3"/>
  <c r="AO65" i="3"/>
  <c r="AU14" i="3"/>
  <c r="AR14" i="3"/>
  <c r="AO14" i="3"/>
  <c r="AY88" i="3"/>
  <c r="AN18" i="3"/>
  <c r="AZ9" i="3"/>
  <c r="AS9" i="3"/>
  <c r="AT9" i="3"/>
  <c r="AX7" i="3"/>
  <c r="AU7" i="3"/>
  <c r="AR7" i="3"/>
  <c r="AX89" i="3"/>
  <c r="AT89" i="3"/>
  <c r="AO89" i="3"/>
  <c r="AU89" i="3"/>
  <c r="AO57" i="3"/>
  <c r="AX23" i="3"/>
  <c r="AU23" i="3"/>
  <c r="AR23" i="3"/>
  <c r="J12" i="3"/>
  <c r="AD18" i="3" s="1"/>
  <c r="AR10" i="3"/>
  <c r="AO10" i="3"/>
  <c r="AT10" i="3"/>
  <c r="AS383" i="3"/>
  <c r="BT5" i="3"/>
  <c r="AT373" i="3"/>
  <c r="AP367" i="3"/>
  <c r="AT361" i="3"/>
  <c r="AV343" i="3"/>
  <c r="AN343" i="3"/>
  <c r="AO343" i="3" s="1"/>
  <c r="AU343" i="3"/>
  <c r="AX343" i="3"/>
  <c r="AP343" i="3"/>
  <c r="AN344" i="3"/>
  <c r="BC343" i="3"/>
  <c r="AS326" i="3"/>
  <c r="AX339" i="3"/>
  <c r="AT337" i="3"/>
  <c r="AW336" i="3"/>
  <c r="AN341" i="3"/>
  <c r="AZ341" i="3" s="1"/>
  <c r="AQ341" i="3"/>
  <c r="BC341" i="3"/>
  <c r="AP341" i="3"/>
  <c r="AQ297" i="3"/>
  <c r="AU297" i="3"/>
  <c r="AU289" i="3"/>
  <c r="AQ289" i="3"/>
  <c r="AY289" i="3"/>
  <c r="AO331" i="3"/>
  <c r="AO296" i="3"/>
  <c r="AO277" i="3"/>
  <c r="AO269" i="3"/>
  <c r="AY261" i="3"/>
  <c r="AU261" i="3"/>
  <c r="AT261" i="3"/>
  <c r="BC239" i="3"/>
  <c r="AN239" i="3"/>
  <c r="AW239" i="3" s="1"/>
  <c r="AN234" i="3"/>
  <c r="AS234" i="3" s="1"/>
  <c r="AT234" i="3"/>
  <c r="BC234" i="3"/>
  <c r="AO195" i="3"/>
  <c r="AY155" i="3"/>
  <c r="AQ155" i="3"/>
  <c r="AU155" i="3"/>
  <c r="BC145" i="3"/>
  <c r="AN145" i="3"/>
  <c r="AQ145" i="3" s="1"/>
  <c r="BC121" i="3"/>
  <c r="AN121" i="3"/>
  <c r="AY121" i="3" s="1"/>
  <c r="BC105" i="3"/>
  <c r="AN105" i="3"/>
  <c r="AQ105" i="3" s="1"/>
  <c r="AN138" i="3"/>
  <c r="AW138" i="3" s="1"/>
  <c r="AP138" i="3"/>
  <c r="BC138" i="3"/>
  <c r="AN106" i="3"/>
  <c r="AO106" i="3" s="1"/>
  <c r="AP106" i="3"/>
  <c r="BC106" i="3"/>
  <c r="AN90" i="3"/>
  <c r="AW90" i="3" s="1"/>
  <c r="BC90" i="3"/>
  <c r="AN136" i="3"/>
  <c r="AO136" i="3" s="1"/>
  <c r="AT136" i="3"/>
  <c r="BC136" i="3"/>
  <c r="AN104" i="3"/>
  <c r="AW104" i="3" s="1"/>
  <c r="AT104" i="3"/>
  <c r="BC104" i="3"/>
  <c r="AX104" i="3"/>
  <c r="AN95" i="3"/>
  <c r="AU95" i="3" s="1"/>
  <c r="BC95" i="3"/>
  <c r="AR95" i="3"/>
  <c r="AN126" i="3"/>
  <c r="AS126" i="3" s="1"/>
  <c r="AX126" i="3"/>
  <c r="AT126" i="3"/>
  <c r="BC126" i="3"/>
  <c r="AN37" i="3"/>
  <c r="AO37" i="3" s="1"/>
  <c r="AX37" i="3"/>
  <c r="BC37" i="3"/>
  <c r="J16" i="3"/>
  <c r="AD22" i="3" s="1"/>
  <c r="N9" i="3"/>
  <c r="AN118" i="3"/>
  <c r="AS118" i="3" s="1"/>
  <c r="AX118" i="3"/>
  <c r="BC118" i="3"/>
  <c r="AW71" i="3"/>
  <c r="AO71" i="3"/>
  <c r="BC19" i="3"/>
  <c r="AN19" i="3"/>
  <c r="AX19" i="3" s="1"/>
  <c r="J15" i="3"/>
  <c r="AD21" i="3" s="1"/>
  <c r="N8" i="3"/>
  <c r="AT7" i="3"/>
  <c r="AR386" i="3"/>
  <c r="BW6" i="3" s="1"/>
  <c r="AS386" i="3"/>
  <c r="BX6" i="3" s="1"/>
  <c r="AX386" i="3"/>
  <c r="CC6" i="3" s="1"/>
  <c r="AO382" i="3"/>
  <c r="AT382" i="3"/>
  <c r="AR381" i="3"/>
  <c r="AY379" i="3"/>
  <c r="AQ379" i="3"/>
  <c r="AU379" i="3"/>
  <c r="AS377" i="3"/>
  <c r="AX385" i="3"/>
  <c r="CC5" i="3" s="1"/>
  <c r="AY385" i="3"/>
  <c r="CD5" i="3" s="1"/>
  <c r="AZ385" i="3"/>
  <c r="CE5" i="3" s="1"/>
  <c r="AT383" i="3"/>
  <c r="AU383" i="3"/>
  <c r="AV383" i="3"/>
  <c r="AT380" i="3"/>
  <c r="AS378" i="3"/>
  <c r="AQ371" i="3"/>
  <c r="AZ371" i="3"/>
  <c r="AP371" i="3"/>
  <c r="AW381" i="3"/>
  <c r="AS368" i="3"/>
  <c r="AZ368" i="3"/>
  <c r="AT366" i="3"/>
  <c r="AY384" i="3"/>
  <c r="CD4" i="3" s="1"/>
  <c r="AZ384" i="3"/>
  <c r="CE4" i="3" s="1"/>
  <c r="AQ375" i="3"/>
  <c r="AZ375" i="3"/>
  <c r="AP375" i="3"/>
  <c r="AS367" i="3"/>
  <c r="AX364" i="3"/>
  <c r="AY364" i="3"/>
  <c r="AZ364" i="3"/>
  <c r="AX362" i="3"/>
  <c r="AY362" i="3"/>
  <c r="AZ362" i="3"/>
  <c r="AX360" i="3"/>
  <c r="AY360" i="3"/>
  <c r="AZ360" i="3"/>
  <c r="AX358" i="3"/>
  <c r="AY358" i="3"/>
  <c r="AZ358" i="3"/>
  <c r="AX356" i="3"/>
  <c r="AY356" i="3"/>
  <c r="AZ356" i="3"/>
  <c r="AX354" i="3"/>
  <c r="AY354" i="3"/>
  <c r="AZ354" i="3"/>
  <c r="AX352" i="3"/>
  <c r="AY352" i="3"/>
  <c r="AZ352" i="3"/>
  <c r="AO369" i="3"/>
  <c r="AT369" i="3"/>
  <c r="AU373" i="3"/>
  <c r="AV373" i="3"/>
  <c r="AW373" i="3"/>
  <c r="AQ367" i="3"/>
  <c r="AV367" i="3"/>
  <c r="AX367" i="3"/>
  <c r="AT365" i="3"/>
  <c r="AQ365" i="3"/>
  <c r="AX365" i="3"/>
  <c r="AY357" i="3"/>
  <c r="AZ357" i="3"/>
  <c r="AP357" i="3"/>
  <c r="AO356" i="3"/>
  <c r="AO338" i="3"/>
  <c r="AT338" i="3"/>
  <c r="AU363" i="3"/>
  <c r="AV363" i="3"/>
  <c r="AW363" i="3"/>
  <c r="AY355" i="3"/>
  <c r="AZ355" i="3"/>
  <c r="AP355" i="3"/>
  <c r="AO354" i="3"/>
  <c r="AY336" i="3"/>
  <c r="AT336" i="3"/>
  <c r="AS334" i="3"/>
  <c r="AU361" i="3"/>
  <c r="AV361" i="3"/>
  <c r="AW361" i="3"/>
  <c r="AY353" i="3"/>
  <c r="AZ353" i="3"/>
  <c r="AP353" i="3"/>
  <c r="AO352" i="3"/>
  <c r="AV338" i="3"/>
  <c r="AO358" i="3"/>
  <c r="AY338" i="3"/>
  <c r="AT332" i="3"/>
  <c r="AU332" i="3"/>
  <c r="AV332" i="3"/>
  <c r="AT330" i="3"/>
  <c r="AU330" i="3"/>
  <c r="AV330" i="3"/>
  <c r="AT328" i="3"/>
  <c r="AU328" i="3"/>
  <c r="AV328" i="3"/>
  <c r="AT326" i="3"/>
  <c r="AU326" i="3"/>
  <c r="AV326" i="3"/>
  <c r="AT324" i="3"/>
  <c r="AU324" i="3"/>
  <c r="AV324" i="3"/>
  <c r="AT322" i="3"/>
  <c r="AU322" i="3"/>
  <c r="AV322" i="3"/>
  <c r="AY359" i="3"/>
  <c r="AZ359" i="3"/>
  <c r="AP359" i="3"/>
  <c r="AW339" i="3"/>
  <c r="AU339" i="3"/>
  <c r="AV339" i="3"/>
  <c r="AW337" i="3"/>
  <c r="AU337" i="3"/>
  <c r="AV337" i="3"/>
  <c r="AT320" i="3"/>
  <c r="AU320" i="3"/>
  <c r="AV320" i="3"/>
  <c r="AQ329" i="3"/>
  <c r="AR329" i="3"/>
  <c r="AS329" i="3"/>
  <c r="AU321" i="3"/>
  <c r="AV321" i="3"/>
  <c r="AW321" i="3"/>
  <c r="AY319" i="3"/>
  <c r="AR319" i="3"/>
  <c r="AS319" i="3"/>
  <c r="AT318" i="3"/>
  <c r="AY318" i="3"/>
  <c r="AZ318" i="3"/>
  <c r="AR317" i="3"/>
  <c r="AS317" i="3"/>
  <c r="AY309" i="3"/>
  <c r="AZ309" i="3"/>
  <c r="AP309" i="3"/>
  <c r="AX302" i="3"/>
  <c r="AY302" i="3"/>
  <c r="AZ302" i="3"/>
  <c r="AV301" i="3"/>
  <c r="AW301" i="3"/>
  <c r="AY335" i="3"/>
  <c r="AQ335" i="3"/>
  <c r="AX335" i="3"/>
  <c r="AY327" i="3"/>
  <c r="AZ327" i="3"/>
  <c r="AP327" i="3"/>
  <c r="AO326" i="3"/>
  <c r="AT316" i="3"/>
  <c r="AU316" i="3"/>
  <c r="AV316" i="3"/>
  <c r="AR315" i="3"/>
  <c r="AS315" i="3"/>
  <c r="AX315" i="3"/>
  <c r="AO307" i="3"/>
  <c r="AT307" i="3"/>
  <c r="AY299" i="3"/>
  <c r="AZ299" i="3"/>
  <c r="AP299" i="3"/>
  <c r="AS333" i="3"/>
  <c r="AQ325" i="3"/>
  <c r="AR325" i="3"/>
  <c r="AS325" i="3"/>
  <c r="AX314" i="3"/>
  <c r="AY314" i="3"/>
  <c r="AV313" i="3"/>
  <c r="AW313" i="3"/>
  <c r="AQ306" i="3"/>
  <c r="AR306" i="3"/>
  <c r="AQ305" i="3"/>
  <c r="AU305" i="3"/>
  <c r="AO305" i="3"/>
  <c r="AT305" i="3"/>
  <c r="AX298" i="3"/>
  <c r="AY298" i="3"/>
  <c r="AV297" i="3"/>
  <c r="AW297" i="3"/>
  <c r="AZ295" i="3"/>
  <c r="AU293" i="3"/>
  <c r="AQ293" i="3"/>
  <c r="AY293" i="3"/>
  <c r="AO293" i="3"/>
  <c r="AT293" i="3"/>
  <c r="AR291" i="3"/>
  <c r="AS291" i="3"/>
  <c r="AX291" i="3"/>
  <c r="AV289" i="3"/>
  <c r="AW289" i="3"/>
  <c r="AZ287" i="3"/>
  <c r="AU331" i="3"/>
  <c r="AV331" i="3"/>
  <c r="AW331" i="3"/>
  <c r="AU303" i="3"/>
  <c r="AZ303" i="3"/>
  <c r="AP303" i="3"/>
  <c r="AO302" i="3"/>
  <c r="AY283" i="3"/>
  <c r="AP283" i="3"/>
  <c r="AV283" i="3"/>
  <c r="AW283" i="3"/>
  <c r="AQ277" i="3"/>
  <c r="AR273" i="3"/>
  <c r="AS273" i="3"/>
  <c r="AX273" i="3"/>
  <c r="AP270" i="3"/>
  <c r="AQ270" i="3"/>
  <c r="AR270" i="3"/>
  <c r="AQ265" i="3"/>
  <c r="AZ265" i="3"/>
  <c r="AP265" i="3"/>
  <c r="AU263" i="3"/>
  <c r="AX262" i="3"/>
  <c r="AY262" i="3"/>
  <c r="AO316" i="3"/>
  <c r="AR311" i="3"/>
  <c r="AS311" i="3"/>
  <c r="AT296" i="3"/>
  <c r="AU296" i="3"/>
  <c r="AV296" i="3"/>
  <c r="AW290" i="3"/>
  <c r="AX290" i="3"/>
  <c r="AY290" i="3"/>
  <c r="AT288" i="3"/>
  <c r="AU288" i="3"/>
  <c r="AV288" i="3"/>
  <c r="AP286" i="3"/>
  <c r="AQ286" i="3"/>
  <c r="AO281" i="3"/>
  <c r="AT281" i="3"/>
  <c r="AR279" i="3"/>
  <c r="AS279" i="3"/>
  <c r="AX279" i="3"/>
  <c r="AV277" i="3"/>
  <c r="AW277" i="3"/>
  <c r="AZ275" i="3"/>
  <c r="AP275" i="3"/>
  <c r="AQ271" i="3"/>
  <c r="AZ271" i="3"/>
  <c r="AP271" i="3"/>
  <c r="AQ263" i="3"/>
  <c r="AZ263" i="3"/>
  <c r="AP263" i="3"/>
  <c r="AS257" i="3"/>
  <c r="AZ257" i="3"/>
  <c r="AW304" i="3"/>
  <c r="AX304" i="3"/>
  <c r="AY304" i="3"/>
  <c r="AZ304" i="3"/>
  <c r="AZ282" i="3"/>
  <c r="AX282" i="3"/>
  <c r="AY282" i="3"/>
  <c r="AX280" i="3"/>
  <c r="AY280" i="3"/>
  <c r="AX278" i="3"/>
  <c r="AY278" i="3"/>
  <c r="AX276" i="3"/>
  <c r="AY276" i="3"/>
  <c r="AX274" i="3"/>
  <c r="AY274" i="3"/>
  <c r="AV269" i="3"/>
  <c r="AX266" i="3"/>
  <c r="AY266" i="3"/>
  <c r="AV261" i="3"/>
  <c r="AW261" i="3"/>
  <c r="AX258" i="3"/>
  <c r="AY258" i="3"/>
  <c r="AN254" i="3"/>
  <c r="AP252" i="3"/>
  <c r="BC251" i="3"/>
  <c r="AN251" i="3"/>
  <c r="AQ251" i="3" s="1"/>
  <c r="BC243" i="3"/>
  <c r="AN243" i="3"/>
  <c r="AU243" i="3" s="1"/>
  <c r="BC235" i="3"/>
  <c r="AN235" i="3"/>
  <c r="AW235" i="3" s="1"/>
  <c r="AU285" i="3"/>
  <c r="AZ285" i="3"/>
  <c r="AP285" i="3"/>
  <c r="AY281" i="3"/>
  <c r="AP264" i="3"/>
  <c r="AQ264" i="3"/>
  <c r="AR264" i="3"/>
  <c r="AU256" i="3"/>
  <c r="AY256" i="3"/>
  <c r="AZ256" i="3"/>
  <c r="AN238" i="3"/>
  <c r="AW238" i="3" s="1"/>
  <c r="BC238" i="3"/>
  <c r="BC227" i="3"/>
  <c r="AN227" i="3"/>
  <c r="AQ227" i="3" s="1"/>
  <c r="AN223" i="3"/>
  <c r="AY223" i="3" s="1"/>
  <c r="BC223" i="3"/>
  <c r="AR223" i="3"/>
  <c r="AR267" i="3"/>
  <c r="AS267" i="3"/>
  <c r="AY259" i="3"/>
  <c r="AZ259" i="3"/>
  <c r="AP259" i="3"/>
  <c r="AO300" i="3"/>
  <c r="AN250" i="3"/>
  <c r="AS250" i="3" s="1"/>
  <c r="AT250" i="3"/>
  <c r="BC250" i="3"/>
  <c r="AQ219" i="3"/>
  <c r="AZ219" i="3"/>
  <c r="AU217" i="3"/>
  <c r="AX216" i="3"/>
  <c r="AY216" i="3"/>
  <c r="AO211" i="3"/>
  <c r="AT211" i="3"/>
  <c r="AO208" i="3"/>
  <c r="AW208" i="3"/>
  <c r="AR203" i="3"/>
  <c r="AS203" i="3"/>
  <c r="AX203" i="3"/>
  <c r="AP200" i="3"/>
  <c r="AQ200" i="3"/>
  <c r="AR200" i="3"/>
  <c r="AV195" i="3"/>
  <c r="AW195" i="3"/>
  <c r="AT192" i="3"/>
  <c r="AU192" i="3"/>
  <c r="AQ187" i="3"/>
  <c r="AZ187" i="3"/>
  <c r="AP187" i="3"/>
  <c r="AU185" i="3"/>
  <c r="AX184" i="3"/>
  <c r="AY184" i="3"/>
  <c r="AO179" i="3"/>
  <c r="AT179" i="3"/>
  <c r="AO176" i="3"/>
  <c r="AW176" i="3"/>
  <c r="AR171" i="3"/>
  <c r="AS171" i="3"/>
  <c r="AX171" i="3"/>
  <c r="AP168" i="3"/>
  <c r="AQ168" i="3"/>
  <c r="AR168" i="3"/>
  <c r="AR165" i="3"/>
  <c r="AT165" i="3"/>
  <c r="AV163" i="3"/>
  <c r="AS161" i="3"/>
  <c r="AY159" i="3"/>
  <c r="AQ159" i="3"/>
  <c r="AU159" i="3"/>
  <c r="AP159" i="3"/>
  <c r="AR157" i="3"/>
  <c r="AT157" i="3"/>
  <c r="AV155" i="3"/>
  <c r="AX155" i="3"/>
  <c r="AR153" i="3"/>
  <c r="AT153" i="3"/>
  <c r="AY151" i="3"/>
  <c r="AQ151" i="3"/>
  <c r="AU151" i="3"/>
  <c r="AP151" i="3"/>
  <c r="AQ217" i="3"/>
  <c r="AZ217" i="3"/>
  <c r="AP217" i="3"/>
  <c r="AQ209" i="3"/>
  <c r="AZ209" i="3"/>
  <c r="AP209" i="3"/>
  <c r="AQ201" i="3"/>
  <c r="AZ201" i="3"/>
  <c r="AP201" i="3"/>
  <c r="AQ193" i="3"/>
  <c r="AZ193" i="3"/>
  <c r="AP193" i="3"/>
  <c r="AQ185" i="3"/>
  <c r="AZ185" i="3"/>
  <c r="AP185" i="3"/>
  <c r="AQ177" i="3"/>
  <c r="AZ177" i="3"/>
  <c r="AP177" i="3"/>
  <c r="AQ169" i="3"/>
  <c r="AZ169" i="3"/>
  <c r="AP169" i="3"/>
  <c r="AP220" i="3"/>
  <c r="AQ220" i="3"/>
  <c r="AR220" i="3"/>
  <c r="AO215" i="3"/>
  <c r="AT215" i="3"/>
  <c r="AP212" i="3"/>
  <c r="AQ212" i="3"/>
  <c r="AR212" i="3"/>
  <c r="AO207" i="3"/>
  <c r="AT207" i="3"/>
  <c r="AP204" i="3"/>
  <c r="AQ204" i="3"/>
  <c r="AR204" i="3"/>
  <c r="AO199" i="3"/>
  <c r="AT199" i="3"/>
  <c r="AP196" i="3"/>
  <c r="AQ196" i="3"/>
  <c r="AR196" i="3"/>
  <c r="AO191" i="3"/>
  <c r="AT191" i="3"/>
  <c r="AP188" i="3"/>
  <c r="AQ188" i="3"/>
  <c r="AR188" i="3"/>
  <c r="AO183" i="3"/>
  <c r="AT183" i="3"/>
  <c r="AP180" i="3"/>
  <c r="AQ180" i="3"/>
  <c r="AR180" i="3"/>
  <c r="AO175" i="3"/>
  <c r="AT175" i="3"/>
  <c r="AP172" i="3"/>
  <c r="AQ172" i="3"/>
  <c r="AR172" i="3"/>
  <c r="AO167" i="3"/>
  <c r="AT167" i="3"/>
  <c r="AP166" i="3"/>
  <c r="AY166" i="3"/>
  <c r="AT164" i="3"/>
  <c r="AR164" i="3"/>
  <c r="AS162" i="3"/>
  <c r="AT160" i="3"/>
  <c r="AR160" i="3"/>
  <c r="AS158" i="3"/>
  <c r="AT156" i="3"/>
  <c r="AR156" i="3"/>
  <c r="AS154" i="3"/>
  <c r="AT152" i="3"/>
  <c r="AR152" i="3"/>
  <c r="BC149" i="3"/>
  <c r="AN149" i="3"/>
  <c r="AQ149" i="3" s="1"/>
  <c r="BC141" i="3"/>
  <c r="AN141" i="3"/>
  <c r="AY141" i="3" s="1"/>
  <c r="AV141" i="3"/>
  <c r="BC133" i="3"/>
  <c r="AN133" i="3"/>
  <c r="AQ133" i="3" s="1"/>
  <c r="BC125" i="3"/>
  <c r="AN125" i="3"/>
  <c r="AY125" i="3" s="1"/>
  <c r="AV125" i="3"/>
  <c r="BC117" i="3"/>
  <c r="AN117" i="3"/>
  <c r="AQ117" i="3" s="1"/>
  <c r="BC109" i="3"/>
  <c r="AT109" i="3"/>
  <c r="AO109" i="3"/>
  <c r="AN109" i="3"/>
  <c r="AY109" i="3" s="1"/>
  <c r="AV109" i="3"/>
  <c r="AW165" i="3"/>
  <c r="AN140" i="3"/>
  <c r="AS140" i="3" s="1"/>
  <c r="BC140" i="3"/>
  <c r="AW108" i="3"/>
  <c r="AV108" i="3"/>
  <c r="AN108" i="3"/>
  <c r="AZ108" i="3" s="1"/>
  <c r="AU108" i="3"/>
  <c r="BC108" i="3"/>
  <c r="AT108" i="3"/>
  <c r="AN122" i="3"/>
  <c r="AS122" i="3" s="1"/>
  <c r="AP122" i="3"/>
  <c r="BC122" i="3"/>
  <c r="AW100" i="3"/>
  <c r="AU100" i="3"/>
  <c r="AX100" i="3"/>
  <c r="AN100" i="3"/>
  <c r="AY100" i="3" s="1"/>
  <c r="BC100" i="3"/>
  <c r="AO96" i="3"/>
  <c r="AZ96" i="3"/>
  <c r="AV96" i="3"/>
  <c r="AN96" i="3"/>
  <c r="AS96" i="3" s="1"/>
  <c r="BC96" i="3"/>
  <c r="AW92" i="3"/>
  <c r="AU92" i="3"/>
  <c r="AX92" i="3"/>
  <c r="AN92" i="3"/>
  <c r="AY92" i="3" s="1"/>
  <c r="BC92" i="3"/>
  <c r="AT92" i="3"/>
  <c r="AW218" i="3"/>
  <c r="AX218" i="3"/>
  <c r="AY218" i="3"/>
  <c r="AZ218" i="3"/>
  <c r="AP210" i="3"/>
  <c r="AQ210" i="3"/>
  <c r="AR210" i="3"/>
  <c r="AW202" i="3"/>
  <c r="AX202" i="3"/>
  <c r="AY202" i="3"/>
  <c r="AZ202" i="3"/>
  <c r="AP194" i="3"/>
  <c r="AQ194" i="3"/>
  <c r="AR194" i="3"/>
  <c r="AW186" i="3"/>
  <c r="AX186" i="3"/>
  <c r="AY186" i="3"/>
  <c r="AZ186" i="3"/>
  <c r="AP178" i="3"/>
  <c r="AQ178" i="3"/>
  <c r="AR178" i="3"/>
  <c r="AW170" i="3"/>
  <c r="AX170" i="3"/>
  <c r="AY170" i="3"/>
  <c r="AZ170" i="3"/>
  <c r="AW151" i="3"/>
  <c r="AW120" i="3"/>
  <c r="AV120" i="3"/>
  <c r="AN120" i="3"/>
  <c r="AZ120" i="3" s="1"/>
  <c r="AU120" i="3"/>
  <c r="AT120" i="3"/>
  <c r="BC120" i="3"/>
  <c r="AN134" i="3"/>
  <c r="AS134" i="3" s="1"/>
  <c r="AX134" i="3"/>
  <c r="BC134" i="3"/>
  <c r="AY99" i="3"/>
  <c r="AS99" i="3"/>
  <c r="AN99" i="3"/>
  <c r="AW99" i="3" s="1"/>
  <c r="BC99" i="3"/>
  <c r="AR99" i="3"/>
  <c r="AX99" i="3"/>
  <c r="AQ91" i="3"/>
  <c r="AV91" i="3"/>
  <c r="AN91" i="3"/>
  <c r="AU91" i="3" s="1"/>
  <c r="BC91" i="3"/>
  <c r="AZ91" i="3"/>
  <c r="AR91" i="3"/>
  <c r="AR86" i="3"/>
  <c r="AS86" i="3"/>
  <c r="AX86" i="3"/>
  <c r="AW83" i="3"/>
  <c r="AO83" i="3"/>
  <c r="AR78" i="3"/>
  <c r="AS78" i="3"/>
  <c r="AX78" i="3"/>
  <c r="AW75" i="3"/>
  <c r="AO75" i="3"/>
  <c r="AY74" i="3"/>
  <c r="AR70" i="3"/>
  <c r="AS70" i="3"/>
  <c r="AX70" i="3"/>
  <c r="AO67" i="3"/>
  <c r="AW67" i="3"/>
  <c r="AR62" i="3"/>
  <c r="AS62" i="3"/>
  <c r="AX62" i="3"/>
  <c r="AW59" i="3"/>
  <c r="AO59" i="3"/>
  <c r="AR54" i="3"/>
  <c r="AS54" i="3"/>
  <c r="AX54" i="3"/>
  <c r="AW51" i="3"/>
  <c r="AO51" i="3"/>
  <c r="AS39" i="3"/>
  <c r="AR39" i="3"/>
  <c r="AN39" i="3"/>
  <c r="AW39" i="3" s="1"/>
  <c r="AQ39" i="3"/>
  <c r="BC39" i="3"/>
  <c r="AP39" i="3"/>
  <c r="AY33" i="3"/>
  <c r="AP33" i="3"/>
  <c r="AZ33" i="3"/>
  <c r="AN33" i="3"/>
  <c r="AO33" i="3" s="1"/>
  <c r="BC33" i="3"/>
  <c r="AT33" i="3"/>
  <c r="J17" i="3"/>
  <c r="AD23" i="3" s="1"/>
  <c r="N10" i="3"/>
  <c r="AO88" i="3"/>
  <c r="AP85" i="3"/>
  <c r="AQ85" i="3"/>
  <c r="AR85" i="3"/>
  <c r="AT69" i="3"/>
  <c r="AU69" i="3"/>
  <c r="AV69" i="3"/>
  <c r="AR56" i="3"/>
  <c r="AS56" i="3"/>
  <c r="AX56" i="3"/>
  <c r="AW142" i="3"/>
  <c r="AV142" i="3"/>
  <c r="AN142" i="3"/>
  <c r="AZ142" i="3" s="1"/>
  <c r="AU142" i="3"/>
  <c r="AQ142" i="3"/>
  <c r="AX142" i="3"/>
  <c r="AP142" i="3"/>
  <c r="BC142" i="3"/>
  <c r="AQ84" i="3"/>
  <c r="AZ84" i="3"/>
  <c r="AP84" i="3"/>
  <c r="AV76" i="3"/>
  <c r="AW76" i="3"/>
  <c r="AX73" i="3"/>
  <c r="AY73" i="3"/>
  <c r="AR68" i="3"/>
  <c r="AS68" i="3"/>
  <c r="AX68" i="3"/>
  <c r="AT65" i="3"/>
  <c r="AU65" i="3"/>
  <c r="AV65" i="3"/>
  <c r="AO60" i="3"/>
  <c r="AT60" i="3"/>
  <c r="AP57" i="3"/>
  <c r="AQ57" i="3"/>
  <c r="AO52" i="3"/>
  <c r="AT52" i="3"/>
  <c r="AP49" i="3"/>
  <c r="AQ49" i="3"/>
  <c r="AR49" i="3"/>
  <c r="AR24" i="3"/>
  <c r="AQ56" i="3"/>
  <c r="BC101" i="3"/>
  <c r="AN101" i="3"/>
  <c r="AV101" i="3" s="1"/>
  <c r="AP101" i="3"/>
  <c r="AN93" i="3"/>
  <c r="AU93" i="3" s="1"/>
  <c r="BC93" i="3"/>
  <c r="AZ93" i="3"/>
  <c r="AR93" i="3"/>
  <c r="AP87" i="3"/>
  <c r="AQ87" i="3"/>
  <c r="AR87" i="3"/>
  <c r="AO82" i="3"/>
  <c r="AT82" i="3"/>
  <c r="AW79" i="3"/>
  <c r="AO79" i="3"/>
  <c r="AV74" i="3"/>
  <c r="AW74" i="3"/>
  <c r="AT71" i="3"/>
  <c r="AU71" i="3"/>
  <c r="AV71" i="3"/>
  <c r="AR66" i="3"/>
  <c r="AS66" i="3"/>
  <c r="AX66" i="3"/>
  <c r="AP63" i="3"/>
  <c r="AQ63" i="3"/>
  <c r="AR63" i="3"/>
  <c r="AQ58" i="3"/>
  <c r="AZ58" i="3"/>
  <c r="AP58" i="3"/>
  <c r="AU56" i="3"/>
  <c r="AX55" i="3"/>
  <c r="AY55" i="3"/>
  <c r="AR50" i="3"/>
  <c r="AS50" i="3"/>
  <c r="AX50" i="3"/>
  <c r="AN35" i="3"/>
  <c r="AO35" i="3" s="1"/>
  <c r="AT35" i="3"/>
  <c r="BC35" i="3"/>
  <c r="BC25" i="3"/>
  <c r="AN25" i="3"/>
  <c r="AY25" i="3" s="1"/>
  <c r="AY24" i="3"/>
  <c r="BC6" i="3"/>
  <c r="AN6" i="3"/>
  <c r="AU6" i="3" s="1"/>
  <c r="AY323" i="3"/>
  <c r="AZ323" i="3"/>
  <c r="AP323" i="3"/>
  <c r="AQ221" i="3"/>
  <c r="AR221" i="3"/>
  <c r="AS221" i="3"/>
  <c r="AY213" i="3"/>
  <c r="AZ213" i="3"/>
  <c r="AP213" i="3"/>
  <c r="AQ205" i="3"/>
  <c r="AR205" i="3"/>
  <c r="AS205" i="3"/>
  <c r="AY197" i="3"/>
  <c r="AZ197" i="3"/>
  <c r="AP197" i="3"/>
  <c r="AQ189" i="3"/>
  <c r="AR189" i="3"/>
  <c r="AS189" i="3"/>
  <c r="AY181" i="3"/>
  <c r="AZ181" i="3"/>
  <c r="AP181" i="3"/>
  <c r="AQ173" i="3"/>
  <c r="AR173" i="3"/>
  <c r="AS173" i="3"/>
  <c r="AO80" i="3"/>
  <c r="AP77" i="3"/>
  <c r="AQ77" i="3"/>
  <c r="AO72" i="3"/>
  <c r="AQ64" i="3"/>
  <c r="AZ64" i="3"/>
  <c r="AP64" i="3"/>
  <c r="AP61" i="3"/>
  <c r="AQ61" i="3"/>
  <c r="AT53" i="3"/>
  <c r="AU53" i="3"/>
  <c r="AV53" i="3"/>
  <c r="AX15" i="3"/>
  <c r="AU15" i="3"/>
  <c r="AU11" i="3"/>
  <c r="AZ11" i="3"/>
  <c r="AW11" i="3"/>
  <c r="AX11" i="3"/>
  <c r="J18" i="3"/>
  <c r="AD24" i="3" s="1"/>
  <c r="N11" i="3"/>
  <c r="AY86" i="3"/>
  <c r="AY54" i="3"/>
  <c r="AW24" i="3"/>
  <c r="AP14" i="3"/>
  <c r="AY14" i="3"/>
  <c r="AV14" i="3"/>
  <c r="AS14" i="3"/>
  <c r="AQ9" i="3"/>
  <c r="AW9" i="3"/>
  <c r="AS7" i="3"/>
  <c r="AY7" i="3"/>
  <c r="AV7" i="3"/>
  <c r="AP89" i="3"/>
  <c r="AS89" i="3"/>
  <c r="AY89" i="3"/>
  <c r="AW23" i="3"/>
  <c r="AY23" i="3"/>
  <c r="AV23" i="3"/>
  <c r="AN20" i="3"/>
  <c r="AQ10" i="3"/>
  <c r="AV10" i="3"/>
  <c r="AS10" i="3"/>
  <c r="AX10" i="3"/>
  <c r="AU366" i="3"/>
  <c r="AO366" i="3"/>
  <c r="AY366" i="3"/>
  <c r="AR366" i="3"/>
  <c r="AW366" i="3"/>
  <c r="AQ366" i="3"/>
  <c r="AO373" i="3"/>
  <c r="AO367" i="3"/>
  <c r="AO363" i="3"/>
  <c r="AO361" i="3"/>
  <c r="AS324" i="3"/>
  <c r="AX337" i="3"/>
  <c r="AT321" i="3"/>
  <c r="AO301" i="3"/>
  <c r="AO324" i="3"/>
  <c r="AT313" i="3"/>
  <c r="AO297" i="3"/>
  <c r="AT289" i="3"/>
  <c r="AO283" i="3"/>
  <c r="AT277" i="3"/>
  <c r="AN349" i="3"/>
  <c r="AV349" i="3" s="1"/>
  <c r="BC349" i="3"/>
  <c r="AT349" i="3"/>
  <c r="AX349" i="3"/>
  <c r="AY269" i="3"/>
  <c r="AU269" i="3"/>
  <c r="AT269" i="3"/>
  <c r="BC247" i="3"/>
  <c r="AN247" i="3"/>
  <c r="AU247" i="3" s="1"/>
  <c r="AN232" i="3"/>
  <c r="AZ232" i="3" s="1"/>
  <c r="AX232" i="3"/>
  <c r="BC232" i="3"/>
  <c r="AO192" i="3"/>
  <c r="AW192" i="3"/>
  <c r="AY163" i="3"/>
  <c r="AQ163" i="3"/>
  <c r="AU163" i="3"/>
  <c r="BC129" i="3"/>
  <c r="AN129" i="3"/>
  <c r="AW129" i="3" s="1"/>
  <c r="AN124" i="3"/>
  <c r="AS124" i="3" s="1"/>
  <c r="BC124" i="3"/>
  <c r="AN94" i="3"/>
  <c r="AY94" i="3" s="1"/>
  <c r="BC94" i="3"/>
  <c r="AO76" i="3"/>
  <c r="AS65" i="3"/>
  <c r="AO74" i="3"/>
  <c r="AS71" i="3"/>
  <c r="AT14" i="3"/>
  <c r="AQ7" i="3"/>
  <c r="AQ23" i="3"/>
  <c r="AP10" i="3"/>
  <c r="AY377" i="3"/>
  <c r="AQ377" i="3"/>
  <c r="AU377" i="3"/>
  <c r="AX383" i="3"/>
  <c r="AY383" i="3"/>
  <c r="AZ383" i="3"/>
  <c r="AW378" i="3"/>
  <c r="AO378" i="3"/>
  <c r="AU378" i="3"/>
  <c r="AY378" i="3"/>
  <c r="AQ378" i="3"/>
  <c r="AP378" i="3"/>
  <c r="AO377" i="3"/>
  <c r="AO371" i="3"/>
  <c r="AT371" i="3"/>
  <c r="AW377" i="3"/>
  <c r="AU368" i="3"/>
  <c r="AW368" i="3"/>
  <c r="AO368" i="3"/>
  <c r="AS366" i="3"/>
  <c r="AX366" i="3"/>
  <c r="AQ384" i="3"/>
  <c r="BV4" i="3" s="1"/>
  <c r="BS4" i="3"/>
  <c r="AO384" i="3"/>
  <c r="AT384" i="3"/>
  <c r="BY4" i="3" s="1"/>
  <c r="AO375" i="3"/>
  <c r="AT375" i="3"/>
  <c r="AY371" i="3"/>
  <c r="AN350" i="3"/>
  <c r="AQ373" i="3"/>
  <c r="AY373" i="3"/>
  <c r="AZ373" i="3"/>
  <c r="AU367" i="3"/>
  <c r="AY367" i="3"/>
  <c r="AO364" i="3"/>
  <c r="AO357" i="3"/>
  <c r="AN347" i="3"/>
  <c r="AS347" i="3" s="1"/>
  <c r="AP347" i="3"/>
  <c r="BC347" i="3"/>
  <c r="AY363" i="3"/>
  <c r="AZ363" i="3"/>
  <c r="AO362" i="3"/>
  <c r="AO355" i="3"/>
  <c r="AZ345" i="3"/>
  <c r="AN345" i="3"/>
  <c r="AO345" i="3" s="1"/>
  <c r="AY345" i="3"/>
  <c r="AT345" i="3"/>
  <c r="AP345" i="3"/>
  <c r="BC345" i="3"/>
  <c r="AS336" i="3"/>
  <c r="AX336" i="3"/>
  <c r="AZ334" i="3"/>
  <c r="AU334" i="3"/>
  <c r="AO334" i="3"/>
  <c r="AQ334" i="3"/>
  <c r="AV334" i="3"/>
  <c r="AY361" i="3"/>
  <c r="AZ361" i="3"/>
  <c r="AO360" i="3"/>
  <c r="AO353" i="3"/>
  <c r="AN342" i="3"/>
  <c r="AX332" i="3"/>
  <c r="AY332" i="3"/>
  <c r="AZ332" i="3"/>
  <c r="AX330" i="3"/>
  <c r="AY330" i="3"/>
  <c r="AZ330" i="3"/>
  <c r="AX328" i="3"/>
  <c r="AY328" i="3"/>
  <c r="AZ328" i="3"/>
  <c r="AX326" i="3"/>
  <c r="AY326" i="3"/>
  <c r="AZ326" i="3"/>
  <c r="AX324" i="3"/>
  <c r="AY324" i="3"/>
  <c r="AZ324" i="3"/>
  <c r="AX322" i="3"/>
  <c r="AY322" i="3"/>
  <c r="AZ322" i="3"/>
  <c r="AO359" i="3"/>
  <c r="AT339" i="3"/>
  <c r="AP339" i="3"/>
  <c r="AY339" i="3"/>
  <c r="AZ339" i="3"/>
  <c r="AQ337" i="3"/>
  <c r="AY337" i="3"/>
  <c r="AZ337" i="3"/>
  <c r="AX320" i="3"/>
  <c r="AY320" i="3"/>
  <c r="AZ320" i="3"/>
  <c r="AY321" i="3"/>
  <c r="AZ321" i="3"/>
  <c r="AO309" i="3"/>
  <c r="AT309" i="3"/>
  <c r="AY301" i="3"/>
  <c r="AZ301" i="3"/>
  <c r="AP301" i="3"/>
  <c r="AW334" i="3"/>
  <c r="AO327" i="3"/>
  <c r="AX316" i="3"/>
  <c r="AY316" i="3"/>
  <c r="AO299" i="3"/>
  <c r="AT299" i="3"/>
  <c r="AW314" i="3"/>
  <c r="AO314" i="3"/>
  <c r="AY313" i="3"/>
  <c r="AZ313" i="3"/>
  <c r="AP313" i="3"/>
  <c r="AQ309" i="3"/>
  <c r="AW298" i="3"/>
  <c r="AO298" i="3"/>
  <c r="AY297" i="3"/>
  <c r="AZ297" i="3"/>
  <c r="AP297" i="3"/>
  <c r="AU295" i="3"/>
  <c r="AQ295" i="3"/>
  <c r="AY295" i="3"/>
  <c r="AO295" i="3"/>
  <c r="AT295" i="3"/>
  <c r="AZ289" i="3"/>
  <c r="AP289" i="3"/>
  <c r="AU287" i="3"/>
  <c r="AQ287" i="3"/>
  <c r="AY287" i="3"/>
  <c r="AO287" i="3"/>
  <c r="AT287" i="3"/>
  <c r="AY331" i="3"/>
  <c r="AZ331" i="3"/>
  <c r="AO303" i="3"/>
  <c r="AT303" i="3"/>
  <c r="AU299" i="3"/>
  <c r="AT283" i="3"/>
  <c r="AX283" i="3"/>
  <c r="AZ283" i="3"/>
  <c r="AO265" i="3"/>
  <c r="AT265" i="3"/>
  <c r="AO262" i="3"/>
  <c r="AW262" i="3"/>
  <c r="AW296" i="3"/>
  <c r="AX296" i="3"/>
  <c r="AY296" i="3"/>
  <c r="AW288" i="3"/>
  <c r="AX288" i="3"/>
  <c r="AY288" i="3"/>
  <c r="AZ277" i="3"/>
  <c r="AP277" i="3"/>
  <c r="AO275" i="3"/>
  <c r="AT275" i="3"/>
  <c r="AO271" i="3"/>
  <c r="AT271" i="3"/>
  <c r="AO263" i="3"/>
  <c r="AT263" i="3"/>
  <c r="AW257" i="3"/>
  <c r="AO257" i="3"/>
  <c r="AP257" i="3"/>
  <c r="AO318" i="3"/>
  <c r="AO282" i="3"/>
  <c r="AS282" i="3"/>
  <c r="AW280" i="3"/>
  <c r="AO280" i="3"/>
  <c r="AW278" i="3"/>
  <c r="AO278" i="3"/>
  <c r="AW276" i="3"/>
  <c r="AO276" i="3"/>
  <c r="AW274" i="3"/>
  <c r="AO274" i="3"/>
  <c r="AQ269" i="3"/>
  <c r="AZ269" i="3"/>
  <c r="AP269" i="3"/>
  <c r="AW266" i="3"/>
  <c r="AO266" i="3"/>
  <c r="AQ261" i="3"/>
  <c r="AZ261" i="3"/>
  <c r="AP261" i="3"/>
  <c r="AW258" i="3"/>
  <c r="AO258" i="3"/>
  <c r="AQ257" i="3"/>
  <c r="BC249" i="3"/>
  <c r="AN249" i="3"/>
  <c r="AY249" i="3" s="1"/>
  <c r="BC241" i="3"/>
  <c r="AN241" i="3"/>
  <c r="AQ241" i="3" s="1"/>
  <c r="BC233" i="3"/>
  <c r="AN233" i="3"/>
  <c r="AY233" i="3" s="1"/>
  <c r="AO285" i="3"/>
  <c r="AY277" i="3"/>
  <c r="AY265" i="3"/>
  <c r="AN246" i="3"/>
  <c r="AO246" i="3" s="1"/>
  <c r="BC246" i="3"/>
  <c r="AT246" i="3"/>
  <c r="AO259" i="3"/>
  <c r="AN228" i="3"/>
  <c r="AO228" i="3" s="1"/>
  <c r="AP228" i="3"/>
  <c r="BC228" i="3"/>
  <c r="BC226" i="3"/>
  <c r="AN226" i="3"/>
  <c r="AW226" i="3" s="1"/>
  <c r="AY219" i="3"/>
  <c r="AU219" i="3"/>
  <c r="AO219" i="3"/>
  <c r="AT219" i="3"/>
  <c r="AO216" i="3"/>
  <c r="AW216" i="3"/>
  <c r="AQ195" i="3"/>
  <c r="AZ195" i="3"/>
  <c r="AP195" i="3"/>
  <c r="AX192" i="3"/>
  <c r="AY192" i="3"/>
  <c r="AZ192" i="3"/>
  <c r="AO187" i="3"/>
  <c r="AT187" i="3"/>
  <c r="AO184" i="3"/>
  <c r="AW184" i="3"/>
  <c r="AS163" i="3"/>
  <c r="AZ163" i="3"/>
  <c r="AY161" i="3"/>
  <c r="AQ161" i="3"/>
  <c r="AU161" i="3"/>
  <c r="AP161" i="3"/>
  <c r="AS155" i="3"/>
  <c r="AZ155" i="3"/>
  <c r="BC255" i="3"/>
  <c r="AN255" i="3"/>
  <c r="AX255" i="3" s="1"/>
  <c r="AQ255" i="3"/>
  <c r="AO217" i="3"/>
  <c r="AT217" i="3"/>
  <c r="AO209" i="3"/>
  <c r="AT209" i="3"/>
  <c r="AO201" i="3"/>
  <c r="AT201" i="3"/>
  <c r="AO193" i="3"/>
  <c r="AT193" i="3"/>
  <c r="AO185" i="3"/>
  <c r="AT185" i="3"/>
  <c r="AO177" i="3"/>
  <c r="AT177" i="3"/>
  <c r="AO169" i="3"/>
  <c r="AT169" i="3"/>
  <c r="AN248" i="3"/>
  <c r="AS248" i="3" s="1"/>
  <c r="AX248" i="3"/>
  <c r="BC248" i="3"/>
  <c r="AU166" i="3"/>
  <c r="AQ166" i="3"/>
  <c r="AO165" i="3"/>
  <c r="AU162" i="3"/>
  <c r="AY162" i="3"/>
  <c r="AQ162" i="3"/>
  <c r="AO161" i="3"/>
  <c r="AU158" i="3"/>
  <c r="AY158" i="3"/>
  <c r="AQ158" i="3"/>
  <c r="AO157" i="3"/>
  <c r="AW154" i="3"/>
  <c r="AO154" i="3"/>
  <c r="AU154" i="3"/>
  <c r="AY154" i="3"/>
  <c r="AQ154" i="3"/>
  <c r="AO153" i="3"/>
  <c r="BC147" i="3"/>
  <c r="AN147" i="3"/>
  <c r="AU147" i="3" s="1"/>
  <c r="BC139" i="3"/>
  <c r="AN139" i="3"/>
  <c r="AW139" i="3" s="1"/>
  <c r="BC131" i="3"/>
  <c r="AN131" i="3"/>
  <c r="AU131" i="3" s="1"/>
  <c r="BC123" i="3"/>
  <c r="AN123" i="3"/>
  <c r="AW123" i="3" s="1"/>
  <c r="BC115" i="3"/>
  <c r="AN115" i="3"/>
  <c r="AU115" i="3" s="1"/>
  <c r="BC107" i="3"/>
  <c r="AN107" i="3"/>
  <c r="AW107" i="3" s="1"/>
  <c r="AW161" i="3"/>
  <c r="AN148" i="3"/>
  <c r="AW148" i="3" s="1"/>
  <c r="BC148" i="3"/>
  <c r="AN116" i="3"/>
  <c r="AO116" i="3" s="1"/>
  <c r="AU116" i="3"/>
  <c r="BC116" i="3"/>
  <c r="AT116" i="3"/>
  <c r="AN130" i="3"/>
  <c r="AW130" i="3" s="1"/>
  <c r="AP130" i="3"/>
  <c r="BC130" i="3"/>
  <c r="AY211" i="3"/>
  <c r="AY195" i="3"/>
  <c r="AY179" i="3"/>
  <c r="AW163" i="3"/>
  <c r="AN128" i="3"/>
  <c r="AO128" i="3" s="1"/>
  <c r="AT128" i="3"/>
  <c r="BC128" i="3"/>
  <c r="AX128" i="3"/>
  <c r="BC46" i="3"/>
  <c r="AN46" i="3"/>
  <c r="AY46" i="3" s="1"/>
  <c r="BC44" i="3"/>
  <c r="AN44" i="3"/>
  <c r="AQ44" i="3" s="1"/>
  <c r="AV44" i="3"/>
  <c r="BC42" i="3"/>
  <c r="AN42" i="3"/>
  <c r="AY42" i="3" s="1"/>
  <c r="BC40" i="3"/>
  <c r="AN40" i="3"/>
  <c r="AQ40" i="3" s="1"/>
  <c r="BC38" i="3"/>
  <c r="AN38" i="3"/>
  <c r="AY38" i="3" s="1"/>
  <c r="BC36" i="3"/>
  <c r="AT36" i="3"/>
  <c r="AO36" i="3"/>
  <c r="AN36" i="3"/>
  <c r="AQ36" i="3" s="1"/>
  <c r="AV36" i="3"/>
  <c r="AW65" i="3"/>
  <c r="AN31" i="3"/>
  <c r="AS31" i="3" s="1"/>
  <c r="BC31" i="3"/>
  <c r="AX69" i="3"/>
  <c r="AY69" i="3"/>
  <c r="AZ69" i="3"/>
  <c r="AO84" i="3"/>
  <c r="AT84" i="3"/>
  <c r="AQ76" i="3"/>
  <c r="AZ76" i="3"/>
  <c r="AP76" i="3"/>
  <c r="AX65" i="3"/>
  <c r="AY65" i="3"/>
  <c r="N14" i="3"/>
  <c r="J21" i="3"/>
  <c r="AD27" i="3" s="1"/>
  <c r="AS53" i="3"/>
  <c r="AQ74" i="3"/>
  <c r="AZ74" i="3"/>
  <c r="AP74" i="3"/>
  <c r="AX71" i="3"/>
  <c r="AY71" i="3"/>
  <c r="AZ71" i="3"/>
  <c r="AO58" i="3"/>
  <c r="AT58" i="3"/>
  <c r="AO55" i="3"/>
  <c r="AW55" i="3"/>
  <c r="AW53" i="3"/>
  <c r="BC34" i="3"/>
  <c r="AN34" i="3"/>
  <c r="AU34" i="3" s="1"/>
  <c r="AX34" i="3"/>
  <c r="BC32" i="3"/>
  <c r="AN32" i="3"/>
  <c r="AW32" i="3" s="1"/>
  <c r="AX32" i="3"/>
  <c r="BC30" i="3"/>
  <c r="AN30" i="3"/>
  <c r="AU30" i="3" s="1"/>
  <c r="AX30" i="3"/>
  <c r="BC28" i="3"/>
  <c r="AN28" i="3"/>
  <c r="AW28" i="3" s="1"/>
  <c r="BC21" i="3"/>
  <c r="AN21" i="3"/>
  <c r="AX21" i="3" s="1"/>
  <c r="BC12" i="3"/>
  <c r="AN12" i="3"/>
  <c r="AZ12" i="3" s="1"/>
  <c r="AO323" i="3"/>
  <c r="AO213" i="3"/>
  <c r="AO197" i="3"/>
  <c r="AO181" i="3"/>
  <c r="AO64" i="3"/>
  <c r="AX53" i="3"/>
  <c r="AY53" i="3"/>
  <c r="AY11" i="3"/>
  <c r="N13" i="3"/>
  <c r="J20" i="3"/>
  <c r="AD26" i="3" s="1"/>
  <c r="AN27" i="3"/>
  <c r="AX14" i="3"/>
  <c r="AZ14" i="3"/>
  <c r="AP7" i="3"/>
  <c r="AO7" i="3"/>
  <c r="AW7" i="3"/>
  <c r="AY78" i="3"/>
  <c r="AP23" i="3"/>
  <c r="AO23" i="3"/>
  <c r="AS23" i="3"/>
  <c r="AU10" i="3"/>
  <c r="AZ10" i="3"/>
  <c r="AS203" i="2"/>
  <c r="AV203" i="2"/>
  <c r="AU203" i="2"/>
  <c r="AP203" i="2"/>
  <c r="AO203" i="2"/>
  <c r="AR203" i="2"/>
  <c r="AQ203" i="2"/>
  <c r="AX203" i="2"/>
  <c r="AW203" i="2"/>
  <c r="AZ203" i="2"/>
  <c r="AY203" i="2"/>
  <c r="AT203" i="2"/>
  <c r="AO187" i="2"/>
  <c r="AR187" i="2"/>
  <c r="AQ187" i="2"/>
  <c r="AX187" i="2"/>
  <c r="AW187" i="2"/>
  <c r="AZ187" i="2"/>
  <c r="AY187" i="2"/>
  <c r="AT187" i="2"/>
  <c r="AS187" i="2"/>
  <c r="AV187" i="2"/>
  <c r="AU187" i="2"/>
  <c r="AP187" i="2"/>
  <c r="AW125" i="2"/>
  <c r="AZ125" i="2"/>
  <c r="AY125" i="2"/>
  <c r="AT125" i="2"/>
  <c r="AS125" i="2"/>
  <c r="AV125" i="2"/>
  <c r="AU125" i="2"/>
  <c r="AP125" i="2"/>
  <c r="AO125" i="2"/>
  <c r="AR125" i="2"/>
  <c r="AQ125" i="2"/>
  <c r="AX125" i="2"/>
  <c r="AV91" i="2"/>
  <c r="AU91" i="2"/>
  <c r="AP91" i="2"/>
  <c r="AO91" i="2"/>
  <c r="AR91" i="2"/>
  <c r="AQ91" i="2"/>
  <c r="AX91" i="2"/>
  <c r="AW91" i="2"/>
  <c r="AZ91" i="2"/>
  <c r="AY91" i="2"/>
  <c r="AT91" i="2"/>
  <c r="AS91" i="2"/>
  <c r="AV75" i="2"/>
  <c r="AU75" i="2"/>
  <c r="AP75" i="2"/>
  <c r="AO75" i="2"/>
  <c r="AR75" i="2"/>
  <c r="AQ75" i="2"/>
  <c r="AX75" i="2"/>
  <c r="AW75" i="2"/>
  <c r="AZ75" i="2"/>
  <c r="AY75" i="2"/>
  <c r="AT75" i="2"/>
  <c r="AS75" i="2"/>
  <c r="AV59" i="2"/>
  <c r="AU59" i="2"/>
  <c r="AP59" i="2"/>
  <c r="AO59" i="2"/>
  <c r="AR59" i="2"/>
  <c r="AQ59" i="2"/>
  <c r="AX59" i="2"/>
  <c r="AW59" i="2"/>
  <c r="AZ59" i="2"/>
  <c r="AY59" i="2"/>
  <c r="AT59" i="2"/>
  <c r="AS59" i="2"/>
  <c r="AP386" i="2"/>
  <c r="AO386" i="2"/>
  <c r="AR386" i="2"/>
  <c r="AQ386" i="2"/>
  <c r="AX386" i="2"/>
  <c r="AW386" i="2"/>
  <c r="AZ386" i="2"/>
  <c r="AY386" i="2"/>
  <c r="AT386" i="2"/>
  <c r="AS386" i="2"/>
  <c r="AV386" i="2"/>
  <c r="AU386" i="2"/>
  <c r="AW312" i="2"/>
  <c r="AZ312" i="2"/>
  <c r="AY312" i="2"/>
  <c r="AT312" i="2"/>
  <c r="AS312" i="2"/>
  <c r="AV312" i="2"/>
  <c r="AU312" i="2"/>
  <c r="AP312" i="2"/>
  <c r="AO312" i="2"/>
  <c r="AR312" i="2"/>
  <c r="AQ312" i="2"/>
  <c r="AX312" i="2"/>
  <c r="AW279" i="2"/>
  <c r="AZ279" i="2"/>
  <c r="AY279" i="2"/>
  <c r="AT279" i="2"/>
  <c r="AS279" i="2"/>
  <c r="AV279" i="2"/>
  <c r="AU279" i="2"/>
  <c r="AP279" i="2"/>
  <c r="AO279" i="2"/>
  <c r="AR279" i="2"/>
  <c r="AQ279" i="2"/>
  <c r="AX279" i="2"/>
  <c r="AV103" i="2"/>
  <c r="AU103" i="2"/>
  <c r="AP103" i="2"/>
  <c r="AO103" i="2"/>
  <c r="AR103" i="2"/>
  <c r="AQ103" i="2"/>
  <c r="AX103" i="2"/>
  <c r="AW103" i="2"/>
  <c r="AZ103" i="2"/>
  <c r="AY103" i="2"/>
  <c r="AT103" i="2"/>
  <c r="AS103" i="2"/>
  <c r="AO86" i="2"/>
  <c r="AR86" i="2"/>
  <c r="AQ86" i="2"/>
  <c r="AX86" i="2"/>
  <c r="AW86" i="2"/>
  <c r="AZ86" i="2"/>
  <c r="AY86" i="2"/>
  <c r="AT86" i="2"/>
  <c r="AS86" i="2"/>
  <c r="AV86" i="2"/>
  <c r="AU86" i="2"/>
  <c r="AP86" i="2"/>
  <c r="AW70" i="2"/>
  <c r="AZ70" i="2"/>
  <c r="AY70" i="2"/>
  <c r="AT70" i="2"/>
  <c r="AS70" i="2"/>
  <c r="AV70" i="2"/>
  <c r="AU70" i="2"/>
  <c r="AP70" i="2"/>
  <c r="AO70" i="2"/>
  <c r="AR70" i="2"/>
  <c r="AQ70" i="2"/>
  <c r="AX70" i="2"/>
  <c r="AV9" i="2"/>
  <c r="AY9" i="2"/>
  <c r="AO9" i="2"/>
  <c r="AW9" i="2"/>
  <c r="AR9" i="2"/>
  <c r="AU9" i="2"/>
  <c r="AX9" i="2"/>
  <c r="AS9" i="2"/>
  <c r="AQ9" i="2"/>
  <c r="AT9" i="2"/>
  <c r="AZ9" i="2"/>
  <c r="AP9" i="2"/>
  <c r="AW237" i="2"/>
  <c r="AZ237" i="2"/>
  <c r="AY237" i="2"/>
  <c r="AT237" i="2"/>
  <c r="AS237" i="2"/>
  <c r="AV237" i="2"/>
  <c r="AU237" i="2"/>
  <c r="AP237" i="2"/>
  <c r="AO237" i="2"/>
  <c r="AR237" i="2"/>
  <c r="AQ237" i="2"/>
  <c r="AX237" i="2"/>
  <c r="AZ118" i="2"/>
  <c r="AY118" i="2"/>
  <c r="AT118" i="2"/>
  <c r="AS118" i="2"/>
  <c r="AV118" i="2"/>
  <c r="AU118" i="2"/>
  <c r="AP118" i="2"/>
  <c r="AO118" i="2"/>
  <c r="AR118" i="2"/>
  <c r="AQ118" i="2"/>
  <c r="AX118" i="2"/>
  <c r="AW118" i="2"/>
  <c r="AO349" i="2"/>
  <c r="AR349" i="2"/>
  <c r="AQ349" i="2"/>
  <c r="AX349" i="2"/>
  <c r="AW349" i="2"/>
  <c r="AZ349" i="2"/>
  <c r="AT349" i="2"/>
  <c r="AP349" i="2"/>
  <c r="AS349" i="2"/>
  <c r="AV349" i="2"/>
  <c r="AY349" i="2"/>
  <c r="AU349" i="2"/>
  <c r="AR287" i="2"/>
  <c r="AQ287" i="2"/>
  <c r="AX287" i="2"/>
  <c r="AT287" i="2"/>
  <c r="AP287" i="2"/>
  <c r="AZ287" i="2"/>
  <c r="AY287" i="2"/>
  <c r="AW287" i="2"/>
  <c r="AV287" i="2"/>
  <c r="AU287" i="2"/>
  <c r="AS287" i="2"/>
  <c r="AO287" i="2"/>
  <c r="AZ208" i="2"/>
  <c r="AY208" i="2"/>
  <c r="AT208" i="2"/>
  <c r="AS208" i="2"/>
  <c r="AV208" i="2"/>
  <c r="AU208" i="2"/>
  <c r="AP208" i="2"/>
  <c r="AO208" i="2"/>
  <c r="AR208" i="2"/>
  <c r="AQ208" i="2"/>
  <c r="AX208" i="2"/>
  <c r="AW208" i="2"/>
  <c r="AZ192" i="2"/>
  <c r="AY192" i="2"/>
  <c r="AT192" i="2"/>
  <c r="AS192" i="2"/>
  <c r="AV192" i="2"/>
  <c r="AU192" i="2"/>
  <c r="AP192" i="2"/>
  <c r="AO192" i="2"/>
  <c r="AR192" i="2"/>
  <c r="AQ192" i="2"/>
  <c r="AX192" i="2"/>
  <c r="AW192" i="2"/>
  <c r="AZ95" i="2"/>
  <c r="AY95" i="2"/>
  <c r="AT95" i="2"/>
  <c r="AS95" i="2"/>
  <c r="AV95" i="2"/>
  <c r="AU95" i="2"/>
  <c r="AP95" i="2"/>
  <c r="AO95" i="2"/>
  <c r="AR95" i="2"/>
  <c r="AQ95" i="2"/>
  <c r="AX95" i="2"/>
  <c r="AW95" i="2"/>
  <c r="AW62" i="2"/>
  <c r="AZ62" i="2"/>
  <c r="AY62" i="2"/>
  <c r="AT62" i="2"/>
  <c r="AS62" i="2"/>
  <c r="AV62" i="2"/>
  <c r="AU62" i="2"/>
  <c r="AP62" i="2"/>
  <c r="AO62" i="2"/>
  <c r="AR62" i="2"/>
  <c r="AQ62" i="2"/>
  <c r="AX62" i="2"/>
  <c r="AR384" i="2"/>
  <c r="AV384" i="2"/>
  <c r="AS384" i="2"/>
  <c r="AT384" i="2"/>
  <c r="AY384" i="2"/>
  <c r="AY375" i="2"/>
  <c r="BC357" i="2"/>
  <c r="BS357" i="2" s="1"/>
  <c r="AN358" i="2"/>
  <c r="AP358" i="2" s="1"/>
  <c r="AY351" i="2"/>
  <c r="AX351" i="2"/>
  <c r="AT351" i="2"/>
  <c r="AW351" i="2"/>
  <c r="AO351" i="2"/>
  <c r="AN351" i="2"/>
  <c r="AU351" i="2" s="1"/>
  <c r="AS351" i="2"/>
  <c r="AZ351" i="2"/>
  <c r="BC350" i="2"/>
  <c r="BS350" i="2" s="1"/>
  <c r="AN359" i="2"/>
  <c r="AQ357" i="2"/>
  <c r="AX344" i="2"/>
  <c r="AT344" i="2"/>
  <c r="AW344" i="2"/>
  <c r="AS344" i="2"/>
  <c r="BC343" i="2"/>
  <c r="BS343" i="2" s="1"/>
  <c r="AZ344" i="2"/>
  <c r="AV344" i="2"/>
  <c r="AN344" i="2"/>
  <c r="AP344" i="2" s="1"/>
  <c r="AY344" i="2"/>
  <c r="AU344" i="2"/>
  <c r="AQ339" i="2"/>
  <c r="AZ334" i="2"/>
  <c r="AR334" i="2"/>
  <c r="AY334" i="2"/>
  <c r="AQ334" i="2"/>
  <c r="AW334" i="2"/>
  <c r="AX334" i="2"/>
  <c r="AW316" i="2"/>
  <c r="AX316" i="2"/>
  <c r="AY315" i="2"/>
  <c r="AU315" i="2"/>
  <c r="AX315" i="2"/>
  <c r="AT315" i="2"/>
  <c r="AP315" i="2"/>
  <c r="AS315" i="2"/>
  <c r="AZ315" i="2"/>
  <c r="AR315" i="2"/>
  <c r="BC314" i="2"/>
  <c r="BS314" i="2" s="1"/>
  <c r="AW315" i="2"/>
  <c r="AO315" i="2"/>
  <c r="AV315" i="2"/>
  <c r="AN315" i="2"/>
  <c r="AQ315" i="2" s="1"/>
  <c r="AY316" i="2"/>
  <c r="AQ294" i="2"/>
  <c r="AT282" i="2"/>
  <c r="AP282" i="2"/>
  <c r="AS282" i="2"/>
  <c r="AO282" i="2"/>
  <c r="BC281" i="2"/>
  <c r="BS281" i="2" s="1"/>
  <c r="AV282" i="2"/>
  <c r="AR282" i="2"/>
  <c r="AN282" i="2"/>
  <c r="AX282" i="2" s="1"/>
  <c r="AU282" i="2"/>
  <c r="AQ282" i="2"/>
  <c r="BC265" i="2"/>
  <c r="BS265" i="2" s="1"/>
  <c r="AN266" i="2"/>
  <c r="AP266" i="2" s="1"/>
  <c r="AQ302" i="2"/>
  <c r="AP261" i="2"/>
  <c r="AU261" i="2"/>
  <c r="BC197" i="2"/>
  <c r="BS197" i="2" s="1"/>
  <c r="AN198" i="2"/>
  <c r="AX198" i="2" s="1"/>
  <c r="AX182" i="2"/>
  <c r="AT182" i="2"/>
  <c r="AW182" i="2"/>
  <c r="AS182" i="2"/>
  <c r="BC181" i="2"/>
  <c r="BS181" i="2" s="1"/>
  <c r="AZ182" i="2"/>
  <c r="AV182" i="2"/>
  <c r="AN182" i="2"/>
  <c r="AP182" i="2" s="1"/>
  <c r="AY182" i="2"/>
  <c r="AU182" i="2"/>
  <c r="AQ217" i="2"/>
  <c r="AQ201" i="2"/>
  <c r="AQ185" i="2"/>
  <c r="AY227" i="2"/>
  <c r="AQ221" i="2"/>
  <c r="AQ205" i="2"/>
  <c r="AQ189" i="2"/>
  <c r="BC127" i="2"/>
  <c r="BS127" i="2" s="1"/>
  <c r="AN128" i="2"/>
  <c r="AX128" i="2" s="1"/>
  <c r="AO169" i="2"/>
  <c r="AQ159" i="2"/>
  <c r="AQ143" i="2"/>
  <c r="AN130" i="2"/>
  <c r="AQ127" i="2"/>
  <c r="AN117" i="2"/>
  <c r="BC96" i="2"/>
  <c r="BS96" i="2" s="1"/>
  <c r="AN97" i="2"/>
  <c r="AX97" i="2" s="1"/>
  <c r="AX81" i="2"/>
  <c r="AT81" i="2"/>
  <c r="AW81" i="2"/>
  <c r="AS81" i="2"/>
  <c r="BC80" i="2"/>
  <c r="BS80" i="2" s="1"/>
  <c r="AZ81" i="2"/>
  <c r="AV81" i="2"/>
  <c r="AN81" i="2"/>
  <c r="AP81" i="2" s="1"/>
  <c r="AY81" i="2"/>
  <c r="AU81" i="2"/>
  <c r="AT65" i="2"/>
  <c r="AP65" i="2"/>
  <c r="AS65" i="2"/>
  <c r="AO65" i="2"/>
  <c r="BC64" i="2"/>
  <c r="BS64" i="2" s="1"/>
  <c r="AV65" i="2"/>
  <c r="AR65" i="2"/>
  <c r="AN65" i="2"/>
  <c r="AX65" i="2" s="1"/>
  <c r="AU65" i="2"/>
  <c r="AQ65" i="2"/>
  <c r="AT171" i="2"/>
  <c r="AY171" i="2"/>
  <c r="AQ163" i="2"/>
  <c r="AQ147" i="2"/>
  <c r="AQ131" i="2"/>
  <c r="AO114" i="2"/>
  <c r="AP114" i="2"/>
  <c r="AY114" i="2"/>
  <c r="AQ100" i="2"/>
  <c r="AN90" i="2"/>
  <c r="AN71" i="2"/>
  <c r="AQ68" i="2"/>
  <c r="AN58" i="2"/>
  <c r="AP113" i="2"/>
  <c r="AU113" i="2"/>
  <c r="AN102" i="2"/>
  <c r="AN82" i="2"/>
  <c r="AY27" i="2"/>
  <c r="AU25" i="2"/>
  <c r="AQ23" i="2"/>
  <c r="AZ51" i="2"/>
  <c r="AX27" i="2"/>
  <c r="AX25" i="2"/>
  <c r="AX23" i="2"/>
  <c r="J16" i="2"/>
  <c r="AD22" i="2" s="1"/>
  <c r="N9" i="2"/>
  <c r="AI357" i="2" s="1"/>
  <c r="AZ27" i="2"/>
  <c r="AO17" i="2"/>
  <c r="J21" i="2"/>
  <c r="AD27" i="2" s="1"/>
  <c r="AQ33" i="2"/>
  <c r="AW23" i="2"/>
  <c r="AV11" i="2"/>
  <c r="AW11" i="2"/>
  <c r="AP387" i="2"/>
  <c r="AU387" i="2"/>
  <c r="AR387" i="2"/>
  <c r="AZ384" i="2"/>
  <c r="AW384" i="2"/>
  <c r="AX384" i="2"/>
  <c r="AY382" i="2"/>
  <c r="AT382" i="2"/>
  <c r="AX382" i="2"/>
  <c r="AR382" i="2"/>
  <c r="AZ382" i="2"/>
  <c r="AU382" i="2"/>
  <c r="AP382" i="2"/>
  <c r="AX375" i="2"/>
  <c r="AZ375" i="2"/>
  <c r="AR375" i="2"/>
  <c r="AS364" i="2"/>
  <c r="AQ364" i="2"/>
  <c r="AR364" i="2"/>
  <c r="AR357" i="2"/>
  <c r="AO357" i="2"/>
  <c r="AP357" i="2"/>
  <c r="AU357" i="2"/>
  <c r="AX340" i="2"/>
  <c r="AT340" i="2"/>
  <c r="AW340" i="2"/>
  <c r="AS340" i="2"/>
  <c r="BC339" i="2"/>
  <c r="BS339" i="2" s="1"/>
  <c r="AZ340" i="2"/>
  <c r="AV340" i="2"/>
  <c r="AN340" i="2"/>
  <c r="AP340" i="2" s="1"/>
  <c r="AY340" i="2"/>
  <c r="AU340" i="2"/>
  <c r="AQ342" i="2"/>
  <c r="AR342" i="2"/>
  <c r="AR339" i="2"/>
  <c r="AO339" i="2"/>
  <c r="AP339" i="2"/>
  <c r="AU339" i="2"/>
  <c r="AN345" i="2"/>
  <c r="AQ347" i="2"/>
  <c r="AW337" i="2"/>
  <c r="AS337" i="2"/>
  <c r="AV337" i="2"/>
  <c r="AR337" i="2"/>
  <c r="AN337" i="2"/>
  <c r="AO337" i="2" s="1"/>
  <c r="AU337" i="2"/>
  <c r="AQ337" i="2"/>
  <c r="AX337" i="2"/>
  <c r="AP337" i="2"/>
  <c r="BC336" i="2"/>
  <c r="BS336" i="2" s="1"/>
  <c r="AX335" i="2"/>
  <c r="AP335" i="2"/>
  <c r="AU335" i="2"/>
  <c r="AX322" i="2"/>
  <c r="AT322" i="2"/>
  <c r="AW322" i="2"/>
  <c r="AS322" i="2"/>
  <c r="BC321" i="2"/>
  <c r="BS321" i="2" s="1"/>
  <c r="AZ322" i="2"/>
  <c r="AV322" i="2"/>
  <c r="AN322" i="2"/>
  <c r="AP322" i="2" s="1"/>
  <c r="AY322" i="2"/>
  <c r="AU322" i="2"/>
  <c r="AU334" i="2"/>
  <c r="AQ323" i="2"/>
  <c r="AR323" i="2"/>
  <c r="AO323" i="2"/>
  <c r="AW319" i="2"/>
  <c r="AS319" i="2"/>
  <c r="AV319" i="2"/>
  <c r="AR319" i="2"/>
  <c r="AN319" i="2"/>
  <c r="AO319" i="2" s="1"/>
  <c r="AU319" i="2"/>
  <c r="AQ319" i="2"/>
  <c r="AX319" i="2"/>
  <c r="AT319" i="2"/>
  <c r="AP319" i="2"/>
  <c r="BC318" i="2"/>
  <c r="BS318" i="2" s="1"/>
  <c r="AN317" i="2"/>
  <c r="AQ329" i="2"/>
  <c r="AT332" i="2"/>
  <c r="AP332" i="2"/>
  <c r="AQ332" i="2"/>
  <c r="AR332" i="2"/>
  <c r="AX311" i="2"/>
  <c r="AT311" i="2"/>
  <c r="AW311" i="2"/>
  <c r="AS311" i="2"/>
  <c r="BC310" i="2"/>
  <c r="BS310" i="2" s="1"/>
  <c r="AZ311" i="2"/>
  <c r="AV311" i="2"/>
  <c r="AN311" i="2"/>
  <c r="AP311" i="2" s="1"/>
  <c r="AY311" i="2"/>
  <c r="AU311" i="2"/>
  <c r="AQ325" i="2"/>
  <c r="AQ316" i="2"/>
  <c r="AT318" i="2"/>
  <c r="AP318" i="2"/>
  <c r="AQ318" i="2"/>
  <c r="AR318" i="2"/>
  <c r="AQ308" i="2"/>
  <c r="AR308" i="2"/>
  <c r="AO308" i="2"/>
  <c r="AU316" i="2"/>
  <c r="AQ298" i="2"/>
  <c r="AR294" i="2"/>
  <c r="AO294" i="2"/>
  <c r="AP294" i="2"/>
  <c r="AU294" i="2"/>
  <c r="AQ304" i="2"/>
  <c r="AR304" i="2"/>
  <c r="AO304" i="2"/>
  <c r="AQ299" i="2"/>
  <c r="AR299" i="2"/>
  <c r="AO299" i="2"/>
  <c r="AP299" i="2"/>
  <c r="BC277" i="2"/>
  <c r="BS277" i="2" s="1"/>
  <c r="AN278" i="2"/>
  <c r="AX278" i="2" s="1"/>
  <c r="AQ305" i="2"/>
  <c r="AR305" i="2"/>
  <c r="AR302" i="2"/>
  <c r="AO302" i="2"/>
  <c r="AP302" i="2"/>
  <c r="AU302" i="2"/>
  <c r="AT292" i="2"/>
  <c r="AY292" i="2"/>
  <c r="AQ285" i="2"/>
  <c r="AQ273" i="2"/>
  <c r="AR261" i="2"/>
  <c r="AO261" i="2"/>
  <c r="AT261" i="2"/>
  <c r="AY261" i="2"/>
  <c r="AN280" i="2"/>
  <c r="AQ277" i="2"/>
  <c r="BC235" i="2"/>
  <c r="BS235" i="2" s="1"/>
  <c r="AN236" i="2"/>
  <c r="AX236" i="2" s="1"/>
  <c r="AN283" i="2"/>
  <c r="AT259" i="2"/>
  <c r="AY259" i="2"/>
  <c r="AQ251" i="2"/>
  <c r="AN238" i="2"/>
  <c r="AQ235" i="2"/>
  <c r="AQ241" i="2"/>
  <c r="AR241" i="2"/>
  <c r="AO241" i="2"/>
  <c r="AQ233" i="2"/>
  <c r="AR233" i="2"/>
  <c r="AO233" i="2"/>
  <c r="AT227" i="2"/>
  <c r="AR227" i="2"/>
  <c r="AO227" i="2"/>
  <c r="AQ247" i="2"/>
  <c r="AQ231" i="2"/>
  <c r="AQ227" i="2"/>
  <c r="BC193" i="2"/>
  <c r="BS193" i="2" s="1"/>
  <c r="AN194" i="2"/>
  <c r="AX194" i="2" s="1"/>
  <c r="AX178" i="2"/>
  <c r="AT178" i="2"/>
  <c r="AP178" i="2"/>
  <c r="AW178" i="2"/>
  <c r="AS178" i="2"/>
  <c r="AO178" i="2"/>
  <c r="BC177" i="2"/>
  <c r="BS177" i="2" s="1"/>
  <c r="AZ178" i="2"/>
  <c r="AV178" i="2"/>
  <c r="AR178" i="2"/>
  <c r="AN178" i="2"/>
  <c r="AY178" i="2"/>
  <c r="AU178" i="2"/>
  <c r="AQ178" i="2"/>
  <c r="AQ256" i="2"/>
  <c r="AR256" i="2"/>
  <c r="AO256" i="2"/>
  <c r="AP256" i="2"/>
  <c r="AX227" i="2"/>
  <c r="AX225" i="2"/>
  <c r="AQ220" i="2"/>
  <c r="AR220" i="2"/>
  <c r="AR217" i="2"/>
  <c r="AO217" i="2"/>
  <c r="AP217" i="2"/>
  <c r="AU217" i="2"/>
  <c r="AQ204" i="2"/>
  <c r="AR204" i="2"/>
  <c r="AR201" i="2"/>
  <c r="AO201" i="2"/>
  <c r="AP201" i="2"/>
  <c r="AU201" i="2"/>
  <c r="AQ188" i="2"/>
  <c r="AR188" i="2"/>
  <c r="AR185" i="2"/>
  <c r="AO185" i="2"/>
  <c r="AP185" i="2"/>
  <c r="AU185" i="2"/>
  <c r="AQ207" i="2"/>
  <c r="AR207" i="2"/>
  <c r="AO207" i="2"/>
  <c r="AN199" i="2"/>
  <c r="AO224" i="2"/>
  <c r="AQ224" i="2"/>
  <c r="AR224" i="2"/>
  <c r="AR221" i="2"/>
  <c r="AO221" i="2"/>
  <c r="AP221" i="2"/>
  <c r="AU221" i="2"/>
  <c r="AR205" i="2"/>
  <c r="AO205" i="2"/>
  <c r="AP205" i="2"/>
  <c r="AU205" i="2"/>
  <c r="AR189" i="2"/>
  <c r="AO189" i="2"/>
  <c r="AP189" i="2"/>
  <c r="AU189" i="2"/>
  <c r="AQ176" i="2"/>
  <c r="AR176" i="2"/>
  <c r="AX124" i="2"/>
  <c r="AT124" i="2"/>
  <c r="AW124" i="2"/>
  <c r="AS124" i="2"/>
  <c r="BC123" i="2"/>
  <c r="BS123" i="2" s="1"/>
  <c r="AZ124" i="2"/>
  <c r="AV124" i="2"/>
  <c r="AN124" i="2"/>
  <c r="AP124" i="2" s="1"/>
  <c r="AY124" i="2"/>
  <c r="AU124" i="2"/>
  <c r="AQ124" i="2"/>
  <c r="AQ211" i="2"/>
  <c r="AR211" i="2"/>
  <c r="AO211" i="2"/>
  <c r="AN195" i="2"/>
  <c r="AP173" i="2"/>
  <c r="AT169" i="2"/>
  <c r="AR169" i="2"/>
  <c r="AS169" i="2"/>
  <c r="AQ156" i="2"/>
  <c r="AR156" i="2"/>
  <c r="AO156" i="2"/>
  <c r="AP156" i="2"/>
  <c r="AQ137" i="2"/>
  <c r="AR137" i="2"/>
  <c r="AO137" i="2"/>
  <c r="AQ162" i="2"/>
  <c r="AR162" i="2"/>
  <c r="AR159" i="2"/>
  <c r="AO159" i="2"/>
  <c r="AP159" i="2"/>
  <c r="AU159" i="2"/>
  <c r="AQ146" i="2"/>
  <c r="AR146" i="2"/>
  <c r="AR143" i="2"/>
  <c r="AO143" i="2"/>
  <c r="AP143" i="2"/>
  <c r="AU143" i="2"/>
  <c r="AR127" i="2"/>
  <c r="AO127" i="2"/>
  <c r="AP127" i="2"/>
  <c r="AU127" i="2"/>
  <c r="AQ157" i="2"/>
  <c r="AR157" i="2"/>
  <c r="AO157" i="2"/>
  <c r="AQ141" i="2"/>
  <c r="AR141" i="2"/>
  <c r="AO141" i="2"/>
  <c r="AQ136" i="2"/>
  <c r="AR136" i="2"/>
  <c r="AO136" i="2"/>
  <c r="AP136" i="2"/>
  <c r="AY109" i="2"/>
  <c r="AU109" i="2"/>
  <c r="AT109" i="2"/>
  <c r="AP109" i="2"/>
  <c r="AN109" i="2"/>
  <c r="AQ109" i="2" s="1"/>
  <c r="AS109" i="2"/>
  <c r="BC108" i="2"/>
  <c r="BS108" i="2" s="1"/>
  <c r="AZ109" i="2"/>
  <c r="AR109" i="2"/>
  <c r="AW109" i="2"/>
  <c r="AO109" i="2"/>
  <c r="AT93" i="2"/>
  <c r="AP93" i="2"/>
  <c r="AS93" i="2"/>
  <c r="AO93" i="2"/>
  <c r="BC92" i="2"/>
  <c r="BS92" i="2" s="1"/>
  <c r="AV93" i="2"/>
  <c r="AR93" i="2"/>
  <c r="AN93" i="2"/>
  <c r="AX93" i="2" s="1"/>
  <c r="AU93" i="2"/>
  <c r="AQ93" i="2"/>
  <c r="BC76" i="2"/>
  <c r="BS76" i="2" s="1"/>
  <c r="AN77" i="2"/>
  <c r="AP77" i="2" s="1"/>
  <c r="BC60" i="2"/>
  <c r="BS60" i="2" s="1"/>
  <c r="AN61" i="2"/>
  <c r="AX61" i="2" s="1"/>
  <c r="AR171" i="2"/>
  <c r="AV171" i="2"/>
  <c r="AX171" i="2"/>
  <c r="AQ166" i="2"/>
  <c r="AR166" i="2"/>
  <c r="AR163" i="2"/>
  <c r="AO163" i="2"/>
  <c r="AP163" i="2"/>
  <c r="AU163" i="2"/>
  <c r="AQ150" i="2"/>
  <c r="AR150" i="2"/>
  <c r="AR147" i="2"/>
  <c r="AO147" i="2"/>
  <c r="AP147" i="2"/>
  <c r="AU147" i="2"/>
  <c r="AQ134" i="2"/>
  <c r="AR134" i="2"/>
  <c r="AR131" i="2"/>
  <c r="AO131" i="2"/>
  <c r="AP131" i="2"/>
  <c r="AU131" i="2"/>
  <c r="AP115" i="2"/>
  <c r="AU115" i="2"/>
  <c r="AS114" i="2"/>
  <c r="AT114" i="2"/>
  <c r="AR114" i="2"/>
  <c r="AQ108" i="2"/>
  <c r="AR100" i="2"/>
  <c r="AO100" i="2"/>
  <c r="AP100" i="2"/>
  <c r="AU100" i="2"/>
  <c r="AN98" i="2"/>
  <c r="AR68" i="2"/>
  <c r="AO68" i="2"/>
  <c r="AP68" i="2"/>
  <c r="AU68" i="2"/>
  <c r="AQ55" i="2"/>
  <c r="AR55" i="2"/>
  <c r="AZ25" i="2"/>
  <c r="J14" i="2"/>
  <c r="AD20" i="2" s="1"/>
  <c r="N7" i="2"/>
  <c r="AV113" i="2"/>
  <c r="AR113" i="2"/>
  <c r="AT113" i="2"/>
  <c r="AY113" i="2"/>
  <c r="AQ88" i="2"/>
  <c r="AN83" i="2"/>
  <c r="AQ72" i="2"/>
  <c r="AQ56" i="2"/>
  <c r="AU27" i="2"/>
  <c r="AQ25" i="2"/>
  <c r="J19" i="2"/>
  <c r="AD25" i="2" s="1"/>
  <c r="N12" i="2"/>
  <c r="AI277" i="2" s="1"/>
  <c r="AQ53" i="2"/>
  <c r="AR53" i="2"/>
  <c r="AO53" i="2"/>
  <c r="AP53" i="2"/>
  <c r="AR51" i="2"/>
  <c r="AT27" i="2"/>
  <c r="AT25" i="2"/>
  <c r="AT23" i="2"/>
  <c r="J15" i="2"/>
  <c r="AD21" i="2" s="1"/>
  <c r="N8" i="2"/>
  <c r="AT50" i="2"/>
  <c r="AY50" i="2"/>
  <c r="AQ45" i="2"/>
  <c r="AQ30" i="2"/>
  <c r="AR30" i="2"/>
  <c r="AO30" i="2"/>
  <c r="AP30" i="2"/>
  <c r="AP17" i="2"/>
  <c r="AQ17" i="2"/>
  <c r="AR17" i="2"/>
  <c r="AS17" i="2"/>
  <c r="AQ43" i="2"/>
  <c r="AR43" i="2"/>
  <c r="AO43" i="2"/>
  <c r="AP12" i="2"/>
  <c r="AU12" i="2"/>
  <c r="AR12" i="2"/>
  <c r="AO12" i="2"/>
  <c r="AO10" i="2"/>
  <c r="AT10" i="2"/>
  <c r="AP22" i="2"/>
  <c r="AU22" i="2"/>
  <c r="AQ36" i="2"/>
  <c r="AR36" i="2"/>
  <c r="AR33" i="2"/>
  <c r="AO33" i="2"/>
  <c r="AP33" i="2"/>
  <c r="AU33" i="2"/>
  <c r="AQ28" i="2"/>
  <c r="AR28" i="2"/>
  <c r="AQ19" i="2"/>
  <c r="AO15" i="2"/>
  <c r="AT16" i="2"/>
  <c r="AU16" i="2"/>
  <c r="AV16" i="2"/>
  <c r="AW16" i="2"/>
  <c r="AV13" i="2"/>
  <c r="AS13" i="2"/>
  <c r="AX13" i="2"/>
  <c r="AQ20" i="2"/>
  <c r="AR20" i="2"/>
  <c r="AO20" i="2"/>
  <c r="AP20" i="2"/>
  <c r="AZ11" i="2"/>
  <c r="AP11" i="2"/>
  <c r="AQ11" i="2"/>
  <c r="AO387" i="2"/>
  <c r="AT387" i="2"/>
  <c r="AY387" i="2"/>
  <c r="AV387" i="2"/>
  <c r="AW383" i="2"/>
  <c r="AQ383" i="2"/>
  <c r="AR383" i="2"/>
  <c r="AQ384" i="2"/>
  <c r="AV382" i="2"/>
  <c r="AO383" i="2"/>
  <c r="AW381" i="2"/>
  <c r="AZ381" i="2"/>
  <c r="AP381" i="2"/>
  <c r="AP378" i="2"/>
  <c r="AV378" i="2"/>
  <c r="AR378" i="2"/>
  <c r="AN378" i="2"/>
  <c r="AX378" i="2" s="1"/>
  <c r="AU378" i="2"/>
  <c r="AQ378" i="2"/>
  <c r="BC377" i="2"/>
  <c r="BS377" i="2" s="1"/>
  <c r="AO378" i="2"/>
  <c r="AN379" i="2"/>
  <c r="AT377" i="2"/>
  <c r="AZ377" i="2"/>
  <c r="AR377" i="2"/>
  <c r="AS376" i="2"/>
  <c r="AO376" i="2"/>
  <c r="AX376" i="2"/>
  <c r="AQ375" i="2"/>
  <c r="AW375" i="2"/>
  <c r="AU372" i="2"/>
  <c r="AT368" i="2"/>
  <c r="AP368" i="2"/>
  <c r="AS368" i="2"/>
  <c r="AO368" i="2"/>
  <c r="BC367" i="2"/>
  <c r="BS367" i="2" s="1"/>
  <c r="AV368" i="2"/>
  <c r="AR368" i="2"/>
  <c r="AN368" i="2"/>
  <c r="AX368" i="2" s="1"/>
  <c r="AU368" i="2"/>
  <c r="AQ368" i="2"/>
  <c r="AU371" i="2"/>
  <c r="AZ371" i="2"/>
  <c r="AR371" i="2"/>
  <c r="AZ372" i="2"/>
  <c r="AW371" i="2"/>
  <c r="AX371" i="2"/>
  <c r="AT373" i="2"/>
  <c r="AP373" i="2"/>
  <c r="AY373" i="2"/>
  <c r="AZ367" i="2"/>
  <c r="AW367" i="2"/>
  <c r="AX367" i="2"/>
  <c r="AZ362" i="2"/>
  <c r="AR362" i="2"/>
  <c r="AY362" i="2"/>
  <c r="AQ362" i="2"/>
  <c r="AZ363" i="2"/>
  <c r="AW363" i="2"/>
  <c r="AW362" i="2"/>
  <c r="AX362" i="2"/>
  <c r="AW374" i="2"/>
  <c r="AS374" i="2"/>
  <c r="AP374" i="2"/>
  <c r="AU374" i="2"/>
  <c r="AN370" i="2"/>
  <c r="AN369" i="2"/>
  <c r="AQ366" i="2"/>
  <c r="AR366" i="2"/>
  <c r="AQ363" i="2"/>
  <c r="AP364" i="2"/>
  <c r="AT364" i="2"/>
  <c r="AU364" i="2"/>
  <c r="AV364" i="2"/>
  <c r="AS356" i="2"/>
  <c r="AT356" i="2"/>
  <c r="AY356" i="2"/>
  <c r="AN360" i="2"/>
  <c r="AV357" i="2"/>
  <c r="AS357" i="2"/>
  <c r="AT357" i="2"/>
  <c r="AY357" i="2"/>
  <c r="AN352" i="2"/>
  <c r="AO342" i="2"/>
  <c r="AP342" i="2"/>
  <c r="AU342" i="2"/>
  <c r="AV342" i="2"/>
  <c r="AV339" i="2"/>
  <c r="AS339" i="2"/>
  <c r="AT339" i="2"/>
  <c r="AY339" i="2"/>
  <c r="AX354" i="2"/>
  <c r="AO354" i="2"/>
  <c r="AY354" i="2"/>
  <c r="AR347" i="2"/>
  <c r="AO347" i="2"/>
  <c r="AP347" i="2"/>
  <c r="AU347" i="2"/>
  <c r="AZ343" i="2"/>
  <c r="AW343" i="2"/>
  <c r="AX343" i="2"/>
  <c r="AQ338" i="2"/>
  <c r="AR338" i="2"/>
  <c r="AT335" i="2"/>
  <c r="AR335" i="2"/>
  <c r="AO335" i="2"/>
  <c r="AO334" i="2"/>
  <c r="AP334" i="2"/>
  <c r="AT350" i="2"/>
  <c r="AP350" i="2"/>
  <c r="AQ350" i="2"/>
  <c r="AR350" i="2"/>
  <c r="AN341" i="2"/>
  <c r="AQ326" i="2"/>
  <c r="AR326" i="2"/>
  <c r="AO326" i="2"/>
  <c r="AP326" i="2"/>
  <c r="AP323" i="2"/>
  <c r="AU323" i="2"/>
  <c r="AV323" i="2"/>
  <c r="AS323" i="2"/>
  <c r="AO316" i="2"/>
  <c r="AP316" i="2"/>
  <c r="AR329" i="2"/>
  <c r="AO329" i="2"/>
  <c r="AP329" i="2"/>
  <c r="AU329" i="2"/>
  <c r="AO332" i="2"/>
  <c r="AX332" i="2"/>
  <c r="AU332" i="2"/>
  <c r="AV332" i="2"/>
  <c r="AY330" i="2"/>
  <c r="AZ330" i="2"/>
  <c r="AW330" i="2"/>
  <c r="AZ316" i="2"/>
  <c r="BC306" i="2"/>
  <c r="BS306" i="2" s="1"/>
  <c r="AN307" i="2"/>
  <c r="AX307" i="2" s="1"/>
  <c r="AX336" i="2"/>
  <c r="AO336" i="2"/>
  <c r="AY336" i="2"/>
  <c r="AS333" i="2"/>
  <c r="AW333" i="2"/>
  <c r="AX333" i="2"/>
  <c r="AQ328" i="2"/>
  <c r="AR328" i="2"/>
  <c r="AR325" i="2"/>
  <c r="AO325" i="2"/>
  <c r="AP325" i="2"/>
  <c r="AU325" i="2"/>
  <c r="AO318" i="2"/>
  <c r="AX318" i="2"/>
  <c r="AU318" i="2"/>
  <c r="AV318" i="2"/>
  <c r="AP308" i="2"/>
  <c r="AU308" i="2"/>
  <c r="AV308" i="2"/>
  <c r="AS308" i="2"/>
  <c r="AQ300" i="2"/>
  <c r="AR300" i="2"/>
  <c r="AO300" i="2"/>
  <c r="AN313" i="2"/>
  <c r="AZ306" i="2"/>
  <c r="AW306" i="2"/>
  <c r="AX306" i="2"/>
  <c r="AQ301" i="2"/>
  <c r="AR301" i="2"/>
  <c r="AR298" i="2"/>
  <c r="AO298" i="2"/>
  <c r="AP298" i="2"/>
  <c r="AU298" i="2"/>
  <c r="AY295" i="2"/>
  <c r="AZ295" i="2"/>
  <c r="AW295" i="2"/>
  <c r="AV294" i="2"/>
  <c r="AS294" i="2"/>
  <c r="AT294" i="2"/>
  <c r="AY294" i="2"/>
  <c r="AP304" i="2"/>
  <c r="AU304" i="2"/>
  <c r="AV304" i="2"/>
  <c r="AS304" i="2"/>
  <c r="AU299" i="2"/>
  <c r="AV299" i="2"/>
  <c r="AS299" i="2"/>
  <c r="AT299" i="2"/>
  <c r="AT296" i="2"/>
  <c r="AY296" i="2"/>
  <c r="AZ296" i="2"/>
  <c r="BC273" i="2"/>
  <c r="BS273" i="2" s="1"/>
  <c r="AN274" i="2"/>
  <c r="AX274" i="2" s="1"/>
  <c r="AS314" i="2"/>
  <c r="AQ314" i="2"/>
  <c r="AR314" i="2"/>
  <c r="AO305" i="2"/>
  <c r="AP305" i="2"/>
  <c r="AU305" i="2"/>
  <c r="AV305" i="2"/>
  <c r="AV302" i="2"/>
  <c r="AS302" i="2"/>
  <c r="AT302" i="2"/>
  <c r="AY302" i="2"/>
  <c r="AU289" i="2"/>
  <c r="AZ289" i="2"/>
  <c r="AR289" i="2"/>
  <c r="AZ290" i="2"/>
  <c r="AW289" i="2"/>
  <c r="AX289" i="2"/>
  <c r="AR292" i="2"/>
  <c r="AV292" i="2"/>
  <c r="AX292" i="2"/>
  <c r="AR285" i="2"/>
  <c r="AO285" i="2"/>
  <c r="AP285" i="2"/>
  <c r="AU285" i="2"/>
  <c r="AZ281" i="2"/>
  <c r="AW281" i="2"/>
  <c r="AX281" i="2"/>
  <c r="AQ276" i="2"/>
  <c r="AR276" i="2"/>
  <c r="AR273" i="2"/>
  <c r="AO273" i="2"/>
  <c r="AP273" i="2"/>
  <c r="AU273" i="2"/>
  <c r="AZ265" i="2"/>
  <c r="AW265" i="2"/>
  <c r="AX265" i="2"/>
  <c r="AQ271" i="2"/>
  <c r="AR271" i="2"/>
  <c r="AO271" i="2"/>
  <c r="AV260" i="2"/>
  <c r="AV261" i="2"/>
  <c r="AS261" i="2"/>
  <c r="AX261" i="2"/>
  <c r="AW291" i="2"/>
  <c r="AQ291" i="2"/>
  <c r="AR291" i="2"/>
  <c r="AR277" i="2"/>
  <c r="AO277" i="2"/>
  <c r="AP277" i="2"/>
  <c r="AU277" i="2"/>
  <c r="AZ269" i="2"/>
  <c r="AW269" i="2"/>
  <c r="AX269" i="2"/>
  <c r="AQ264" i="2"/>
  <c r="AR264" i="2"/>
  <c r="BC231" i="2"/>
  <c r="BS231" i="2" s="1"/>
  <c r="AN232" i="2"/>
  <c r="AX232" i="2" s="1"/>
  <c r="AN275" i="2"/>
  <c r="AR259" i="2"/>
  <c r="AV259" i="2"/>
  <c r="AX259" i="2"/>
  <c r="AQ254" i="2"/>
  <c r="AR254" i="2"/>
  <c r="AR251" i="2"/>
  <c r="AO251" i="2"/>
  <c r="AP251" i="2"/>
  <c r="AU251" i="2"/>
  <c r="AS246" i="2"/>
  <c r="AT246" i="2"/>
  <c r="AY246" i="2"/>
  <c r="AZ243" i="2"/>
  <c r="AW243" i="2"/>
  <c r="AX243" i="2"/>
  <c r="AR235" i="2"/>
  <c r="AO235" i="2"/>
  <c r="AP235" i="2"/>
  <c r="AU235" i="2"/>
  <c r="AT257" i="2"/>
  <c r="AY257" i="2"/>
  <c r="AZ257" i="2"/>
  <c r="AQ249" i="2"/>
  <c r="AR249" i="2"/>
  <c r="AO249" i="2"/>
  <c r="AQ244" i="2"/>
  <c r="AR244" i="2"/>
  <c r="AO244" i="2"/>
  <c r="AP244" i="2"/>
  <c r="AP241" i="2"/>
  <c r="AU241" i="2"/>
  <c r="AV241" i="2"/>
  <c r="AS241" i="2"/>
  <c r="AP233" i="2"/>
  <c r="AU233" i="2"/>
  <c r="AV233" i="2"/>
  <c r="AS233" i="2"/>
  <c r="AV226" i="2"/>
  <c r="AV227" i="2"/>
  <c r="AS227" i="2"/>
  <c r="AS226" i="2"/>
  <c r="AP258" i="2"/>
  <c r="AY258" i="2"/>
  <c r="AZ255" i="2"/>
  <c r="AW255" i="2"/>
  <c r="AX255" i="2"/>
  <c r="AQ250" i="2"/>
  <c r="AR250" i="2"/>
  <c r="AR247" i="2"/>
  <c r="AO247" i="2"/>
  <c r="AP247" i="2"/>
  <c r="AU247" i="2"/>
  <c r="AS242" i="2"/>
  <c r="AT242" i="2"/>
  <c r="AY242" i="2"/>
  <c r="AZ239" i="2"/>
  <c r="AW239" i="2"/>
  <c r="AX239" i="2"/>
  <c r="AQ234" i="2"/>
  <c r="AR234" i="2"/>
  <c r="AR231" i="2"/>
  <c r="AO231" i="2"/>
  <c r="AP231" i="2"/>
  <c r="AU231" i="2"/>
  <c r="AT206" i="2"/>
  <c r="AP206" i="2"/>
  <c r="AS206" i="2"/>
  <c r="AO206" i="2"/>
  <c r="BC205" i="2"/>
  <c r="BS205" i="2" s="1"/>
  <c r="AV206" i="2"/>
  <c r="AR206" i="2"/>
  <c r="AN206" i="2"/>
  <c r="AX206" i="2" s="1"/>
  <c r="AU206" i="2"/>
  <c r="AQ206" i="2"/>
  <c r="BC189" i="2"/>
  <c r="BS189" i="2" s="1"/>
  <c r="AN190" i="2"/>
  <c r="AP190" i="2" s="1"/>
  <c r="AQ262" i="2"/>
  <c r="AR262" i="2"/>
  <c r="AO262" i="2"/>
  <c r="AP262" i="2"/>
  <c r="AU256" i="2"/>
  <c r="AV256" i="2"/>
  <c r="AS256" i="2"/>
  <c r="AT256" i="2"/>
  <c r="AT253" i="2"/>
  <c r="AY253" i="2"/>
  <c r="AZ253" i="2"/>
  <c r="AQ245" i="2"/>
  <c r="AR245" i="2"/>
  <c r="AO245" i="2"/>
  <c r="AQ240" i="2"/>
  <c r="AR240" i="2"/>
  <c r="AO240" i="2"/>
  <c r="AP240" i="2"/>
  <c r="AQ230" i="2"/>
  <c r="AR230" i="2"/>
  <c r="AP227" i="2"/>
  <c r="AS229" i="2"/>
  <c r="AW229" i="2"/>
  <c r="AP229" i="2"/>
  <c r="AU229" i="2"/>
  <c r="AO225" i="2"/>
  <c r="AZ225" i="2"/>
  <c r="AV225" i="2"/>
  <c r="AQ225" i="2"/>
  <c r="AO220" i="2"/>
  <c r="AP220" i="2"/>
  <c r="AU220" i="2"/>
  <c r="AV220" i="2"/>
  <c r="AV217" i="2"/>
  <c r="AS217" i="2"/>
  <c r="AT217" i="2"/>
  <c r="AY217" i="2"/>
  <c r="AO204" i="2"/>
  <c r="AP204" i="2"/>
  <c r="AU204" i="2"/>
  <c r="AV204" i="2"/>
  <c r="AV201" i="2"/>
  <c r="AS201" i="2"/>
  <c r="AT201" i="2"/>
  <c r="AY201" i="2"/>
  <c r="AN196" i="2"/>
  <c r="AO188" i="2"/>
  <c r="AP188" i="2"/>
  <c r="AU188" i="2"/>
  <c r="AV188" i="2"/>
  <c r="AV185" i="2"/>
  <c r="AS185" i="2"/>
  <c r="AT185" i="2"/>
  <c r="AY185" i="2"/>
  <c r="AN180" i="2"/>
  <c r="AN175" i="2"/>
  <c r="AS175" i="2" s="1"/>
  <c r="AX175" i="2"/>
  <c r="BC174" i="2"/>
  <c r="BS174" i="2" s="1"/>
  <c r="AT223" i="2"/>
  <c r="AY223" i="2"/>
  <c r="AZ223" i="2"/>
  <c r="AQ215" i="2"/>
  <c r="AR215" i="2"/>
  <c r="AO215" i="2"/>
  <c r="AQ210" i="2"/>
  <c r="AR210" i="2"/>
  <c r="AO210" i="2"/>
  <c r="AP210" i="2"/>
  <c r="AP207" i="2"/>
  <c r="AU207" i="2"/>
  <c r="AV207" i="2"/>
  <c r="AS207" i="2"/>
  <c r="AN191" i="2"/>
  <c r="AN183" i="2"/>
  <c r="AY172" i="2"/>
  <c r="AQ172" i="2"/>
  <c r="AZ173" i="2"/>
  <c r="AW173" i="2"/>
  <c r="AS172" i="2"/>
  <c r="AT172" i="2"/>
  <c r="AS224" i="2"/>
  <c r="AW224" i="2"/>
  <c r="AU224" i="2"/>
  <c r="AV224" i="2"/>
  <c r="AV221" i="2"/>
  <c r="AS221" i="2"/>
  <c r="AT221" i="2"/>
  <c r="AY221" i="2"/>
  <c r="AV205" i="2"/>
  <c r="AS205" i="2"/>
  <c r="AT205" i="2"/>
  <c r="AY205" i="2"/>
  <c r="AN200" i="2"/>
  <c r="AV189" i="2"/>
  <c r="AS189" i="2"/>
  <c r="AT189" i="2"/>
  <c r="AY189" i="2"/>
  <c r="AN184" i="2"/>
  <c r="AO176" i="2"/>
  <c r="AP176" i="2"/>
  <c r="AU176" i="2"/>
  <c r="AV176" i="2"/>
  <c r="BC119" i="2"/>
  <c r="BS119" i="2" s="1"/>
  <c r="AN120" i="2"/>
  <c r="AP120" i="2" s="1"/>
  <c r="AS228" i="2"/>
  <c r="AY228" i="2"/>
  <c r="AQ219" i="2"/>
  <c r="AR219" i="2"/>
  <c r="AO219" i="2"/>
  <c r="AQ214" i="2"/>
  <c r="AR214" i="2"/>
  <c r="AO214" i="2"/>
  <c r="AP214" i="2"/>
  <c r="AP211" i="2"/>
  <c r="AU211" i="2"/>
  <c r="AV211" i="2"/>
  <c r="AS211" i="2"/>
  <c r="AZ172" i="2"/>
  <c r="AU169" i="2"/>
  <c r="AQ169" i="2"/>
  <c r="AV169" i="2"/>
  <c r="AW169" i="2"/>
  <c r="AQ161" i="2"/>
  <c r="AR161" i="2"/>
  <c r="AO161" i="2"/>
  <c r="AU156" i="2"/>
  <c r="AV156" i="2"/>
  <c r="AS156" i="2"/>
  <c r="AT156" i="2"/>
  <c r="AT153" i="2"/>
  <c r="AY153" i="2"/>
  <c r="AZ153" i="2"/>
  <c r="AQ145" i="2"/>
  <c r="AR145" i="2"/>
  <c r="AO145" i="2"/>
  <c r="AQ140" i="2"/>
  <c r="AR140" i="2"/>
  <c r="AO140" i="2"/>
  <c r="AP140" i="2"/>
  <c r="AP137" i="2"/>
  <c r="AU137" i="2"/>
  <c r="AV137" i="2"/>
  <c r="AS137" i="2"/>
  <c r="AY132" i="2"/>
  <c r="AZ132" i="2"/>
  <c r="AW132" i="2"/>
  <c r="AN129" i="2"/>
  <c r="AO162" i="2"/>
  <c r="AP162" i="2"/>
  <c r="AU162" i="2"/>
  <c r="AV162" i="2"/>
  <c r="AV159" i="2"/>
  <c r="AS159" i="2"/>
  <c r="AT159" i="2"/>
  <c r="AY159" i="2"/>
  <c r="AO146" i="2"/>
  <c r="AP146" i="2"/>
  <c r="AU146" i="2"/>
  <c r="AV146" i="2"/>
  <c r="AV143" i="2"/>
  <c r="AS143" i="2"/>
  <c r="AT143" i="2"/>
  <c r="AY143" i="2"/>
  <c r="AV127" i="2"/>
  <c r="AS127" i="2"/>
  <c r="AT127" i="2"/>
  <c r="AY127" i="2"/>
  <c r="AN122" i="2"/>
  <c r="AY168" i="2"/>
  <c r="AZ168" i="2"/>
  <c r="AW168" i="2"/>
  <c r="AQ160" i="2"/>
  <c r="AR160" i="2"/>
  <c r="AO160" i="2"/>
  <c r="AP160" i="2"/>
  <c r="AP157" i="2"/>
  <c r="AU157" i="2"/>
  <c r="AV157" i="2"/>
  <c r="AS157" i="2"/>
  <c r="AY152" i="2"/>
  <c r="AZ152" i="2"/>
  <c r="AW152" i="2"/>
  <c r="AQ144" i="2"/>
  <c r="AR144" i="2"/>
  <c r="AO144" i="2"/>
  <c r="AP144" i="2"/>
  <c r="AP141" i="2"/>
  <c r="AU141" i="2"/>
  <c r="AV141" i="2"/>
  <c r="AS141" i="2"/>
  <c r="AU136" i="2"/>
  <c r="AV136" i="2"/>
  <c r="AS136" i="2"/>
  <c r="AT136" i="2"/>
  <c r="AT133" i="2"/>
  <c r="AY133" i="2"/>
  <c r="AZ133" i="2"/>
  <c r="BC104" i="2"/>
  <c r="BS104" i="2" s="1"/>
  <c r="AN105" i="2"/>
  <c r="AX105" i="2" s="1"/>
  <c r="AX89" i="2"/>
  <c r="AT89" i="2"/>
  <c r="AW89" i="2"/>
  <c r="AS89" i="2"/>
  <c r="BC88" i="2"/>
  <c r="BS88" i="2" s="1"/>
  <c r="AZ89" i="2"/>
  <c r="AV89" i="2"/>
  <c r="AN89" i="2"/>
  <c r="AP89" i="2" s="1"/>
  <c r="AY89" i="2"/>
  <c r="AU89" i="2"/>
  <c r="AT73" i="2"/>
  <c r="AP73" i="2"/>
  <c r="AS73" i="2"/>
  <c r="AO73" i="2"/>
  <c r="BC72" i="2"/>
  <c r="BS72" i="2" s="1"/>
  <c r="AV73" i="2"/>
  <c r="AR73" i="2"/>
  <c r="AN73" i="2"/>
  <c r="AX73" i="2" s="1"/>
  <c r="AU73" i="2"/>
  <c r="AQ73" i="2"/>
  <c r="BC56" i="2"/>
  <c r="BS56" i="2" s="1"/>
  <c r="AN57" i="2"/>
  <c r="AP57" i="2" s="1"/>
  <c r="AO171" i="2"/>
  <c r="AZ171" i="2"/>
  <c r="AQ171" i="2"/>
  <c r="AO166" i="2"/>
  <c r="AP166" i="2"/>
  <c r="AU166" i="2"/>
  <c r="AV166" i="2"/>
  <c r="AV163" i="2"/>
  <c r="AS163" i="2"/>
  <c r="AT163" i="2"/>
  <c r="AY163" i="2"/>
  <c r="AO150" i="2"/>
  <c r="AP150" i="2"/>
  <c r="AU150" i="2"/>
  <c r="AV150" i="2"/>
  <c r="AV147" i="2"/>
  <c r="AS147" i="2"/>
  <c r="AT147" i="2"/>
  <c r="AY147" i="2"/>
  <c r="AO134" i="2"/>
  <c r="AP134" i="2"/>
  <c r="AU134" i="2"/>
  <c r="AV134" i="2"/>
  <c r="AV131" i="2"/>
  <c r="AS131" i="2"/>
  <c r="AT131" i="2"/>
  <c r="AY131" i="2"/>
  <c r="AN126" i="2"/>
  <c r="AR115" i="2"/>
  <c r="AO115" i="2"/>
  <c r="AT115" i="2"/>
  <c r="AY115" i="2"/>
  <c r="AW114" i="2"/>
  <c r="AX114" i="2"/>
  <c r="AV114" i="2"/>
  <c r="AR108" i="2"/>
  <c r="AO108" i="2"/>
  <c r="AP108" i="2"/>
  <c r="AU108" i="2"/>
  <c r="AN106" i="2"/>
  <c r="AV100" i="2"/>
  <c r="AS100" i="2"/>
  <c r="AT100" i="2"/>
  <c r="AY100" i="2"/>
  <c r="AN99" i="2"/>
  <c r="AZ92" i="2"/>
  <c r="AW92" i="2"/>
  <c r="AX92" i="2"/>
  <c r="AV68" i="2"/>
  <c r="AS68" i="2"/>
  <c r="AT68" i="2"/>
  <c r="AY68" i="2"/>
  <c r="AN63" i="2"/>
  <c r="AO55" i="2"/>
  <c r="AP55" i="2"/>
  <c r="AU55" i="2"/>
  <c r="AV55" i="2"/>
  <c r="AS23" i="2"/>
  <c r="AY51" i="2"/>
  <c r="AQ51" i="2"/>
  <c r="AZ52" i="2"/>
  <c r="AW52" i="2"/>
  <c r="AQ52" i="2"/>
  <c r="AO51" i="2"/>
  <c r="AP51" i="2"/>
  <c r="AR27" i="2"/>
  <c r="AV25" i="2"/>
  <c r="AZ23" i="2"/>
  <c r="J12" i="2"/>
  <c r="AD18" i="2" s="1"/>
  <c r="N5" i="2"/>
  <c r="AO113" i="2"/>
  <c r="AZ113" i="2"/>
  <c r="AX113" i="2"/>
  <c r="AN110" i="2"/>
  <c r="AZ104" i="2"/>
  <c r="AW104" i="2"/>
  <c r="AX104" i="2"/>
  <c r="AR88" i="2"/>
  <c r="AO88" i="2"/>
  <c r="AP88" i="2"/>
  <c r="AU88" i="2"/>
  <c r="AN78" i="2"/>
  <c r="AR72" i="2"/>
  <c r="AO72" i="2"/>
  <c r="AP72" i="2"/>
  <c r="AU72" i="2"/>
  <c r="AZ64" i="2"/>
  <c r="AW64" i="2"/>
  <c r="AX64" i="2"/>
  <c r="AR56" i="2"/>
  <c r="AO56" i="2"/>
  <c r="AP56" i="2"/>
  <c r="AU56" i="2"/>
  <c r="AQ27" i="2"/>
  <c r="AY23" i="2"/>
  <c r="AQ54" i="2"/>
  <c r="AR54" i="2"/>
  <c r="AO54" i="2"/>
  <c r="AU53" i="2"/>
  <c r="AV53" i="2"/>
  <c r="AS53" i="2"/>
  <c r="AT53" i="2"/>
  <c r="AP25" i="2"/>
  <c r="AP23" i="2"/>
  <c r="J18" i="2"/>
  <c r="AD24" i="2" s="1"/>
  <c r="N11" i="2"/>
  <c r="J13" i="2"/>
  <c r="AD19" i="2" s="1"/>
  <c r="N6" i="2"/>
  <c r="AI119" i="2" s="1"/>
  <c r="AT47" i="2"/>
  <c r="AY47" i="2"/>
  <c r="AZ47" i="2"/>
  <c r="AQ39" i="2"/>
  <c r="AR39" i="2"/>
  <c r="AO39" i="2"/>
  <c r="AR50" i="2"/>
  <c r="AV50" i="2"/>
  <c r="AX50" i="2"/>
  <c r="AR45" i="2"/>
  <c r="AO45" i="2"/>
  <c r="AP45" i="2"/>
  <c r="AU45" i="2"/>
  <c r="AS40" i="2"/>
  <c r="AT40" i="2"/>
  <c r="AY40" i="2"/>
  <c r="AZ37" i="2"/>
  <c r="AW37" i="2"/>
  <c r="AX37" i="2"/>
  <c r="AQ34" i="2"/>
  <c r="AR34" i="2"/>
  <c r="AO34" i="2"/>
  <c r="AP34" i="2"/>
  <c r="AU30" i="2"/>
  <c r="AV30" i="2"/>
  <c r="AS30" i="2"/>
  <c r="AT30" i="2"/>
  <c r="AP24" i="2"/>
  <c r="AT17" i="2"/>
  <c r="AU17" i="2"/>
  <c r="AV17" i="2"/>
  <c r="AW17" i="2"/>
  <c r="AQ46" i="2"/>
  <c r="AR46" i="2"/>
  <c r="AO46" i="2"/>
  <c r="AP46" i="2"/>
  <c r="AP43" i="2"/>
  <c r="AU43" i="2"/>
  <c r="AV43" i="2"/>
  <c r="AS43" i="2"/>
  <c r="AY38" i="2"/>
  <c r="AZ38" i="2"/>
  <c r="AW38" i="2"/>
  <c r="AQ31" i="2"/>
  <c r="AR31" i="2"/>
  <c r="AO31" i="2"/>
  <c r="AP26" i="2"/>
  <c r="AT21" i="2"/>
  <c r="AY21" i="2"/>
  <c r="AZ21" i="2"/>
  <c r="AT12" i="2"/>
  <c r="AY12" i="2"/>
  <c r="AV12" i="2"/>
  <c r="AS12" i="2"/>
  <c r="AU10" i="2"/>
  <c r="AR10" i="2"/>
  <c r="AS10" i="2"/>
  <c r="AX10" i="2"/>
  <c r="AR22" i="2"/>
  <c r="AO22" i="2"/>
  <c r="AT22" i="2"/>
  <c r="AY22" i="2"/>
  <c r="AT49" i="2"/>
  <c r="AP49" i="2"/>
  <c r="AY49" i="2"/>
  <c r="AO36" i="2"/>
  <c r="AP36" i="2"/>
  <c r="AU36" i="2"/>
  <c r="AV36" i="2"/>
  <c r="AV33" i="2"/>
  <c r="AS33" i="2"/>
  <c r="AT33" i="2"/>
  <c r="AY33" i="2"/>
  <c r="AO28" i="2"/>
  <c r="AP28" i="2"/>
  <c r="AU28" i="2"/>
  <c r="AV28" i="2"/>
  <c r="AR19" i="2"/>
  <c r="AO19" i="2"/>
  <c r="AP19" i="2"/>
  <c r="AU19" i="2"/>
  <c r="AP15" i="2"/>
  <c r="AQ15" i="2"/>
  <c r="AR15" i="2"/>
  <c r="AX16" i="2"/>
  <c r="AY16" i="2"/>
  <c r="AZ16" i="2"/>
  <c r="AZ13" i="2"/>
  <c r="AW13" i="2"/>
  <c r="AQ13" i="2"/>
  <c r="AU20" i="2"/>
  <c r="AV20" i="2"/>
  <c r="AS20" i="2"/>
  <c r="AT20" i="2"/>
  <c r="AO11" i="2"/>
  <c r="AT11" i="2"/>
  <c r="AU11" i="2"/>
  <c r="BC384" i="2"/>
  <c r="BS384" i="2" s="1"/>
  <c r="AN385" i="2"/>
  <c r="AU385" i="2" s="1"/>
  <c r="AS387" i="2"/>
  <c r="AX387" i="2"/>
  <c r="AP383" i="2"/>
  <c r="AU383" i="2"/>
  <c r="AO384" i="2"/>
  <c r="AP384" i="2"/>
  <c r="AU384" i="2"/>
  <c r="AQ382" i="2"/>
  <c r="AO382" i="2"/>
  <c r="AQ381" i="2"/>
  <c r="AO375" i="2"/>
  <c r="AP375" i="2"/>
  <c r="AV375" i="2"/>
  <c r="AY372" i="2"/>
  <c r="AQ372" i="2"/>
  <c r="AX372" i="2"/>
  <c r="AP372" i="2"/>
  <c r="AW365" i="2"/>
  <c r="AZ365" i="2"/>
  <c r="AV365" i="2"/>
  <c r="AN365" i="2"/>
  <c r="AS365" i="2" s="1"/>
  <c r="AY365" i="2"/>
  <c r="AU365" i="2"/>
  <c r="AX365" i="2"/>
  <c r="AT365" i="2"/>
  <c r="AP365" i="2"/>
  <c r="BC364" i="2"/>
  <c r="BS364" i="2" s="1"/>
  <c r="AX363" i="2"/>
  <c r="AP363" i="2"/>
  <c r="AU363" i="2"/>
  <c r="AT374" i="2"/>
  <c r="AO366" i="2"/>
  <c r="AP366" i="2"/>
  <c r="AU366" i="2"/>
  <c r="AX364" i="2"/>
  <c r="AO364" i="2"/>
  <c r="AY364" i="2"/>
  <c r="AZ357" i="2"/>
  <c r="AW357" i="2"/>
  <c r="BC354" i="2"/>
  <c r="BS354" i="2" s="1"/>
  <c r="AN355" i="2"/>
  <c r="AW355" i="2" s="1"/>
  <c r="AX355" i="2"/>
  <c r="AN353" i="2"/>
  <c r="AT348" i="2"/>
  <c r="AP348" i="2"/>
  <c r="AO348" i="2"/>
  <c r="AV348" i="2"/>
  <c r="AN348" i="2"/>
  <c r="AW348" i="2" s="1"/>
  <c r="AU348" i="2"/>
  <c r="BC347" i="2"/>
  <c r="BS347" i="2" s="1"/>
  <c r="AZ348" i="2"/>
  <c r="AR348" i="2"/>
  <c r="AY348" i="2"/>
  <c r="AQ348" i="2"/>
  <c r="AS342" i="2"/>
  <c r="AT342" i="2"/>
  <c r="AY342" i="2"/>
  <c r="AZ339" i="2"/>
  <c r="AW339" i="2"/>
  <c r="AV347" i="2"/>
  <c r="AS347" i="2"/>
  <c r="AT347" i="2"/>
  <c r="AN346" i="2"/>
  <c r="AO338" i="2"/>
  <c r="AP338" i="2"/>
  <c r="AU338" i="2"/>
  <c r="AV334" i="2"/>
  <c r="AV335" i="2"/>
  <c r="AS335" i="2"/>
  <c r="AS334" i="2"/>
  <c r="AT334" i="2"/>
  <c r="AO350" i="2"/>
  <c r="AX350" i="2"/>
  <c r="AU350" i="2"/>
  <c r="AU326" i="2"/>
  <c r="AV326" i="2"/>
  <c r="AS326" i="2"/>
  <c r="AT323" i="2"/>
  <c r="AY323" i="2"/>
  <c r="AZ323" i="2"/>
  <c r="AV316" i="2"/>
  <c r="AS316" i="2"/>
  <c r="AT316" i="2"/>
  <c r="AV329" i="2"/>
  <c r="AS329" i="2"/>
  <c r="AT329" i="2"/>
  <c r="AN324" i="2"/>
  <c r="AN321" i="2"/>
  <c r="AW332" i="2"/>
  <c r="AY332" i="2"/>
  <c r="AT303" i="2"/>
  <c r="AP303" i="2"/>
  <c r="AS303" i="2"/>
  <c r="AO303" i="2"/>
  <c r="BC302" i="2"/>
  <c r="BS302" i="2" s="1"/>
  <c r="AV303" i="2"/>
  <c r="AR303" i="2"/>
  <c r="AN303" i="2"/>
  <c r="AX303" i="2" s="1"/>
  <c r="AU303" i="2"/>
  <c r="AQ303" i="2"/>
  <c r="AO328" i="2"/>
  <c r="AP328" i="2"/>
  <c r="AU328" i="2"/>
  <c r="AV325" i="2"/>
  <c r="AS325" i="2"/>
  <c r="AT325" i="2"/>
  <c r="AN320" i="2"/>
  <c r="AW318" i="2"/>
  <c r="AY318" i="2"/>
  <c r="AT308" i="2"/>
  <c r="AY308" i="2"/>
  <c r="AZ308" i="2"/>
  <c r="AP300" i="2"/>
  <c r="AU300" i="2"/>
  <c r="AV300" i="2"/>
  <c r="AN309" i="2"/>
  <c r="AO301" i="2"/>
  <c r="AP301" i="2"/>
  <c r="AU301" i="2"/>
  <c r="AV298" i="2"/>
  <c r="AS298" i="2"/>
  <c r="AT298" i="2"/>
  <c r="AZ294" i="2"/>
  <c r="AW294" i="2"/>
  <c r="AT304" i="2"/>
  <c r="AY304" i="2"/>
  <c r="AZ304" i="2"/>
  <c r="AY299" i="2"/>
  <c r="AZ299" i="2"/>
  <c r="AW299" i="2"/>
  <c r="AX286" i="2"/>
  <c r="AT286" i="2"/>
  <c r="AW286" i="2"/>
  <c r="AS286" i="2"/>
  <c r="BC285" i="2"/>
  <c r="BS285" i="2" s="1"/>
  <c r="AZ286" i="2"/>
  <c r="AV286" i="2"/>
  <c r="AN286" i="2"/>
  <c r="AP286" i="2" s="1"/>
  <c r="AY286" i="2"/>
  <c r="AU286" i="2"/>
  <c r="AT270" i="2"/>
  <c r="AP270" i="2"/>
  <c r="AS270" i="2"/>
  <c r="AO270" i="2"/>
  <c r="BC269" i="2"/>
  <c r="BS269" i="2" s="1"/>
  <c r="AV270" i="2"/>
  <c r="AR270" i="2"/>
  <c r="AN270" i="2"/>
  <c r="AX270" i="2" s="1"/>
  <c r="AU270" i="2"/>
  <c r="AQ270" i="2"/>
  <c r="AP314" i="2"/>
  <c r="AT314" i="2"/>
  <c r="AU314" i="2"/>
  <c r="AS305" i="2"/>
  <c r="AT305" i="2"/>
  <c r="AY305" i="2"/>
  <c r="AZ302" i="2"/>
  <c r="AW302" i="2"/>
  <c r="AY290" i="2"/>
  <c r="AQ290" i="2"/>
  <c r="AX290" i="2"/>
  <c r="AP290" i="2"/>
  <c r="AO292" i="2"/>
  <c r="AZ292" i="2"/>
  <c r="AN288" i="2"/>
  <c r="AV285" i="2"/>
  <c r="AS285" i="2"/>
  <c r="AT285" i="2"/>
  <c r="AN284" i="2"/>
  <c r="AO276" i="2"/>
  <c r="AP276" i="2"/>
  <c r="AU276" i="2"/>
  <c r="AV273" i="2"/>
  <c r="AS273" i="2"/>
  <c r="AT273" i="2"/>
  <c r="AN268" i="2"/>
  <c r="AP271" i="2"/>
  <c r="AU271" i="2"/>
  <c r="AV271" i="2"/>
  <c r="AY260" i="2"/>
  <c r="AQ260" i="2"/>
  <c r="AZ261" i="2"/>
  <c r="AW261" i="2"/>
  <c r="AO260" i="2"/>
  <c r="AP260" i="2"/>
  <c r="AS291" i="2"/>
  <c r="AU291" i="2"/>
  <c r="AV277" i="2"/>
  <c r="AS277" i="2"/>
  <c r="AT277" i="2"/>
  <c r="AN272" i="2"/>
  <c r="AO264" i="2"/>
  <c r="AP264" i="2"/>
  <c r="AU264" i="2"/>
  <c r="AN267" i="2"/>
  <c r="AO259" i="2"/>
  <c r="AZ259" i="2"/>
  <c r="AO254" i="2"/>
  <c r="AP254" i="2"/>
  <c r="AU254" i="2"/>
  <c r="AV251" i="2"/>
  <c r="AS251" i="2"/>
  <c r="AT251" i="2"/>
  <c r="AV235" i="2"/>
  <c r="AS235" i="2"/>
  <c r="AT235" i="2"/>
  <c r="AP249" i="2"/>
  <c r="AU249" i="2"/>
  <c r="AV249" i="2"/>
  <c r="AU244" i="2"/>
  <c r="AV244" i="2"/>
  <c r="AS244" i="2"/>
  <c r="AT241" i="2"/>
  <c r="AY241" i="2"/>
  <c r="AZ241" i="2"/>
  <c r="AT233" i="2"/>
  <c r="AY233" i="2"/>
  <c r="AZ233" i="2"/>
  <c r="AY226" i="2"/>
  <c r="AQ226" i="2"/>
  <c r="AZ227" i="2"/>
  <c r="AW227" i="2"/>
  <c r="AW226" i="2"/>
  <c r="AX226" i="2"/>
  <c r="AO250" i="2"/>
  <c r="AP250" i="2"/>
  <c r="AU250" i="2"/>
  <c r="AV247" i="2"/>
  <c r="AS247" i="2"/>
  <c r="AT247" i="2"/>
  <c r="AO234" i="2"/>
  <c r="AP234" i="2"/>
  <c r="AU234" i="2"/>
  <c r="AV231" i="2"/>
  <c r="AS231" i="2"/>
  <c r="AT231" i="2"/>
  <c r="AX202" i="2"/>
  <c r="AT202" i="2"/>
  <c r="AW202" i="2"/>
  <c r="AS202" i="2"/>
  <c r="BC201" i="2"/>
  <c r="BS201" i="2" s="1"/>
  <c r="AZ202" i="2"/>
  <c r="AV202" i="2"/>
  <c r="AN202" i="2"/>
  <c r="AP202" i="2" s="1"/>
  <c r="AY202" i="2"/>
  <c r="AU202" i="2"/>
  <c r="AT186" i="2"/>
  <c r="AP186" i="2"/>
  <c r="AS186" i="2"/>
  <c r="AO186" i="2"/>
  <c r="BC185" i="2"/>
  <c r="BS185" i="2" s="1"/>
  <c r="AV186" i="2"/>
  <c r="AR186" i="2"/>
  <c r="AN186" i="2"/>
  <c r="AX186" i="2" s="1"/>
  <c r="AU186" i="2"/>
  <c r="AQ186" i="2"/>
  <c r="AU262" i="2"/>
  <c r="AV262" i="2"/>
  <c r="AS262" i="2"/>
  <c r="AY256" i="2"/>
  <c r="AZ256" i="2"/>
  <c r="AW256" i="2"/>
  <c r="AP245" i="2"/>
  <c r="AU245" i="2"/>
  <c r="AV245" i="2"/>
  <c r="AU240" i="2"/>
  <c r="AV240" i="2"/>
  <c r="AS240" i="2"/>
  <c r="AO230" i="2"/>
  <c r="AP230" i="2"/>
  <c r="AU230" i="2"/>
  <c r="AZ226" i="2"/>
  <c r="AT229" i="2"/>
  <c r="AW225" i="2"/>
  <c r="AP225" i="2"/>
  <c r="AS220" i="2"/>
  <c r="AT220" i="2"/>
  <c r="AY220" i="2"/>
  <c r="AZ217" i="2"/>
  <c r="AW217" i="2"/>
  <c r="AS204" i="2"/>
  <c r="AT204" i="2"/>
  <c r="AY204" i="2"/>
  <c r="AZ201" i="2"/>
  <c r="AW201" i="2"/>
  <c r="AS188" i="2"/>
  <c r="AT188" i="2"/>
  <c r="AY188" i="2"/>
  <c r="AZ185" i="2"/>
  <c r="AW185" i="2"/>
  <c r="AP215" i="2"/>
  <c r="AU215" i="2"/>
  <c r="AV215" i="2"/>
  <c r="AU210" i="2"/>
  <c r="AV210" i="2"/>
  <c r="AS210" i="2"/>
  <c r="AT207" i="2"/>
  <c r="AY207" i="2"/>
  <c r="AZ207" i="2"/>
  <c r="AX173" i="2"/>
  <c r="AP224" i="2"/>
  <c r="AY224" i="2"/>
  <c r="AZ221" i="2"/>
  <c r="AW221" i="2"/>
  <c r="AZ205" i="2"/>
  <c r="AW205" i="2"/>
  <c r="AZ189" i="2"/>
  <c r="AW189" i="2"/>
  <c r="AS176" i="2"/>
  <c r="AT176" i="2"/>
  <c r="AY176" i="2"/>
  <c r="AX116" i="2"/>
  <c r="AT116" i="2"/>
  <c r="AI115" i="2"/>
  <c r="AW116" i="2"/>
  <c r="AS116" i="2"/>
  <c r="BC115" i="2"/>
  <c r="BS115" i="2" s="1"/>
  <c r="AZ116" i="2"/>
  <c r="AV116" i="2"/>
  <c r="AN116" i="2"/>
  <c r="AP116" i="2" s="1"/>
  <c r="AY116" i="2"/>
  <c r="AU116" i="2"/>
  <c r="AP219" i="2"/>
  <c r="AU219" i="2"/>
  <c r="AV219" i="2"/>
  <c r="AU214" i="2"/>
  <c r="AV214" i="2"/>
  <c r="AS214" i="2"/>
  <c r="AT211" i="2"/>
  <c r="AY211" i="2"/>
  <c r="AZ211" i="2"/>
  <c r="AN179" i="2"/>
  <c r="AR172" i="2"/>
  <c r="AU172" i="2"/>
  <c r="AP169" i="2"/>
  <c r="AY169" i="2"/>
  <c r="AP161" i="2"/>
  <c r="AU161" i="2"/>
  <c r="AV161" i="2"/>
  <c r="AY156" i="2"/>
  <c r="AZ156" i="2"/>
  <c r="AW156" i="2"/>
  <c r="AP145" i="2"/>
  <c r="AU145" i="2"/>
  <c r="AV145" i="2"/>
  <c r="AU140" i="2"/>
  <c r="AV140" i="2"/>
  <c r="AS140" i="2"/>
  <c r="AT137" i="2"/>
  <c r="AY137" i="2"/>
  <c r="AZ137" i="2"/>
  <c r="AN121" i="2"/>
  <c r="AS162" i="2"/>
  <c r="AT162" i="2"/>
  <c r="AY162" i="2"/>
  <c r="AZ159" i="2"/>
  <c r="AW159" i="2"/>
  <c r="AS146" i="2"/>
  <c r="AT146" i="2"/>
  <c r="AY146" i="2"/>
  <c r="AZ143" i="2"/>
  <c r="AW143" i="2"/>
  <c r="AZ127" i="2"/>
  <c r="AW127" i="2"/>
  <c r="AN111" i="2"/>
  <c r="AQ173" i="2"/>
  <c r="AU160" i="2"/>
  <c r="AV160" i="2"/>
  <c r="AS160" i="2"/>
  <c r="AT157" i="2"/>
  <c r="AY157" i="2"/>
  <c r="AZ157" i="2"/>
  <c r="AU144" i="2"/>
  <c r="AV144" i="2"/>
  <c r="AS144" i="2"/>
  <c r="AT141" i="2"/>
  <c r="AY141" i="2"/>
  <c r="AZ141" i="2"/>
  <c r="AY136" i="2"/>
  <c r="AZ136" i="2"/>
  <c r="AW136" i="2"/>
  <c r="AX101" i="2"/>
  <c r="AT101" i="2"/>
  <c r="AP101" i="2"/>
  <c r="AW101" i="2"/>
  <c r="AS101" i="2"/>
  <c r="AO101" i="2"/>
  <c r="BC100" i="2"/>
  <c r="BS100" i="2" s="1"/>
  <c r="AZ101" i="2"/>
  <c r="AV101" i="2"/>
  <c r="AR101" i="2"/>
  <c r="AN101" i="2"/>
  <c r="AY101" i="2"/>
  <c r="AU101" i="2"/>
  <c r="AQ101" i="2"/>
  <c r="BC84" i="2"/>
  <c r="BS84" i="2" s="1"/>
  <c r="AN85" i="2"/>
  <c r="AP85" i="2" s="1"/>
  <c r="BC68" i="2"/>
  <c r="BS68" i="2" s="1"/>
  <c r="AN69" i="2"/>
  <c r="AX69" i="2" s="1"/>
  <c r="AW171" i="2"/>
  <c r="AS171" i="2"/>
  <c r="AP171" i="2"/>
  <c r="AS166" i="2"/>
  <c r="AT166" i="2"/>
  <c r="AY166" i="2"/>
  <c r="AZ163" i="2"/>
  <c r="AW163" i="2"/>
  <c r="AS150" i="2"/>
  <c r="AT150" i="2"/>
  <c r="AY150" i="2"/>
  <c r="AZ147" i="2"/>
  <c r="AW147" i="2"/>
  <c r="AS134" i="2"/>
  <c r="AT134" i="2"/>
  <c r="AY134" i="2"/>
  <c r="AZ131" i="2"/>
  <c r="AW131" i="2"/>
  <c r="AV115" i="2"/>
  <c r="AS115" i="2"/>
  <c r="AU114" i="2"/>
  <c r="AV108" i="2"/>
  <c r="AS108" i="2"/>
  <c r="AT108" i="2"/>
  <c r="AN107" i="2"/>
  <c r="AZ100" i="2"/>
  <c r="AW100" i="2"/>
  <c r="AZ68" i="2"/>
  <c r="AW68" i="2"/>
  <c r="AS55" i="2"/>
  <c r="AT55" i="2"/>
  <c r="AY55" i="2"/>
  <c r="AO23" i="2"/>
  <c r="AN74" i="2"/>
  <c r="AN66" i="2"/>
  <c r="AP52" i="2"/>
  <c r="AW27" i="2"/>
  <c r="AS27" i="2"/>
  <c r="AO27" i="2"/>
  <c r="AR25" i="2"/>
  <c r="AV23" i="2"/>
  <c r="J20" i="2"/>
  <c r="AD26" i="2" s="1"/>
  <c r="N13" i="2"/>
  <c r="AI231" i="2" s="1"/>
  <c r="AS113" i="2"/>
  <c r="AW113" i="2"/>
  <c r="AN94" i="2"/>
  <c r="AV88" i="2"/>
  <c r="AS88" i="2"/>
  <c r="AT88" i="2"/>
  <c r="AN87" i="2"/>
  <c r="AN79" i="2"/>
  <c r="AV72" i="2"/>
  <c r="AS72" i="2"/>
  <c r="AT72" i="2"/>
  <c r="AN67" i="2"/>
  <c r="AV56" i="2"/>
  <c r="AS56" i="2"/>
  <c r="AT56" i="2"/>
  <c r="AY25" i="2"/>
  <c r="BC6" i="2"/>
  <c r="BS6" i="2" s="1"/>
  <c r="AI6" i="2"/>
  <c r="AN7" i="2"/>
  <c r="AY7" i="2" s="1"/>
  <c r="AV7" i="2"/>
  <c r="AP54" i="2"/>
  <c r="AU54" i="2"/>
  <c r="AV54" i="2"/>
  <c r="AY53" i="2"/>
  <c r="AZ53" i="2"/>
  <c r="AW53" i="2"/>
  <c r="J17" i="2"/>
  <c r="AD23" i="2" s="1"/>
  <c r="N10" i="2"/>
  <c r="AI306" i="2" s="1"/>
  <c r="AP39" i="2"/>
  <c r="AU39" i="2"/>
  <c r="AV39" i="2"/>
  <c r="AO50" i="2"/>
  <c r="AZ50" i="2"/>
  <c r="AV45" i="2"/>
  <c r="AS45" i="2"/>
  <c r="AT45" i="2"/>
  <c r="AU34" i="2"/>
  <c r="AV34" i="2"/>
  <c r="AS34" i="2"/>
  <c r="AY30" i="2"/>
  <c r="AZ30" i="2"/>
  <c r="AW30" i="2"/>
  <c r="AX17" i="2"/>
  <c r="AY17" i="2"/>
  <c r="AU46" i="2"/>
  <c r="AV46" i="2"/>
  <c r="AS46" i="2"/>
  <c r="AT43" i="2"/>
  <c r="AY43" i="2"/>
  <c r="AZ43" i="2"/>
  <c r="AP31" i="2"/>
  <c r="AU31" i="2"/>
  <c r="AV31" i="2"/>
  <c r="AN8" i="2"/>
  <c r="AX12" i="2"/>
  <c r="AZ12" i="2"/>
  <c r="AY10" i="2"/>
  <c r="AV10" i="2"/>
  <c r="AW25" i="2"/>
  <c r="AV22" i="2"/>
  <c r="AS22" i="2"/>
  <c r="AS36" i="2"/>
  <c r="AT36" i="2"/>
  <c r="AY36" i="2"/>
  <c r="AZ33" i="2"/>
  <c r="AW33" i="2"/>
  <c r="AS28" i="2"/>
  <c r="AT28" i="2"/>
  <c r="AY28" i="2"/>
  <c r="AV19" i="2"/>
  <c r="AS19" i="2"/>
  <c r="AT19" i="2"/>
  <c r="AP13" i="2"/>
  <c r="AY20" i="2"/>
  <c r="AZ20" i="2"/>
  <c r="AW20" i="2"/>
  <c r="AR11" i="2"/>
  <c r="AS11" i="2"/>
  <c r="AX11" i="2"/>
  <c r="AX12" i="3" l="1"/>
  <c r="AQ12" i="3"/>
  <c r="AR21" i="3"/>
  <c r="AO21" i="3"/>
  <c r="AY21" i="3"/>
  <c r="AV28" i="3"/>
  <c r="AQ28" i="3"/>
  <c r="AS30" i="3"/>
  <c r="AY30" i="3"/>
  <c r="AR32" i="3"/>
  <c r="AQ32" i="3"/>
  <c r="AS34" i="3"/>
  <c r="AY34" i="3"/>
  <c r="AT31" i="3"/>
  <c r="AZ31" i="3"/>
  <c r="AU31" i="3"/>
  <c r="AW31" i="3"/>
  <c r="AU36" i="3"/>
  <c r="AW38" i="3"/>
  <c r="AO40" i="3"/>
  <c r="AT40" i="3"/>
  <c r="AU40" i="3"/>
  <c r="AV42" i="3"/>
  <c r="AW42" i="3"/>
  <c r="AO44" i="3"/>
  <c r="AT44" i="3"/>
  <c r="AU44" i="3"/>
  <c r="AW46" i="3"/>
  <c r="AQ128" i="3"/>
  <c r="AR128" i="3"/>
  <c r="AS128" i="3"/>
  <c r="AY130" i="3"/>
  <c r="AZ130" i="3"/>
  <c r="AP116" i="3"/>
  <c r="AQ116" i="3"/>
  <c r="AR116" i="3"/>
  <c r="AS116" i="3"/>
  <c r="AX148" i="3"/>
  <c r="AY148" i="3"/>
  <c r="AZ148" i="3"/>
  <c r="AV107" i="3"/>
  <c r="AP107" i="3"/>
  <c r="AQ107" i="3"/>
  <c r="AS115" i="3"/>
  <c r="AX115" i="3"/>
  <c r="AY115" i="3"/>
  <c r="AV123" i="3"/>
  <c r="AP123" i="3"/>
  <c r="AQ123" i="3"/>
  <c r="AS131" i="3"/>
  <c r="AX131" i="3"/>
  <c r="AY131" i="3"/>
  <c r="AV139" i="3"/>
  <c r="AP139" i="3"/>
  <c r="AQ139" i="3"/>
  <c r="AS147" i="3"/>
  <c r="AX147" i="3"/>
  <c r="AY147" i="3"/>
  <c r="AP248" i="3"/>
  <c r="AU248" i="3"/>
  <c r="AV248" i="3"/>
  <c r="AW248" i="3"/>
  <c r="AW255" i="3"/>
  <c r="AU255" i="3"/>
  <c r="AZ255" i="3"/>
  <c r="AP226" i="3"/>
  <c r="AT226" i="3"/>
  <c r="AY226" i="3"/>
  <c r="AT228" i="3"/>
  <c r="AQ228" i="3"/>
  <c r="AR228" i="3"/>
  <c r="AS228" i="3"/>
  <c r="AP246" i="3"/>
  <c r="AQ246" i="3"/>
  <c r="AR246" i="3"/>
  <c r="AS246" i="3"/>
  <c r="AZ233" i="3"/>
  <c r="AW233" i="3"/>
  <c r="AR241" i="3"/>
  <c r="AO241" i="3"/>
  <c r="AT241" i="3"/>
  <c r="AU241" i="3"/>
  <c r="AZ249" i="3"/>
  <c r="AW249" i="3"/>
  <c r="AX345" i="3"/>
  <c r="AQ345" i="3"/>
  <c r="AR345" i="3"/>
  <c r="AS345" i="3"/>
  <c r="AX347" i="3"/>
  <c r="AU347" i="3"/>
  <c r="AV347" i="3"/>
  <c r="AW347" i="3"/>
  <c r="AV94" i="3"/>
  <c r="AZ94" i="3"/>
  <c r="AO94" i="3"/>
  <c r="AT124" i="3"/>
  <c r="AU124" i="3"/>
  <c r="AV124" i="3"/>
  <c r="AW124" i="3"/>
  <c r="AZ129" i="3"/>
  <c r="AP129" i="3"/>
  <c r="AQ129" i="3"/>
  <c r="AO232" i="3"/>
  <c r="AZ247" i="3"/>
  <c r="AS247" i="3"/>
  <c r="AX247" i="3"/>
  <c r="AY247" i="3"/>
  <c r="AY349" i="3"/>
  <c r="AU349" i="3"/>
  <c r="AZ349" i="3"/>
  <c r="AR20" i="3"/>
  <c r="AU20" i="3"/>
  <c r="AX20" i="3"/>
  <c r="AY20" i="3"/>
  <c r="AO20" i="3"/>
  <c r="AQ20" i="3"/>
  <c r="AT20" i="3"/>
  <c r="AZ20" i="3"/>
  <c r="AW20" i="3"/>
  <c r="AS20" i="3"/>
  <c r="AP20" i="3"/>
  <c r="AV20" i="3"/>
  <c r="AO6" i="3"/>
  <c r="AV6" i="3"/>
  <c r="AR6" i="3"/>
  <c r="AY6" i="3"/>
  <c r="AR25" i="3"/>
  <c r="AS25" i="3"/>
  <c r="AQ35" i="3"/>
  <c r="AR35" i="3"/>
  <c r="AS35" i="3"/>
  <c r="AP93" i="3"/>
  <c r="AS93" i="3"/>
  <c r="AY93" i="3"/>
  <c r="AZ101" i="3"/>
  <c r="AO101" i="3"/>
  <c r="AQ101" i="3"/>
  <c r="AO142" i="3"/>
  <c r="AR33" i="3"/>
  <c r="AV33" i="3"/>
  <c r="AQ33" i="3"/>
  <c r="AS33" i="3"/>
  <c r="AX39" i="3"/>
  <c r="AY39" i="3"/>
  <c r="AZ39" i="3"/>
  <c r="AX91" i="3"/>
  <c r="AS91" i="3"/>
  <c r="AY91" i="3"/>
  <c r="AZ99" i="3"/>
  <c r="AV99" i="3"/>
  <c r="AQ99" i="3"/>
  <c r="AP134" i="3"/>
  <c r="AU134" i="3"/>
  <c r="AV134" i="3"/>
  <c r="AW134" i="3"/>
  <c r="AO120" i="3"/>
  <c r="AV92" i="3"/>
  <c r="AZ92" i="3"/>
  <c r="AO92" i="3"/>
  <c r="AX96" i="3"/>
  <c r="AU96" i="3"/>
  <c r="AW96" i="3"/>
  <c r="AV100" i="3"/>
  <c r="AZ100" i="3"/>
  <c r="AO100" i="3"/>
  <c r="AX122" i="3"/>
  <c r="AU122" i="3"/>
  <c r="AV122" i="3"/>
  <c r="AW122" i="3"/>
  <c r="AO108" i="3"/>
  <c r="AT140" i="3"/>
  <c r="AU140" i="3"/>
  <c r="AV140" i="3"/>
  <c r="AW140" i="3"/>
  <c r="AW109" i="3"/>
  <c r="AV117" i="3"/>
  <c r="AO117" i="3"/>
  <c r="AT117" i="3"/>
  <c r="AU117" i="3"/>
  <c r="AW125" i="3"/>
  <c r="AV133" i="3"/>
  <c r="AO133" i="3"/>
  <c r="AT133" i="3"/>
  <c r="AU133" i="3"/>
  <c r="AW141" i="3"/>
  <c r="AV149" i="3"/>
  <c r="AO149" i="3"/>
  <c r="AT149" i="3"/>
  <c r="AU149" i="3"/>
  <c r="AU250" i="3"/>
  <c r="AV250" i="3"/>
  <c r="AW250" i="3"/>
  <c r="AO12" i="3"/>
  <c r="AV12" i="3"/>
  <c r="AU12" i="3"/>
  <c r="AV21" i="3"/>
  <c r="AS21" i="3"/>
  <c r="AP21" i="3"/>
  <c r="AR28" i="3"/>
  <c r="AO28" i="3"/>
  <c r="AU28" i="3"/>
  <c r="AV30" i="3"/>
  <c r="AT30" i="3"/>
  <c r="AW30" i="3"/>
  <c r="AP32" i="3"/>
  <c r="AZ32" i="3"/>
  <c r="AO32" i="3"/>
  <c r="AU32" i="3"/>
  <c r="AV34" i="3"/>
  <c r="AT34" i="3"/>
  <c r="AW34" i="3"/>
  <c r="AP31" i="3"/>
  <c r="AY31" i="3"/>
  <c r="AZ36" i="3"/>
  <c r="AS36" i="3"/>
  <c r="AX36" i="3"/>
  <c r="AY36" i="3"/>
  <c r="AR38" i="3"/>
  <c r="AP38" i="3"/>
  <c r="AQ38" i="3"/>
  <c r="AZ40" i="3"/>
  <c r="AS40" i="3"/>
  <c r="AX40" i="3"/>
  <c r="AY40" i="3"/>
  <c r="AZ42" i="3"/>
  <c r="AP42" i="3"/>
  <c r="AQ42" i="3"/>
  <c r="AR44" i="3"/>
  <c r="AS44" i="3"/>
  <c r="AX44" i="3"/>
  <c r="AY44" i="3"/>
  <c r="AR46" i="3"/>
  <c r="AP46" i="3"/>
  <c r="AQ46" i="3"/>
  <c r="AU128" i="3"/>
  <c r="AV128" i="3"/>
  <c r="AW128" i="3"/>
  <c r="AO130" i="3"/>
  <c r="AV116" i="3"/>
  <c r="AW116" i="3"/>
  <c r="AO148" i="3"/>
  <c r="AZ107" i="3"/>
  <c r="AO107" i="3"/>
  <c r="AT107" i="3"/>
  <c r="AU107" i="3"/>
  <c r="AR115" i="3"/>
  <c r="AW115" i="3"/>
  <c r="AZ123" i="3"/>
  <c r="AO123" i="3"/>
  <c r="AT123" i="3"/>
  <c r="AU123" i="3"/>
  <c r="AR131" i="3"/>
  <c r="AW131" i="3"/>
  <c r="AZ139" i="3"/>
  <c r="AO139" i="3"/>
  <c r="AT139" i="3"/>
  <c r="AU139" i="3"/>
  <c r="AR147" i="3"/>
  <c r="AW147" i="3"/>
  <c r="AT248" i="3"/>
  <c r="AY248" i="3"/>
  <c r="AZ248" i="3"/>
  <c r="AP255" i="3"/>
  <c r="AX226" i="3"/>
  <c r="AO226" i="3"/>
  <c r="AX228" i="3"/>
  <c r="AU228" i="3"/>
  <c r="AV228" i="3"/>
  <c r="AW228" i="3"/>
  <c r="AU246" i="3"/>
  <c r="AV246" i="3"/>
  <c r="AW246" i="3"/>
  <c r="AP233" i="3"/>
  <c r="AQ233" i="3"/>
  <c r="AV241" i="3"/>
  <c r="AS241" i="3"/>
  <c r="AX241" i="3"/>
  <c r="AY241" i="3"/>
  <c r="AP249" i="3"/>
  <c r="AQ249" i="3"/>
  <c r="AU345" i="3"/>
  <c r="AV345" i="3"/>
  <c r="AW345" i="3"/>
  <c r="AY347" i="3"/>
  <c r="AZ347" i="3"/>
  <c r="AW350" i="3"/>
  <c r="AS350" i="3"/>
  <c r="AP350" i="3"/>
  <c r="AZ350" i="3"/>
  <c r="AY350" i="3"/>
  <c r="AX350" i="3"/>
  <c r="AO350" i="3"/>
  <c r="AR350" i="3"/>
  <c r="AV350" i="3"/>
  <c r="AU350" i="3"/>
  <c r="AT350" i="3"/>
  <c r="AQ350" i="3"/>
  <c r="AT94" i="3"/>
  <c r="AP94" i="3"/>
  <c r="AQ94" i="3"/>
  <c r="AS94" i="3"/>
  <c r="AX124" i="3"/>
  <c r="AY124" i="3"/>
  <c r="AZ124" i="3"/>
  <c r="AO129" i="3"/>
  <c r="AT129" i="3"/>
  <c r="AU129" i="3"/>
  <c r="AQ232" i="3"/>
  <c r="AR232" i="3"/>
  <c r="AS232" i="3"/>
  <c r="AW247" i="3"/>
  <c r="AS349" i="3"/>
  <c r="AS6" i="3"/>
  <c r="AP6" i="3"/>
  <c r="AZ6" i="3"/>
  <c r="AZ25" i="3"/>
  <c r="AQ25" i="3"/>
  <c r="AW25" i="3"/>
  <c r="AP35" i="3"/>
  <c r="AU35" i="3"/>
  <c r="AV35" i="3"/>
  <c r="AW35" i="3"/>
  <c r="AW93" i="3"/>
  <c r="AX101" i="3"/>
  <c r="AT101" i="3"/>
  <c r="AS101" i="3"/>
  <c r="AU101" i="3"/>
  <c r="AR142" i="3"/>
  <c r="AS142" i="3"/>
  <c r="AU33" i="3"/>
  <c r="AW33" i="3"/>
  <c r="AO39" i="3"/>
  <c r="AW91" i="3"/>
  <c r="AP99" i="3"/>
  <c r="AT99" i="3"/>
  <c r="AO99" i="3"/>
  <c r="AU99" i="3"/>
  <c r="AT134" i="3"/>
  <c r="AY134" i="3"/>
  <c r="AZ134" i="3"/>
  <c r="AX120" i="3"/>
  <c r="AQ120" i="3"/>
  <c r="AR120" i="3"/>
  <c r="AS120" i="3"/>
  <c r="AP92" i="3"/>
  <c r="AQ92" i="3"/>
  <c r="AS92" i="3"/>
  <c r="AR96" i="3"/>
  <c r="AY96" i="3"/>
  <c r="AT100" i="3"/>
  <c r="AP100" i="3"/>
  <c r="AQ100" i="3"/>
  <c r="AS100" i="3"/>
  <c r="AY122" i="3"/>
  <c r="AZ122" i="3"/>
  <c r="AP108" i="3"/>
  <c r="AQ108" i="3"/>
  <c r="AR108" i="3"/>
  <c r="AS108" i="3"/>
  <c r="AX140" i="3"/>
  <c r="AY140" i="3"/>
  <c r="AZ140" i="3"/>
  <c r="AR109" i="3"/>
  <c r="AP109" i="3"/>
  <c r="AQ109" i="3"/>
  <c r="AZ117" i="3"/>
  <c r="AS117" i="3"/>
  <c r="AX117" i="3"/>
  <c r="AY117" i="3"/>
  <c r="AR125" i="3"/>
  <c r="AP125" i="3"/>
  <c r="AQ125" i="3"/>
  <c r="AZ133" i="3"/>
  <c r="AS133" i="3"/>
  <c r="AX133" i="3"/>
  <c r="AY133" i="3"/>
  <c r="AR141" i="3"/>
  <c r="AP141" i="3"/>
  <c r="AQ141" i="3"/>
  <c r="AZ149" i="3"/>
  <c r="AS149" i="3"/>
  <c r="AX149" i="3"/>
  <c r="AY149" i="3"/>
  <c r="AP250" i="3"/>
  <c r="AY250" i="3"/>
  <c r="AZ250" i="3"/>
  <c r="AO27" i="3"/>
  <c r="AX27" i="3"/>
  <c r="AV27" i="3"/>
  <c r="AY27" i="3"/>
  <c r="AP27" i="3"/>
  <c r="AQ27" i="3"/>
  <c r="AW27" i="3"/>
  <c r="AU27" i="3"/>
  <c r="AZ27" i="3"/>
  <c r="AT27" i="3"/>
  <c r="AS27" i="3"/>
  <c r="AR27" i="3"/>
  <c r="AS12" i="3"/>
  <c r="AP12" i="3"/>
  <c r="AR12" i="3"/>
  <c r="AY12" i="3"/>
  <c r="AZ21" i="3"/>
  <c r="AW21" i="3"/>
  <c r="AT21" i="3"/>
  <c r="AP28" i="3"/>
  <c r="AZ28" i="3"/>
  <c r="AS28" i="3"/>
  <c r="AY28" i="3"/>
  <c r="AR30" i="3"/>
  <c r="AQ30" i="3"/>
  <c r="AS32" i="3"/>
  <c r="AY32" i="3"/>
  <c r="AR34" i="3"/>
  <c r="AQ34" i="3"/>
  <c r="AX31" i="3"/>
  <c r="AO31" i="3"/>
  <c r="AR36" i="3"/>
  <c r="AW36" i="3"/>
  <c r="AV38" i="3"/>
  <c r="AO38" i="3"/>
  <c r="AT38" i="3"/>
  <c r="AU38" i="3"/>
  <c r="AR40" i="3"/>
  <c r="AW40" i="3"/>
  <c r="AO42" i="3"/>
  <c r="AT42" i="3"/>
  <c r="AU42" i="3"/>
  <c r="AZ44" i="3"/>
  <c r="AW44" i="3"/>
  <c r="AZ46" i="3"/>
  <c r="AO46" i="3"/>
  <c r="AT46" i="3"/>
  <c r="AU46" i="3"/>
  <c r="AP128" i="3"/>
  <c r="AY128" i="3"/>
  <c r="AZ128" i="3"/>
  <c r="AT130" i="3"/>
  <c r="AQ130" i="3"/>
  <c r="AR130" i="3"/>
  <c r="AS130" i="3"/>
  <c r="AX116" i="3"/>
  <c r="AY116" i="3"/>
  <c r="AZ116" i="3"/>
  <c r="AP148" i="3"/>
  <c r="AQ148" i="3"/>
  <c r="AR148" i="3"/>
  <c r="AS148" i="3"/>
  <c r="AS107" i="3"/>
  <c r="AX107" i="3"/>
  <c r="AY107" i="3"/>
  <c r="AV115" i="3"/>
  <c r="AP115" i="3"/>
  <c r="AQ115" i="3"/>
  <c r="AS123" i="3"/>
  <c r="AX123" i="3"/>
  <c r="AY123" i="3"/>
  <c r="AV131" i="3"/>
  <c r="AP131" i="3"/>
  <c r="AQ131" i="3"/>
  <c r="AS139" i="3"/>
  <c r="AX139" i="3"/>
  <c r="AY139" i="3"/>
  <c r="AV147" i="3"/>
  <c r="AP147" i="3"/>
  <c r="AQ147" i="3"/>
  <c r="AO248" i="3"/>
  <c r="AY255" i="3"/>
  <c r="AR255" i="3"/>
  <c r="AT255" i="3"/>
  <c r="AR226" i="3"/>
  <c r="AQ226" i="3"/>
  <c r="AS226" i="3"/>
  <c r="AY228" i="3"/>
  <c r="AZ228" i="3"/>
  <c r="AX246" i="3"/>
  <c r="AY246" i="3"/>
  <c r="AZ246" i="3"/>
  <c r="AR233" i="3"/>
  <c r="AO233" i="3"/>
  <c r="AT233" i="3"/>
  <c r="AU233" i="3"/>
  <c r="AZ241" i="3"/>
  <c r="AW241" i="3"/>
  <c r="AR249" i="3"/>
  <c r="AO249" i="3"/>
  <c r="AT249" i="3"/>
  <c r="AU249" i="3"/>
  <c r="AR342" i="3"/>
  <c r="AQ342" i="3"/>
  <c r="AP342" i="3"/>
  <c r="AT342" i="3"/>
  <c r="AW342" i="3"/>
  <c r="AZ342" i="3"/>
  <c r="AY342" i="3"/>
  <c r="AX342" i="3"/>
  <c r="AS342" i="3"/>
  <c r="AV342" i="3"/>
  <c r="AU342" i="3"/>
  <c r="AO342" i="3"/>
  <c r="AO347" i="3"/>
  <c r="BT4" i="3"/>
  <c r="AX94" i="3"/>
  <c r="AU94" i="3"/>
  <c r="AW94" i="3"/>
  <c r="AO124" i="3"/>
  <c r="AR129" i="3"/>
  <c r="AS129" i="3"/>
  <c r="AX129" i="3"/>
  <c r="AY129" i="3"/>
  <c r="AP232" i="3"/>
  <c r="AU232" i="3"/>
  <c r="AV232" i="3"/>
  <c r="AW232" i="3"/>
  <c r="AR247" i="3"/>
  <c r="AP247" i="3"/>
  <c r="AQ247" i="3"/>
  <c r="AP349" i="3"/>
  <c r="AR349" i="3"/>
  <c r="AW349" i="3"/>
  <c r="AW6" i="3"/>
  <c r="AT6" i="3"/>
  <c r="AQ6" i="3"/>
  <c r="AX25" i="3"/>
  <c r="AO25" i="3"/>
  <c r="AP25" i="3"/>
  <c r="AU25" i="3"/>
  <c r="AX35" i="3"/>
  <c r="AY35" i="3"/>
  <c r="AZ35" i="3"/>
  <c r="AV93" i="3"/>
  <c r="AQ93" i="3"/>
  <c r="AW101" i="3"/>
  <c r="AY101" i="3"/>
  <c r="AO134" i="3"/>
  <c r="AO122" i="3"/>
  <c r="AO140" i="3"/>
  <c r="AU109" i="3"/>
  <c r="AW117" i="3"/>
  <c r="AO125" i="3"/>
  <c r="AT125" i="3"/>
  <c r="AU125" i="3"/>
  <c r="AW133" i="3"/>
  <c r="AO141" i="3"/>
  <c r="AT141" i="3"/>
  <c r="AU141" i="3"/>
  <c r="AW149" i="3"/>
  <c r="AO250" i="3"/>
  <c r="AW12" i="3"/>
  <c r="AT12" i="3"/>
  <c r="AU21" i="3"/>
  <c r="AQ21" i="3"/>
  <c r="AX28" i="3"/>
  <c r="AT28" i="3"/>
  <c r="AP30" i="3"/>
  <c r="AZ30" i="3"/>
  <c r="AO30" i="3"/>
  <c r="AV32" i="3"/>
  <c r="AT32" i="3"/>
  <c r="AP34" i="3"/>
  <c r="AZ34" i="3"/>
  <c r="AO34" i="3"/>
  <c r="AR31" i="3"/>
  <c r="AV31" i="3"/>
  <c r="AQ31" i="3"/>
  <c r="AP36" i="3"/>
  <c r="AZ38" i="3"/>
  <c r="AS38" i="3"/>
  <c r="AX38" i="3"/>
  <c r="AV40" i="3"/>
  <c r="AP40" i="3"/>
  <c r="AR42" i="3"/>
  <c r="AS42" i="3"/>
  <c r="AX42" i="3"/>
  <c r="AP44" i="3"/>
  <c r="AV46" i="3"/>
  <c r="AS46" i="3"/>
  <c r="AX46" i="3"/>
  <c r="AX130" i="3"/>
  <c r="AU130" i="3"/>
  <c r="AV130" i="3"/>
  <c r="AT148" i="3"/>
  <c r="AU148" i="3"/>
  <c r="AV148" i="3"/>
  <c r="AR107" i="3"/>
  <c r="AZ115" i="3"/>
  <c r="AO115" i="3"/>
  <c r="AT115" i="3"/>
  <c r="AR123" i="3"/>
  <c r="AZ131" i="3"/>
  <c r="AO131" i="3"/>
  <c r="AT131" i="3"/>
  <c r="AR139" i="3"/>
  <c r="AZ147" i="3"/>
  <c r="AO147" i="3"/>
  <c r="AT147" i="3"/>
  <c r="AQ248" i="3"/>
  <c r="AR248" i="3"/>
  <c r="AO255" i="3"/>
  <c r="AS255" i="3"/>
  <c r="AV255" i="3"/>
  <c r="AV226" i="3"/>
  <c r="AZ226" i="3"/>
  <c r="AU226" i="3"/>
  <c r="AV233" i="3"/>
  <c r="AS233" i="3"/>
  <c r="AX233" i="3"/>
  <c r="AP241" i="3"/>
  <c r="AV249" i="3"/>
  <c r="AS249" i="3"/>
  <c r="AX249" i="3"/>
  <c r="AT347" i="3"/>
  <c r="AQ347" i="3"/>
  <c r="AR347" i="3"/>
  <c r="AR94" i="3"/>
  <c r="AP124" i="3"/>
  <c r="AQ124" i="3"/>
  <c r="AR124" i="3"/>
  <c r="AV129" i="3"/>
  <c r="AT232" i="3"/>
  <c r="AY232" i="3"/>
  <c r="AV247" i="3"/>
  <c r="AO247" i="3"/>
  <c r="AT247" i="3"/>
  <c r="AQ349" i="3"/>
  <c r="AO349" i="3"/>
  <c r="AX6" i="3"/>
  <c r="AT25" i="3"/>
  <c r="AV25" i="3"/>
  <c r="AX93" i="3"/>
  <c r="AT93" i="3"/>
  <c r="AO93" i="3"/>
  <c r="AR101" i="3"/>
  <c r="AT142" i="3"/>
  <c r="AY142" i="3"/>
  <c r="AX33" i="3"/>
  <c r="AT39" i="3"/>
  <c r="AU39" i="3"/>
  <c r="AV39" i="3"/>
  <c r="AP91" i="3"/>
  <c r="AT91" i="3"/>
  <c r="AO91" i="3"/>
  <c r="AQ134" i="3"/>
  <c r="AR134" i="3"/>
  <c r="AP120" i="3"/>
  <c r="AY120" i="3"/>
  <c r="AR92" i="3"/>
  <c r="AT96" i="3"/>
  <c r="AP96" i="3"/>
  <c r="AQ96" i="3"/>
  <c r="AR100" i="3"/>
  <c r="AT122" i="3"/>
  <c r="AQ122" i="3"/>
  <c r="AR122" i="3"/>
  <c r="AX108" i="3"/>
  <c r="AY108" i="3"/>
  <c r="AP140" i="3"/>
  <c r="AQ140" i="3"/>
  <c r="AR140" i="3"/>
  <c r="AZ109" i="3"/>
  <c r="AS109" i="3"/>
  <c r="AX109" i="3"/>
  <c r="AR117" i="3"/>
  <c r="AP117" i="3"/>
  <c r="AZ125" i="3"/>
  <c r="AS125" i="3"/>
  <c r="AX125" i="3"/>
  <c r="AR133" i="3"/>
  <c r="AP133" i="3"/>
  <c r="AZ141" i="3"/>
  <c r="AS141" i="3"/>
  <c r="AX141" i="3"/>
  <c r="AR149" i="3"/>
  <c r="AP149" i="3"/>
  <c r="AX250" i="3"/>
  <c r="AQ250" i="3"/>
  <c r="AR250" i="3"/>
  <c r="AT223" i="3"/>
  <c r="AP223" i="3"/>
  <c r="AW223" i="3"/>
  <c r="AR227" i="3"/>
  <c r="AP227" i="3"/>
  <c r="AW227" i="3"/>
  <c r="AU227" i="3"/>
  <c r="AX238" i="3"/>
  <c r="AY238" i="3"/>
  <c r="AZ238" i="3"/>
  <c r="AZ235" i="3"/>
  <c r="AP235" i="3"/>
  <c r="AQ235" i="3"/>
  <c r="AR243" i="3"/>
  <c r="AS243" i="3"/>
  <c r="AX243" i="3"/>
  <c r="AY243" i="3"/>
  <c r="AO251" i="3"/>
  <c r="AP251" i="3"/>
  <c r="AU251" i="3"/>
  <c r="AY19" i="3"/>
  <c r="AZ19" i="3"/>
  <c r="AU19" i="3"/>
  <c r="AP118" i="3"/>
  <c r="AU118" i="3"/>
  <c r="AV118" i="3"/>
  <c r="AW118" i="3"/>
  <c r="AQ37" i="3"/>
  <c r="AR37" i="3"/>
  <c r="AS37" i="3"/>
  <c r="AP126" i="3"/>
  <c r="AU126" i="3"/>
  <c r="AV126" i="3"/>
  <c r="AW126" i="3"/>
  <c r="AX95" i="3"/>
  <c r="AS95" i="3"/>
  <c r="AY95" i="3"/>
  <c r="AP104" i="3"/>
  <c r="AY104" i="3"/>
  <c r="AZ104" i="3"/>
  <c r="AX136" i="3"/>
  <c r="AQ136" i="3"/>
  <c r="AR136" i="3"/>
  <c r="AS136" i="3"/>
  <c r="AR90" i="3"/>
  <c r="AY90" i="3"/>
  <c r="AT106" i="3"/>
  <c r="AQ106" i="3"/>
  <c r="AR106" i="3"/>
  <c r="AS106" i="3"/>
  <c r="AY138" i="3"/>
  <c r="AZ138" i="3"/>
  <c r="AO105" i="3"/>
  <c r="AT105" i="3"/>
  <c r="AU105" i="3"/>
  <c r="AV121" i="3"/>
  <c r="AW121" i="3"/>
  <c r="AO145" i="3"/>
  <c r="AT145" i="3"/>
  <c r="AU145" i="3"/>
  <c r="AU234" i="3"/>
  <c r="AV234" i="3"/>
  <c r="AW234" i="3"/>
  <c r="AR239" i="3"/>
  <c r="AP239" i="3"/>
  <c r="AQ239" i="3"/>
  <c r="AO341" i="3"/>
  <c r="AZ344" i="3"/>
  <c r="AW344" i="3"/>
  <c r="AQ344" i="3"/>
  <c r="AV344" i="3"/>
  <c r="AY344" i="3"/>
  <c r="AX344" i="3"/>
  <c r="AS344" i="3"/>
  <c r="AR344" i="3"/>
  <c r="AU344" i="3"/>
  <c r="AT344" i="3"/>
  <c r="AO344" i="3"/>
  <c r="AP344" i="3"/>
  <c r="AQ343" i="3"/>
  <c r="AR343" i="3"/>
  <c r="AS343" i="3"/>
  <c r="AX43" i="3"/>
  <c r="AY43" i="3"/>
  <c r="AZ43" i="3"/>
  <c r="AX48" i="3"/>
  <c r="AQ48" i="3"/>
  <c r="AR48" i="3"/>
  <c r="AS48" i="3"/>
  <c r="AY150" i="3"/>
  <c r="AO150" i="3"/>
  <c r="AX150" i="3"/>
  <c r="AZ150" i="3"/>
  <c r="AO45" i="3"/>
  <c r="AT110" i="3"/>
  <c r="AY110" i="3"/>
  <c r="AZ110" i="3"/>
  <c r="AP102" i="3"/>
  <c r="AU102" i="3"/>
  <c r="AV102" i="3"/>
  <c r="AW102" i="3"/>
  <c r="AO112" i="3"/>
  <c r="AU144" i="3"/>
  <c r="AV144" i="3"/>
  <c r="AW144" i="3"/>
  <c r="AY114" i="3"/>
  <c r="AZ114" i="3"/>
  <c r="AT146" i="3"/>
  <c r="AQ146" i="3"/>
  <c r="AR146" i="3"/>
  <c r="AS146" i="3"/>
  <c r="AX132" i="3"/>
  <c r="AY132" i="3"/>
  <c r="AZ132" i="3"/>
  <c r="AP103" i="3"/>
  <c r="AQ103" i="3"/>
  <c r="AV111" i="3"/>
  <c r="AS111" i="3"/>
  <c r="AX111" i="3"/>
  <c r="AY111" i="3"/>
  <c r="AP119" i="3"/>
  <c r="AQ119" i="3"/>
  <c r="AV127" i="3"/>
  <c r="AS127" i="3"/>
  <c r="AX127" i="3"/>
  <c r="AY127" i="3"/>
  <c r="AP135" i="3"/>
  <c r="AQ135" i="3"/>
  <c r="AV143" i="3"/>
  <c r="AS143" i="3"/>
  <c r="AX143" i="3"/>
  <c r="AY143" i="3"/>
  <c r="AO240" i="3"/>
  <c r="AX223" i="3"/>
  <c r="AQ223" i="3"/>
  <c r="AT227" i="3"/>
  <c r="AZ227" i="3"/>
  <c r="AX227" i="3"/>
  <c r="AY227" i="3"/>
  <c r="AO238" i="3"/>
  <c r="AO235" i="3"/>
  <c r="AT235" i="3"/>
  <c r="AU235" i="3"/>
  <c r="AV243" i="3"/>
  <c r="AW243" i="3"/>
  <c r="AS251" i="3"/>
  <c r="AT251" i="3"/>
  <c r="AY251" i="3"/>
  <c r="AV254" i="3"/>
  <c r="AQ254" i="3"/>
  <c r="AZ254" i="3"/>
  <c r="AU254" i="3"/>
  <c r="AO254" i="3"/>
  <c r="AW254" i="3"/>
  <c r="AR254" i="3"/>
  <c r="AP254" i="3"/>
  <c r="AT254" i="3"/>
  <c r="AX254" i="3"/>
  <c r="AS254" i="3"/>
  <c r="AY254" i="3"/>
  <c r="AO19" i="3"/>
  <c r="AP19" i="3"/>
  <c r="AT118" i="3"/>
  <c r="AY118" i="3"/>
  <c r="AZ118" i="3"/>
  <c r="T385" i="3"/>
  <c r="Y385" i="3" s="1"/>
  <c r="T383" i="3"/>
  <c r="Y383" i="3" s="1"/>
  <c r="T384" i="3"/>
  <c r="Y384" i="3" s="1"/>
  <c r="T382" i="3"/>
  <c r="Y382" i="3" s="1"/>
  <c r="T381" i="3"/>
  <c r="Y381" i="3" s="1"/>
  <c r="T379" i="3"/>
  <c r="Y379" i="3" s="1"/>
  <c r="T377" i="3"/>
  <c r="Y377" i="3" s="1"/>
  <c r="T376" i="3"/>
  <c r="Y376" i="3" s="1"/>
  <c r="T374" i="3"/>
  <c r="Y374" i="3" s="1"/>
  <c r="T372" i="3"/>
  <c r="Y372" i="3" s="1"/>
  <c r="T370" i="3"/>
  <c r="Y370" i="3" s="1"/>
  <c r="T380" i="3"/>
  <c r="Y380" i="3" s="1"/>
  <c r="T373" i="3"/>
  <c r="Y373" i="3" s="1"/>
  <c r="T369" i="3"/>
  <c r="Y369" i="3" s="1"/>
  <c r="T367" i="3"/>
  <c r="Y367" i="3" s="1"/>
  <c r="T386" i="3"/>
  <c r="Y386" i="3" s="1"/>
  <c r="T371" i="3"/>
  <c r="Y371" i="3" s="1"/>
  <c r="T356" i="3"/>
  <c r="Y356" i="3" s="1"/>
  <c r="T354" i="3"/>
  <c r="Y354" i="3" s="1"/>
  <c r="T352" i="3"/>
  <c r="Y352" i="3" s="1"/>
  <c r="T350" i="3"/>
  <c r="Y350" i="3" s="1"/>
  <c r="T378" i="3"/>
  <c r="Y378" i="3" s="1"/>
  <c r="T368" i="3"/>
  <c r="Y368" i="3" s="1"/>
  <c r="T366" i="3"/>
  <c r="Y366" i="3" s="1"/>
  <c r="T348" i="3"/>
  <c r="Y348" i="3" s="1"/>
  <c r="T346" i="3"/>
  <c r="Y346" i="3" s="1"/>
  <c r="T344" i="3"/>
  <c r="Y344" i="3" s="1"/>
  <c r="T342" i="3"/>
  <c r="Y342" i="3" s="1"/>
  <c r="T340" i="3"/>
  <c r="Y340" i="3" s="1"/>
  <c r="T375" i="3"/>
  <c r="Y375" i="3" s="1"/>
  <c r="T365" i="3"/>
  <c r="Y365" i="3" s="1"/>
  <c r="T363" i="3"/>
  <c r="Y363" i="3" s="1"/>
  <c r="T361" i="3"/>
  <c r="Y361" i="3" s="1"/>
  <c r="T359" i="3"/>
  <c r="Y359" i="3" s="1"/>
  <c r="T357" i="3"/>
  <c r="Y357" i="3" s="1"/>
  <c r="T355" i="3"/>
  <c r="Y355" i="3" s="1"/>
  <c r="T353" i="3"/>
  <c r="Y353" i="3" s="1"/>
  <c r="T351" i="3"/>
  <c r="Y351" i="3" s="1"/>
  <c r="T337" i="3"/>
  <c r="Y337" i="3" s="1"/>
  <c r="T335" i="3"/>
  <c r="Y335" i="3" s="1"/>
  <c r="T332" i="3"/>
  <c r="Y332" i="3" s="1"/>
  <c r="T330" i="3"/>
  <c r="Y330" i="3" s="1"/>
  <c r="T328" i="3"/>
  <c r="Y328" i="3" s="1"/>
  <c r="T326" i="3"/>
  <c r="Y326" i="3" s="1"/>
  <c r="T324" i="3"/>
  <c r="Y324" i="3" s="1"/>
  <c r="T322" i="3"/>
  <c r="Y322" i="3" s="1"/>
  <c r="T320" i="3"/>
  <c r="Y320" i="3" s="1"/>
  <c r="T338" i="3"/>
  <c r="Y338" i="3" s="1"/>
  <c r="T334" i="3"/>
  <c r="Y334" i="3" s="1"/>
  <c r="T336" i="3"/>
  <c r="Y336" i="3" s="1"/>
  <c r="T333" i="3"/>
  <c r="Y333" i="3" s="1"/>
  <c r="T331" i="3"/>
  <c r="Y331" i="3" s="1"/>
  <c r="T329" i="3"/>
  <c r="Y329" i="3" s="1"/>
  <c r="T327" i="3"/>
  <c r="Y327" i="3" s="1"/>
  <c r="T325" i="3"/>
  <c r="Y325" i="3" s="1"/>
  <c r="T323" i="3"/>
  <c r="Y323" i="3" s="1"/>
  <c r="T321" i="3"/>
  <c r="Y321" i="3" s="1"/>
  <c r="T315" i="3"/>
  <c r="Y315" i="3" s="1"/>
  <c r="T307" i="3"/>
  <c r="Y307" i="3" s="1"/>
  <c r="T299" i="3"/>
  <c r="Y299" i="3" s="1"/>
  <c r="T313" i="3"/>
  <c r="Y313" i="3" s="1"/>
  <c r="T305" i="3"/>
  <c r="Y305" i="3" s="1"/>
  <c r="T297" i="3"/>
  <c r="Y297" i="3" s="1"/>
  <c r="T295" i="3"/>
  <c r="Y295" i="3" s="1"/>
  <c r="T293" i="3"/>
  <c r="Y293" i="3" s="1"/>
  <c r="T291" i="3"/>
  <c r="Y291" i="3" s="1"/>
  <c r="T289" i="3"/>
  <c r="Y289" i="3" s="1"/>
  <c r="T287" i="3"/>
  <c r="Y287" i="3" s="1"/>
  <c r="T282" i="3"/>
  <c r="Y282" i="3" s="1"/>
  <c r="T280" i="3"/>
  <c r="Y280" i="3" s="1"/>
  <c r="T278" i="3"/>
  <c r="Y278" i="3" s="1"/>
  <c r="T276" i="3"/>
  <c r="Y276" i="3" s="1"/>
  <c r="T274" i="3"/>
  <c r="Y274" i="3" s="1"/>
  <c r="T272" i="3"/>
  <c r="Y272" i="3" s="1"/>
  <c r="T270" i="3"/>
  <c r="Y270" i="3" s="1"/>
  <c r="T268" i="3"/>
  <c r="Y268" i="3" s="1"/>
  <c r="T266" i="3"/>
  <c r="Y266" i="3" s="1"/>
  <c r="T264" i="3"/>
  <c r="Y264" i="3" s="1"/>
  <c r="T262" i="3"/>
  <c r="Y262" i="3" s="1"/>
  <c r="T260" i="3"/>
  <c r="Y260" i="3" s="1"/>
  <c r="T258" i="3"/>
  <c r="Y258" i="3" s="1"/>
  <c r="T311" i="3"/>
  <c r="Y311" i="3" s="1"/>
  <c r="T303" i="3"/>
  <c r="Y303" i="3" s="1"/>
  <c r="T317" i="3"/>
  <c r="Y317" i="3" s="1"/>
  <c r="T281" i="3"/>
  <c r="Y281" i="3" s="1"/>
  <c r="T279" i="3"/>
  <c r="Y279" i="3" s="1"/>
  <c r="T277" i="3"/>
  <c r="Y277" i="3" s="1"/>
  <c r="T275" i="3"/>
  <c r="Y275" i="3" s="1"/>
  <c r="T267" i="3"/>
  <c r="Y267" i="3" s="1"/>
  <c r="T259" i="3"/>
  <c r="Y259" i="3" s="1"/>
  <c r="T256" i="3"/>
  <c r="Y256" i="3" s="1"/>
  <c r="T254" i="3"/>
  <c r="Y254" i="3" s="1"/>
  <c r="T252" i="3"/>
  <c r="Y252" i="3" s="1"/>
  <c r="T273" i="3"/>
  <c r="Y273" i="3" s="1"/>
  <c r="T265" i="3"/>
  <c r="Y265" i="3" s="1"/>
  <c r="T301" i="3"/>
  <c r="Y301" i="3" s="1"/>
  <c r="T285" i="3"/>
  <c r="Y285" i="3" s="1"/>
  <c r="T271" i="3"/>
  <c r="Y271" i="3" s="1"/>
  <c r="T263" i="3"/>
  <c r="Y263" i="3" s="1"/>
  <c r="T257" i="3"/>
  <c r="Y257" i="3" s="1"/>
  <c r="T269" i="3"/>
  <c r="Y269" i="3" s="1"/>
  <c r="T261" i="3"/>
  <c r="Y261" i="3" s="1"/>
  <c r="T222" i="3"/>
  <c r="Y222" i="3" s="1"/>
  <c r="T220" i="3"/>
  <c r="Y220" i="3" s="1"/>
  <c r="T218" i="3"/>
  <c r="Y218" i="3" s="1"/>
  <c r="T216" i="3"/>
  <c r="Y216" i="3" s="1"/>
  <c r="T214" i="3"/>
  <c r="Y214" i="3" s="1"/>
  <c r="T212" i="3"/>
  <c r="Y212" i="3" s="1"/>
  <c r="T210" i="3"/>
  <c r="Y210" i="3" s="1"/>
  <c r="T208" i="3"/>
  <c r="Y208" i="3" s="1"/>
  <c r="T206" i="3"/>
  <c r="Y206" i="3" s="1"/>
  <c r="T204" i="3"/>
  <c r="Y204" i="3" s="1"/>
  <c r="T202" i="3"/>
  <c r="Y202" i="3" s="1"/>
  <c r="T200" i="3"/>
  <c r="Y200" i="3" s="1"/>
  <c r="T198" i="3"/>
  <c r="Y198" i="3" s="1"/>
  <c r="T196" i="3"/>
  <c r="Y196" i="3" s="1"/>
  <c r="T194" i="3"/>
  <c r="Y194" i="3" s="1"/>
  <c r="T192" i="3"/>
  <c r="Y192" i="3" s="1"/>
  <c r="T190" i="3"/>
  <c r="Y190" i="3" s="1"/>
  <c r="T188" i="3"/>
  <c r="Y188" i="3" s="1"/>
  <c r="T186" i="3"/>
  <c r="Y186" i="3" s="1"/>
  <c r="T184" i="3"/>
  <c r="Y184" i="3" s="1"/>
  <c r="T182" i="3"/>
  <c r="Y182" i="3" s="1"/>
  <c r="T180" i="3"/>
  <c r="Y180" i="3" s="1"/>
  <c r="T178" i="3"/>
  <c r="Y178" i="3" s="1"/>
  <c r="T176" i="3"/>
  <c r="Y176" i="3" s="1"/>
  <c r="T174" i="3"/>
  <c r="Y174" i="3" s="1"/>
  <c r="T172" i="3"/>
  <c r="Y172" i="3" s="1"/>
  <c r="T170" i="3"/>
  <c r="Y170" i="3" s="1"/>
  <c r="T168" i="3"/>
  <c r="Y168" i="3" s="1"/>
  <c r="T309" i="3"/>
  <c r="Y309" i="3" s="1"/>
  <c r="T283" i="3"/>
  <c r="Y283" i="3" s="1"/>
  <c r="T221" i="3"/>
  <c r="Y221" i="3" s="1"/>
  <c r="T213" i="3"/>
  <c r="Y213" i="3" s="1"/>
  <c r="T205" i="3"/>
  <c r="Y205" i="3" s="1"/>
  <c r="T197" i="3"/>
  <c r="Y197" i="3" s="1"/>
  <c r="T189" i="3"/>
  <c r="Y189" i="3" s="1"/>
  <c r="T181" i="3"/>
  <c r="Y181" i="3" s="1"/>
  <c r="T173" i="3"/>
  <c r="Y173" i="3" s="1"/>
  <c r="T219" i="3"/>
  <c r="Y219" i="3" s="1"/>
  <c r="T211" i="3"/>
  <c r="Y211" i="3" s="1"/>
  <c r="T203" i="3"/>
  <c r="Y203" i="3" s="1"/>
  <c r="T195" i="3"/>
  <c r="Y195" i="3" s="1"/>
  <c r="T187" i="3"/>
  <c r="Y187" i="3" s="1"/>
  <c r="T179" i="3"/>
  <c r="Y179" i="3" s="1"/>
  <c r="T171" i="3"/>
  <c r="Y171" i="3" s="1"/>
  <c r="T165" i="3"/>
  <c r="Y165" i="3" s="1"/>
  <c r="T163" i="3"/>
  <c r="Y163" i="3" s="1"/>
  <c r="T161" i="3"/>
  <c r="Y161" i="3" s="1"/>
  <c r="T159" i="3"/>
  <c r="Y159" i="3" s="1"/>
  <c r="T157" i="3"/>
  <c r="Y157" i="3" s="1"/>
  <c r="T155" i="3"/>
  <c r="Y155" i="3" s="1"/>
  <c r="T153" i="3"/>
  <c r="Y153" i="3" s="1"/>
  <c r="T151" i="3"/>
  <c r="Y151" i="3" s="1"/>
  <c r="T217" i="3"/>
  <c r="Y217" i="3" s="1"/>
  <c r="T209" i="3"/>
  <c r="Y209" i="3" s="1"/>
  <c r="T201" i="3"/>
  <c r="Y201" i="3" s="1"/>
  <c r="T193" i="3"/>
  <c r="Y193" i="3" s="1"/>
  <c r="T185" i="3"/>
  <c r="Y185" i="3" s="1"/>
  <c r="T177" i="3"/>
  <c r="Y177" i="3" s="1"/>
  <c r="T169" i="3"/>
  <c r="Y169" i="3" s="1"/>
  <c r="BN46" i="3"/>
  <c r="BN44" i="3"/>
  <c r="BN42" i="3"/>
  <c r="BN40" i="3"/>
  <c r="BN38" i="3"/>
  <c r="BN36" i="3"/>
  <c r="BN34" i="3"/>
  <c r="BN32" i="3"/>
  <c r="BN30" i="3"/>
  <c r="BN28" i="3"/>
  <c r="BN25" i="3"/>
  <c r="T166" i="3"/>
  <c r="Y166" i="3" s="1"/>
  <c r="T162" i="3"/>
  <c r="Y162" i="3" s="1"/>
  <c r="T158" i="3"/>
  <c r="Y158" i="3" s="1"/>
  <c r="T154" i="3"/>
  <c r="Y154" i="3" s="1"/>
  <c r="T89" i="3"/>
  <c r="Y89" i="3" s="1"/>
  <c r="T87" i="3"/>
  <c r="Y87" i="3" s="1"/>
  <c r="T85" i="3"/>
  <c r="Y85" i="3" s="1"/>
  <c r="T83" i="3"/>
  <c r="Y83" i="3" s="1"/>
  <c r="T81" i="3"/>
  <c r="Y81" i="3" s="1"/>
  <c r="T79" i="3"/>
  <c r="Y79" i="3" s="1"/>
  <c r="T77" i="3"/>
  <c r="Y77" i="3" s="1"/>
  <c r="T75" i="3"/>
  <c r="Y75" i="3" s="1"/>
  <c r="T73" i="3"/>
  <c r="Y73" i="3" s="1"/>
  <c r="T71" i="3"/>
  <c r="Y71" i="3" s="1"/>
  <c r="T69" i="3"/>
  <c r="Y69" i="3" s="1"/>
  <c r="T67" i="3"/>
  <c r="Y67" i="3" s="1"/>
  <c r="T65" i="3"/>
  <c r="Y65" i="3" s="1"/>
  <c r="T63" i="3"/>
  <c r="Y63" i="3" s="1"/>
  <c r="T61" i="3"/>
  <c r="Y61" i="3" s="1"/>
  <c r="T59" i="3"/>
  <c r="Y59" i="3" s="1"/>
  <c r="T57" i="3"/>
  <c r="Y57" i="3" s="1"/>
  <c r="T55" i="3"/>
  <c r="Y55" i="3" s="1"/>
  <c r="T53" i="3"/>
  <c r="Y53" i="3" s="1"/>
  <c r="T51" i="3"/>
  <c r="Y51" i="3" s="1"/>
  <c r="T49" i="3"/>
  <c r="Y49" i="3" s="1"/>
  <c r="T215" i="3"/>
  <c r="Y215" i="3" s="1"/>
  <c r="T207" i="3"/>
  <c r="Y207" i="3" s="1"/>
  <c r="T199" i="3"/>
  <c r="Y199" i="3" s="1"/>
  <c r="T191" i="3"/>
  <c r="Y191" i="3" s="1"/>
  <c r="T183" i="3"/>
  <c r="Y183" i="3" s="1"/>
  <c r="T175" i="3"/>
  <c r="Y175" i="3" s="1"/>
  <c r="T167" i="3"/>
  <c r="Y167" i="3" s="1"/>
  <c r="BN48" i="3"/>
  <c r="BQ48" i="3" s="1"/>
  <c r="BR48" i="3" s="1"/>
  <c r="BN45" i="3"/>
  <c r="BN43" i="3"/>
  <c r="BN41" i="3"/>
  <c r="BN39" i="3"/>
  <c r="BN37" i="3"/>
  <c r="BN35" i="3"/>
  <c r="BN33" i="3"/>
  <c r="BN31" i="3"/>
  <c r="BN29" i="3"/>
  <c r="BN27" i="3"/>
  <c r="T156" i="3"/>
  <c r="Y156" i="3" s="1"/>
  <c r="T88" i="3"/>
  <c r="Y88" i="3" s="1"/>
  <c r="T80" i="3"/>
  <c r="Y80" i="3" s="1"/>
  <c r="T72" i="3"/>
  <c r="Y72" i="3" s="1"/>
  <c r="T64" i="3"/>
  <c r="Y64" i="3" s="1"/>
  <c r="T56" i="3"/>
  <c r="Y56" i="3" s="1"/>
  <c r="BN47" i="3"/>
  <c r="T27" i="3"/>
  <c r="Y27" i="3" s="1"/>
  <c r="BN26" i="3"/>
  <c r="BN22" i="3"/>
  <c r="BN16" i="3"/>
  <c r="BN12" i="3"/>
  <c r="BN7" i="3"/>
  <c r="T58" i="3"/>
  <c r="Y58" i="3" s="1"/>
  <c r="T24" i="3"/>
  <c r="Y24" i="3" s="1"/>
  <c r="T17" i="3"/>
  <c r="Y17" i="3" s="1"/>
  <c r="BN11" i="3"/>
  <c r="BN10" i="3"/>
  <c r="T10" i="3"/>
  <c r="Y10" i="3" s="1"/>
  <c r="BN8" i="3"/>
  <c r="T152" i="3"/>
  <c r="Y152" i="3" s="1"/>
  <c r="T86" i="3"/>
  <c r="Y86" i="3" s="1"/>
  <c r="T78" i="3"/>
  <c r="Y78" i="3" s="1"/>
  <c r="T70" i="3"/>
  <c r="Y70" i="3" s="1"/>
  <c r="T62" i="3"/>
  <c r="Y62" i="3" s="1"/>
  <c r="T54" i="3"/>
  <c r="Y54" i="3" s="1"/>
  <c r="T47" i="3"/>
  <c r="Y47" i="3" s="1"/>
  <c r="BN23" i="3"/>
  <c r="T22" i="3"/>
  <c r="Y22" i="3" s="1"/>
  <c r="BN20" i="3"/>
  <c r="BN18" i="3"/>
  <c r="BN15" i="3"/>
  <c r="T15" i="3"/>
  <c r="Y15" i="3" s="1"/>
  <c r="BN13" i="3"/>
  <c r="T13" i="3"/>
  <c r="Y13" i="3" s="1"/>
  <c r="T7" i="3"/>
  <c r="Y7" i="3" s="1"/>
  <c r="T4" i="3"/>
  <c r="Y4" i="3" s="1"/>
  <c r="T82" i="3"/>
  <c r="Y82" i="3" s="1"/>
  <c r="T74" i="3"/>
  <c r="Y74" i="3" s="1"/>
  <c r="BN19" i="3"/>
  <c r="T11" i="3"/>
  <c r="Y11" i="3" s="1"/>
  <c r="T8" i="3"/>
  <c r="Y8" i="3" s="1"/>
  <c r="T164" i="3"/>
  <c r="Y164" i="3" s="1"/>
  <c r="T84" i="3"/>
  <c r="Y84" i="3" s="1"/>
  <c r="T76" i="3"/>
  <c r="Y76" i="3" s="1"/>
  <c r="T68" i="3"/>
  <c r="Y68" i="3" s="1"/>
  <c r="T60" i="3"/>
  <c r="Y60" i="3" s="1"/>
  <c r="T52" i="3"/>
  <c r="Y52" i="3" s="1"/>
  <c r="BN24" i="3"/>
  <c r="BN14" i="3"/>
  <c r="T160" i="3"/>
  <c r="Y160" i="3" s="1"/>
  <c r="T66" i="3"/>
  <c r="Y66" i="3" s="1"/>
  <c r="T50" i="3"/>
  <c r="Y50" i="3" s="1"/>
  <c r="BN21" i="3"/>
  <c r="BN17" i="3"/>
  <c r="BN9" i="3"/>
  <c r="T9" i="3"/>
  <c r="Y9" i="3" s="1"/>
  <c r="T5" i="3"/>
  <c r="Y5" i="3" s="1"/>
  <c r="T20" i="3"/>
  <c r="Y20" i="3" s="1"/>
  <c r="T40" i="3"/>
  <c r="Y40" i="3" s="1"/>
  <c r="T93" i="3"/>
  <c r="Y93" i="3" s="1"/>
  <c r="T101" i="3"/>
  <c r="Y101" i="3" s="1"/>
  <c r="T118" i="3"/>
  <c r="Y118" i="3" s="1"/>
  <c r="T26" i="3"/>
  <c r="Y26" i="3" s="1"/>
  <c r="T38" i="3"/>
  <c r="Y38" i="3" s="1"/>
  <c r="T41" i="3"/>
  <c r="Y41" i="3" s="1"/>
  <c r="T129" i="3"/>
  <c r="Y129" i="3" s="1"/>
  <c r="T37" i="3"/>
  <c r="Y37" i="3" s="1"/>
  <c r="T126" i="3"/>
  <c r="Y126" i="3" s="1"/>
  <c r="T29" i="3"/>
  <c r="Y29" i="3" s="1"/>
  <c r="T91" i="3"/>
  <c r="Y91" i="3" s="1"/>
  <c r="T99" i="3"/>
  <c r="Y99" i="3" s="1"/>
  <c r="T121" i="3"/>
  <c r="Y121" i="3" s="1"/>
  <c r="T104" i="3"/>
  <c r="Y104" i="3" s="1"/>
  <c r="T115" i="3"/>
  <c r="Y115" i="3" s="1"/>
  <c r="T136" i="3"/>
  <c r="Y136" i="3" s="1"/>
  <c r="T147" i="3"/>
  <c r="Y147" i="3" s="1"/>
  <c r="T90" i="3"/>
  <c r="Y90" i="3" s="1"/>
  <c r="T94" i="3"/>
  <c r="Y94" i="3" s="1"/>
  <c r="T98" i="3"/>
  <c r="Y98" i="3" s="1"/>
  <c r="T106" i="3"/>
  <c r="Y106" i="3" s="1"/>
  <c r="T117" i="3"/>
  <c r="Y117" i="3" s="1"/>
  <c r="T138" i="3"/>
  <c r="Y138" i="3" s="1"/>
  <c r="T149" i="3"/>
  <c r="Y149" i="3" s="1"/>
  <c r="T103" i="3"/>
  <c r="Y103" i="3" s="1"/>
  <c r="T124" i="3"/>
  <c r="Y124" i="3" s="1"/>
  <c r="T135" i="3"/>
  <c r="Y135" i="3" s="1"/>
  <c r="T232" i="3"/>
  <c r="Y232" i="3" s="1"/>
  <c r="T234" i="3"/>
  <c r="Y234" i="3" s="1"/>
  <c r="T245" i="3"/>
  <c r="Y245" i="3" s="1"/>
  <c r="T236" i="3"/>
  <c r="Y236" i="3" s="1"/>
  <c r="T247" i="3"/>
  <c r="Y247" i="3" s="1"/>
  <c r="T223" i="3"/>
  <c r="Y223" i="3" s="1"/>
  <c r="T227" i="3"/>
  <c r="Y227" i="3" s="1"/>
  <c r="T233" i="3"/>
  <c r="Y233" i="3" s="1"/>
  <c r="T253" i="3"/>
  <c r="Y253" i="3" s="1"/>
  <c r="T349" i="3"/>
  <c r="Y349" i="3" s="1"/>
  <c r="T318" i="3"/>
  <c r="Y318" i="3" s="1"/>
  <c r="T288" i="3"/>
  <c r="Y288" i="3" s="1"/>
  <c r="T296" i="3"/>
  <c r="Y296" i="3" s="1"/>
  <c r="T341" i="3"/>
  <c r="Y341" i="3" s="1"/>
  <c r="T343" i="3"/>
  <c r="Y343" i="3" s="1"/>
  <c r="T339" i="3"/>
  <c r="Y339" i="3" s="1"/>
  <c r="T360" i="3"/>
  <c r="Y360" i="3" s="1"/>
  <c r="T21" i="3"/>
  <c r="Y21" i="3" s="1"/>
  <c r="T14" i="3"/>
  <c r="Y14" i="3" s="1"/>
  <c r="T32" i="3"/>
  <c r="Y32" i="3" s="1"/>
  <c r="T43" i="3"/>
  <c r="Y43" i="3" s="1"/>
  <c r="T150" i="3"/>
  <c r="Y150" i="3" s="1"/>
  <c r="T110" i="3"/>
  <c r="Y110" i="3" s="1"/>
  <c r="T102" i="3"/>
  <c r="Y102" i="3" s="1"/>
  <c r="T123" i="3"/>
  <c r="Y123" i="3" s="1"/>
  <c r="T125" i="3"/>
  <c r="Y125" i="3" s="1"/>
  <c r="T242" i="3"/>
  <c r="Y242" i="3" s="1"/>
  <c r="T241" i="3"/>
  <c r="Y241" i="3" s="1"/>
  <c r="T310" i="3"/>
  <c r="Y310" i="3" s="1"/>
  <c r="T286" i="3"/>
  <c r="Y286" i="3" s="1"/>
  <c r="T19" i="3"/>
  <c r="Y19" i="3" s="1"/>
  <c r="T137" i="3"/>
  <c r="Y137" i="3" s="1"/>
  <c r="T42" i="3"/>
  <c r="Y42" i="3" s="1"/>
  <c r="T145" i="3"/>
  <c r="Y145" i="3" s="1"/>
  <c r="T31" i="3"/>
  <c r="Y31" i="3" s="1"/>
  <c r="T44" i="3"/>
  <c r="Y44" i="3" s="1"/>
  <c r="T107" i="3"/>
  <c r="Y107" i="3" s="1"/>
  <c r="T128" i="3"/>
  <c r="Y128" i="3" s="1"/>
  <c r="T139" i="3"/>
  <c r="Y139" i="3" s="1"/>
  <c r="T109" i="3"/>
  <c r="Y109" i="3" s="1"/>
  <c r="T130" i="3"/>
  <c r="Y130" i="3" s="1"/>
  <c r="T141" i="3"/>
  <c r="Y141" i="3" s="1"/>
  <c r="T243" i="3"/>
  <c r="Y243" i="3" s="1"/>
  <c r="T116" i="3"/>
  <c r="Y116" i="3" s="1"/>
  <c r="T127" i="3"/>
  <c r="Y127" i="3" s="1"/>
  <c r="T148" i="3"/>
  <c r="Y148" i="3" s="1"/>
  <c r="T248" i="3"/>
  <c r="Y248" i="3" s="1"/>
  <c r="T255" i="3"/>
  <c r="Y255" i="3" s="1"/>
  <c r="T251" i="3"/>
  <c r="Y251" i="3" s="1"/>
  <c r="T226" i="3"/>
  <c r="Y226" i="3" s="1"/>
  <c r="T237" i="3"/>
  <c r="Y237" i="3" s="1"/>
  <c r="T228" i="3"/>
  <c r="Y228" i="3" s="1"/>
  <c r="T239" i="3"/>
  <c r="Y239" i="3" s="1"/>
  <c r="T246" i="3"/>
  <c r="Y246" i="3" s="1"/>
  <c r="T314" i="3"/>
  <c r="Y314" i="3" s="1"/>
  <c r="T298" i="3"/>
  <c r="Y298" i="3" s="1"/>
  <c r="T300" i="3"/>
  <c r="Y300" i="3" s="1"/>
  <c r="T316" i="3"/>
  <c r="Y316" i="3" s="1"/>
  <c r="T290" i="3"/>
  <c r="Y290" i="3" s="1"/>
  <c r="T304" i="3"/>
  <c r="Y304" i="3" s="1"/>
  <c r="T319" i="3"/>
  <c r="Y319" i="3" s="1"/>
  <c r="T345" i="3"/>
  <c r="Y345" i="3" s="1"/>
  <c r="T347" i="3"/>
  <c r="Y347" i="3" s="1"/>
  <c r="T362" i="3"/>
  <c r="Y362" i="3" s="1"/>
  <c r="T6" i="3"/>
  <c r="Y6" i="3" s="1"/>
  <c r="T113" i="3"/>
  <c r="Y113" i="3" s="1"/>
  <c r="T30" i="3"/>
  <c r="Y30" i="3" s="1"/>
  <c r="T45" i="3"/>
  <c r="Y45" i="3" s="1"/>
  <c r="T132" i="3"/>
  <c r="Y132" i="3" s="1"/>
  <c r="T240" i="3"/>
  <c r="Y240" i="3" s="1"/>
  <c r="T244" i="3"/>
  <c r="Y244" i="3" s="1"/>
  <c r="T230" i="3"/>
  <c r="Y230" i="3" s="1"/>
  <c r="T308" i="3"/>
  <c r="Y308" i="3" s="1"/>
  <c r="T294" i="3"/>
  <c r="Y294" i="3" s="1"/>
  <c r="T16" i="3"/>
  <c r="Y16" i="3" s="1"/>
  <c r="T35" i="3"/>
  <c r="Y35" i="3" s="1"/>
  <c r="T97" i="3"/>
  <c r="Y97" i="3" s="1"/>
  <c r="T105" i="3"/>
  <c r="Y105" i="3" s="1"/>
  <c r="T46" i="3"/>
  <c r="Y46" i="3" s="1"/>
  <c r="T142" i="3"/>
  <c r="Y142" i="3" s="1"/>
  <c r="T33" i="3"/>
  <c r="Y33" i="3" s="1"/>
  <c r="T36" i="3"/>
  <c r="Y36" i="3" s="1"/>
  <c r="T39" i="3"/>
  <c r="Y39" i="3" s="1"/>
  <c r="T95" i="3"/>
  <c r="Y95" i="3" s="1"/>
  <c r="T134" i="3"/>
  <c r="Y134" i="3" s="1"/>
  <c r="T120" i="3"/>
  <c r="Y120" i="3" s="1"/>
  <c r="T131" i="3"/>
  <c r="Y131" i="3" s="1"/>
  <c r="T92" i="3"/>
  <c r="Y92" i="3" s="1"/>
  <c r="T96" i="3"/>
  <c r="Y96" i="3" s="1"/>
  <c r="T100" i="3"/>
  <c r="Y100" i="3" s="1"/>
  <c r="T122" i="3"/>
  <c r="Y122" i="3" s="1"/>
  <c r="T133" i="3"/>
  <c r="Y133" i="3" s="1"/>
  <c r="T108" i="3"/>
  <c r="Y108" i="3" s="1"/>
  <c r="T119" i="3"/>
  <c r="Y119" i="3" s="1"/>
  <c r="T140" i="3"/>
  <c r="Y140" i="3" s="1"/>
  <c r="T229" i="3"/>
  <c r="Y229" i="3" s="1"/>
  <c r="T250" i="3"/>
  <c r="Y250" i="3" s="1"/>
  <c r="T231" i="3"/>
  <c r="Y231" i="3" s="1"/>
  <c r="T225" i="3"/>
  <c r="Y225" i="3" s="1"/>
  <c r="T238" i="3"/>
  <c r="Y238" i="3" s="1"/>
  <c r="T249" i="3"/>
  <c r="Y249" i="3" s="1"/>
  <c r="T306" i="3"/>
  <c r="Y306" i="3" s="1"/>
  <c r="T302" i="3"/>
  <c r="Y302" i="3" s="1"/>
  <c r="T292" i="3"/>
  <c r="Y292" i="3" s="1"/>
  <c r="T312" i="3"/>
  <c r="Y312" i="3" s="1"/>
  <c r="T364" i="3"/>
  <c r="Y364" i="3" s="1"/>
  <c r="T25" i="3"/>
  <c r="Y25" i="3" s="1"/>
  <c r="T12" i="3"/>
  <c r="Y12" i="3" s="1"/>
  <c r="T18" i="3"/>
  <c r="Y18" i="3" s="1"/>
  <c r="T23" i="3"/>
  <c r="Y23" i="3" s="1"/>
  <c r="T28" i="3"/>
  <c r="Y28" i="3" s="1"/>
  <c r="T34" i="3"/>
  <c r="Y34" i="3" s="1"/>
  <c r="T48" i="3"/>
  <c r="Y48" i="3" s="1"/>
  <c r="T112" i="3"/>
  <c r="Y112" i="3" s="1"/>
  <c r="T144" i="3"/>
  <c r="Y144" i="3" s="1"/>
  <c r="T114" i="3"/>
  <c r="Y114" i="3" s="1"/>
  <c r="T146" i="3"/>
  <c r="Y146" i="3" s="1"/>
  <c r="T111" i="3"/>
  <c r="Y111" i="3" s="1"/>
  <c r="T143" i="3"/>
  <c r="Y143" i="3" s="1"/>
  <c r="T235" i="3"/>
  <c r="Y235" i="3" s="1"/>
  <c r="T224" i="3"/>
  <c r="Y224" i="3" s="1"/>
  <c r="T284" i="3"/>
  <c r="Y284" i="3" s="1"/>
  <c r="T358" i="3"/>
  <c r="Y358" i="3" s="1"/>
  <c r="AP37" i="3"/>
  <c r="AU37" i="3"/>
  <c r="AV37" i="3"/>
  <c r="AW37" i="3"/>
  <c r="AY126" i="3"/>
  <c r="AZ126" i="3"/>
  <c r="AW95" i="3"/>
  <c r="AO104" i="3"/>
  <c r="AU136" i="3"/>
  <c r="AV136" i="3"/>
  <c r="AW136" i="3"/>
  <c r="AV90" i="3"/>
  <c r="AZ90" i="3"/>
  <c r="AO90" i="3"/>
  <c r="AX106" i="3"/>
  <c r="AU106" i="3"/>
  <c r="AV106" i="3"/>
  <c r="AW106" i="3"/>
  <c r="AO138" i="3"/>
  <c r="AR105" i="3"/>
  <c r="AS105" i="3"/>
  <c r="AX105" i="3"/>
  <c r="AY105" i="3"/>
  <c r="AZ121" i="3"/>
  <c r="AP121" i="3"/>
  <c r="AQ121" i="3"/>
  <c r="AR145" i="3"/>
  <c r="AS145" i="3"/>
  <c r="AX145" i="3"/>
  <c r="AY145" i="3"/>
  <c r="AP234" i="3"/>
  <c r="AY234" i="3"/>
  <c r="AZ234" i="3"/>
  <c r="AV239" i="3"/>
  <c r="AO239" i="3"/>
  <c r="AT239" i="3"/>
  <c r="AU239" i="3"/>
  <c r="AR341" i="3"/>
  <c r="AS341" i="3"/>
  <c r="AW343" i="3"/>
  <c r="AV18" i="3"/>
  <c r="AY18" i="3"/>
  <c r="AS18" i="3"/>
  <c r="AO18" i="3"/>
  <c r="AR18" i="3"/>
  <c r="AU18" i="3"/>
  <c r="AX18" i="3"/>
  <c r="AW18" i="3"/>
  <c r="AP18" i="3"/>
  <c r="AQ18" i="3"/>
  <c r="AT18" i="3"/>
  <c r="AZ18" i="3"/>
  <c r="AO43" i="3"/>
  <c r="AU48" i="3"/>
  <c r="AV48" i="3"/>
  <c r="AW48" i="3"/>
  <c r="AS150" i="3"/>
  <c r="AW150" i="3"/>
  <c r="AP45" i="3"/>
  <c r="AQ45" i="3"/>
  <c r="AR45" i="3"/>
  <c r="AS45" i="3"/>
  <c r="AO110" i="3"/>
  <c r="AT102" i="3"/>
  <c r="AY102" i="3"/>
  <c r="AZ102" i="3"/>
  <c r="AQ112" i="3"/>
  <c r="AR112" i="3"/>
  <c r="AS112" i="3"/>
  <c r="AP144" i="3"/>
  <c r="AY144" i="3"/>
  <c r="AZ144" i="3"/>
  <c r="AO114" i="3"/>
  <c r="AU146" i="3"/>
  <c r="AV146" i="3"/>
  <c r="AW146" i="3"/>
  <c r="AO132" i="3"/>
  <c r="AR103" i="3"/>
  <c r="AO103" i="3"/>
  <c r="AT103" i="3"/>
  <c r="AU103" i="3"/>
  <c r="AZ111" i="3"/>
  <c r="AW111" i="3"/>
  <c r="AR119" i="3"/>
  <c r="AO119" i="3"/>
  <c r="AT119" i="3"/>
  <c r="AU119" i="3"/>
  <c r="AZ127" i="3"/>
  <c r="AW127" i="3"/>
  <c r="AR135" i="3"/>
  <c r="AO135" i="3"/>
  <c r="AT135" i="3"/>
  <c r="AU135" i="3"/>
  <c r="AZ143" i="3"/>
  <c r="AW143" i="3"/>
  <c r="AR240" i="3"/>
  <c r="AS240" i="3"/>
  <c r="AO223" i="3"/>
  <c r="AU223" i="3"/>
  <c r="AO227" i="3"/>
  <c r="AP238" i="3"/>
  <c r="AQ238" i="3"/>
  <c r="AR238" i="3"/>
  <c r="AS238" i="3"/>
  <c r="AR235" i="3"/>
  <c r="AS235" i="3"/>
  <c r="AX235" i="3"/>
  <c r="AY235" i="3"/>
  <c r="AZ243" i="3"/>
  <c r="AP243" i="3"/>
  <c r="AQ243" i="3"/>
  <c r="AR251" i="3"/>
  <c r="AW251" i="3"/>
  <c r="AX251" i="3"/>
  <c r="AZ251" i="3"/>
  <c r="AR19" i="3"/>
  <c r="AS19" i="3"/>
  <c r="AT19" i="3"/>
  <c r="AO118" i="3"/>
  <c r="AT37" i="3"/>
  <c r="AY37" i="3"/>
  <c r="AZ37" i="3"/>
  <c r="AO126" i="3"/>
  <c r="AZ95" i="3"/>
  <c r="AV95" i="3"/>
  <c r="AQ95" i="3"/>
  <c r="AQ104" i="3"/>
  <c r="AR104" i="3"/>
  <c r="AS104" i="3"/>
  <c r="AP136" i="3"/>
  <c r="AY136" i="3"/>
  <c r="AZ136" i="3"/>
  <c r="AT90" i="3"/>
  <c r="AP90" i="3"/>
  <c r="AQ90" i="3"/>
  <c r="AS90" i="3"/>
  <c r="AY106" i="3"/>
  <c r="AZ106" i="3"/>
  <c r="AT138" i="3"/>
  <c r="AQ138" i="3"/>
  <c r="AR138" i="3"/>
  <c r="AS138" i="3"/>
  <c r="AV105" i="3"/>
  <c r="AW105" i="3"/>
  <c r="AO121" i="3"/>
  <c r="AT121" i="3"/>
  <c r="AU121" i="3"/>
  <c r="AV145" i="3"/>
  <c r="AW145" i="3"/>
  <c r="AO234" i="3"/>
  <c r="AZ239" i="3"/>
  <c r="AS239" i="3"/>
  <c r="AX239" i="3"/>
  <c r="AY239" i="3"/>
  <c r="AT341" i="3"/>
  <c r="AU341" i="3"/>
  <c r="AV341" i="3"/>
  <c r="AW341" i="3"/>
  <c r="AT343" i="3"/>
  <c r="AY343" i="3"/>
  <c r="AZ343" i="3"/>
  <c r="AQ43" i="3"/>
  <c r="AR43" i="3"/>
  <c r="AS43" i="3"/>
  <c r="AP48" i="3"/>
  <c r="AY48" i="3"/>
  <c r="AZ48" i="3"/>
  <c r="AP150" i="3"/>
  <c r="AR150" i="3"/>
  <c r="AU45" i="3"/>
  <c r="AV45" i="3"/>
  <c r="AW45" i="3"/>
  <c r="AQ110" i="3"/>
  <c r="AR110" i="3"/>
  <c r="AS110" i="3"/>
  <c r="AO102" i="3"/>
  <c r="AU112" i="3"/>
  <c r="AV112" i="3"/>
  <c r="AW112" i="3"/>
  <c r="AO144" i="3"/>
  <c r="AT114" i="3"/>
  <c r="AQ114" i="3"/>
  <c r="AR114" i="3"/>
  <c r="AS114" i="3"/>
  <c r="AY146" i="3"/>
  <c r="AZ146" i="3"/>
  <c r="AP132" i="3"/>
  <c r="AQ132" i="3"/>
  <c r="AR132" i="3"/>
  <c r="AS132" i="3"/>
  <c r="AV103" i="3"/>
  <c r="AS103" i="3"/>
  <c r="AX103" i="3"/>
  <c r="AY103" i="3"/>
  <c r="AP111" i="3"/>
  <c r="AQ111" i="3"/>
  <c r="AX119" i="3"/>
  <c r="AY119" i="3"/>
  <c r="AP127" i="3"/>
  <c r="AQ127" i="3"/>
  <c r="AP143" i="3"/>
  <c r="AQ143" i="3"/>
  <c r="AV240" i="3"/>
  <c r="AW240" i="3"/>
  <c r="AZ223" i="3"/>
  <c r="AV223" i="3"/>
  <c r="AS223" i="3"/>
  <c r="AV227" i="3"/>
  <c r="AS227" i="3"/>
  <c r="AT238" i="3"/>
  <c r="AU238" i="3"/>
  <c r="AV238" i="3"/>
  <c r="AV235" i="3"/>
  <c r="AO243" i="3"/>
  <c r="AT243" i="3"/>
  <c r="AV251" i="3"/>
  <c r="AQ19" i="3"/>
  <c r="AV19" i="3"/>
  <c r="AW19" i="3"/>
  <c r="AQ118" i="3"/>
  <c r="AR118" i="3"/>
  <c r="AQ126" i="3"/>
  <c r="AR126" i="3"/>
  <c r="AP95" i="3"/>
  <c r="AT95" i="3"/>
  <c r="AO95" i="3"/>
  <c r="AU104" i="3"/>
  <c r="AV104" i="3"/>
  <c r="AX90" i="3"/>
  <c r="AU90" i="3"/>
  <c r="AX138" i="3"/>
  <c r="AU138" i="3"/>
  <c r="AV138" i="3"/>
  <c r="AZ105" i="3"/>
  <c r="AP105" i="3"/>
  <c r="AR121" i="3"/>
  <c r="AS121" i="3"/>
  <c r="AX121" i="3"/>
  <c r="AZ145" i="3"/>
  <c r="AP145" i="3"/>
  <c r="AX234" i="3"/>
  <c r="AQ234" i="3"/>
  <c r="AR234" i="3"/>
  <c r="AX341" i="3"/>
  <c r="AY341" i="3"/>
  <c r="AP43" i="3"/>
  <c r="AU43" i="3"/>
  <c r="AV43" i="3"/>
  <c r="AQ150" i="3"/>
  <c r="AU150" i="3"/>
  <c r="AT150" i="3"/>
  <c r="AT45" i="3"/>
  <c r="AY45" i="3"/>
  <c r="AP110" i="3"/>
  <c r="AU110" i="3"/>
  <c r="AV110" i="3"/>
  <c r="AQ102" i="3"/>
  <c r="AR102" i="3"/>
  <c r="AP112" i="3"/>
  <c r="AY112" i="3"/>
  <c r="AX144" i="3"/>
  <c r="AQ144" i="3"/>
  <c r="AR144" i="3"/>
  <c r="AX114" i="3"/>
  <c r="AU114" i="3"/>
  <c r="AV114" i="3"/>
  <c r="AT132" i="3"/>
  <c r="AU132" i="3"/>
  <c r="AV132" i="3"/>
  <c r="AZ103" i="3"/>
  <c r="AR111" i="3"/>
  <c r="AO111" i="3"/>
  <c r="AT111" i="3"/>
  <c r="AZ119" i="3"/>
  <c r="AR127" i="3"/>
  <c r="AO127" i="3"/>
  <c r="AT127" i="3"/>
  <c r="AZ135" i="3"/>
  <c r="AR143" i="3"/>
  <c r="AO143" i="3"/>
  <c r="AT143" i="3"/>
  <c r="AT240" i="3"/>
  <c r="AY240" i="3"/>
  <c r="AU224" i="3"/>
  <c r="AW224" i="3"/>
  <c r="AO242" i="3"/>
  <c r="AT244" i="3"/>
  <c r="AQ244" i="3"/>
  <c r="AR244" i="3"/>
  <c r="AS244" i="3"/>
  <c r="AP230" i="3"/>
  <c r="AQ230" i="3"/>
  <c r="AR230" i="3"/>
  <c r="AS230" i="3"/>
  <c r="AZ229" i="3"/>
  <c r="AO229" i="3"/>
  <c r="AT229" i="3"/>
  <c r="AU229" i="3"/>
  <c r="AR237" i="3"/>
  <c r="AW237" i="3"/>
  <c r="AZ245" i="3"/>
  <c r="AO245" i="3"/>
  <c r="AT245" i="3"/>
  <c r="AU245" i="3"/>
  <c r="AW16" i="3"/>
  <c r="AT16" i="3"/>
  <c r="AQ16" i="3"/>
  <c r="AZ97" i="3"/>
  <c r="AV97" i="3"/>
  <c r="AQ97" i="3"/>
  <c r="AW26" i="3"/>
  <c r="AT26" i="3"/>
  <c r="AR26" i="3"/>
  <c r="AX41" i="3"/>
  <c r="AU41" i="3"/>
  <c r="AV41" i="3"/>
  <c r="AW41" i="3"/>
  <c r="AX29" i="3"/>
  <c r="AO29" i="3"/>
  <c r="AX98" i="3"/>
  <c r="AU98" i="3"/>
  <c r="AW98" i="3"/>
  <c r="AZ113" i="3"/>
  <c r="AP113" i="3"/>
  <c r="AQ113" i="3"/>
  <c r="AR137" i="3"/>
  <c r="AS137" i="3"/>
  <c r="AX137" i="3"/>
  <c r="AY137" i="3"/>
  <c r="AX236" i="3"/>
  <c r="AU236" i="3"/>
  <c r="AV236" i="3"/>
  <c r="AW236" i="3"/>
  <c r="AP225" i="3"/>
  <c r="AW225" i="3"/>
  <c r="AW231" i="3"/>
  <c r="AP224" i="3"/>
  <c r="AT224" i="3"/>
  <c r="AY224" i="3"/>
  <c r="AX242" i="3"/>
  <c r="AQ242" i="3"/>
  <c r="AR242" i="3"/>
  <c r="AS242" i="3"/>
  <c r="AX244" i="3"/>
  <c r="AU244" i="3"/>
  <c r="AV244" i="3"/>
  <c r="AW244" i="3"/>
  <c r="AT230" i="3"/>
  <c r="AU230" i="3"/>
  <c r="AV230" i="3"/>
  <c r="AW230" i="3"/>
  <c r="AS229" i="3"/>
  <c r="AX229" i="3"/>
  <c r="AY229" i="3"/>
  <c r="AV237" i="3"/>
  <c r="AP237" i="3"/>
  <c r="AQ237" i="3"/>
  <c r="AS245" i="3"/>
  <c r="AX245" i="3"/>
  <c r="AY245" i="3"/>
  <c r="AR16" i="3"/>
  <c r="AX16" i="3"/>
  <c r="AU16" i="3"/>
  <c r="AX97" i="3"/>
  <c r="AT97" i="3"/>
  <c r="AO97" i="3"/>
  <c r="AU97" i="3"/>
  <c r="AQ26" i="3"/>
  <c r="AX26" i="3"/>
  <c r="AV26" i="3"/>
  <c r="AY41" i="3"/>
  <c r="AZ41" i="3"/>
  <c r="AV29" i="3"/>
  <c r="AQ29" i="3"/>
  <c r="AS29" i="3"/>
  <c r="AR98" i="3"/>
  <c r="AY98" i="3"/>
  <c r="AO113" i="3"/>
  <c r="AT113" i="3"/>
  <c r="AU113" i="3"/>
  <c r="AV137" i="3"/>
  <c r="AW137" i="3"/>
  <c r="AY236" i="3"/>
  <c r="AZ236" i="3"/>
  <c r="AX225" i="3"/>
  <c r="AQ225" i="3"/>
  <c r="AU253" i="3"/>
  <c r="AS253" i="3"/>
  <c r="AY253" i="3"/>
  <c r="AZ253" i="3"/>
  <c r="AR231" i="3"/>
  <c r="AP231" i="3"/>
  <c r="AQ231" i="3"/>
  <c r="AX224" i="3"/>
  <c r="AO224" i="3"/>
  <c r="AU242" i="3"/>
  <c r="AV242" i="3"/>
  <c r="AW242" i="3"/>
  <c r="AY244" i="3"/>
  <c r="AZ244" i="3"/>
  <c r="AX230" i="3"/>
  <c r="AY230" i="3"/>
  <c r="AZ230" i="3"/>
  <c r="AR229" i="3"/>
  <c r="AW229" i="3"/>
  <c r="AZ237" i="3"/>
  <c r="AO237" i="3"/>
  <c r="AT237" i="3"/>
  <c r="AU237" i="3"/>
  <c r="AR245" i="3"/>
  <c r="AW245" i="3"/>
  <c r="AO16" i="3"/>
  <c r="AZ16" i="3"/>
  <c r="AY16" i="3"/>
  <c r="AP97" i="3"/>
  <c r="AS97" i="3"/>
  <c r="AY97" i="3"/>
  <c r="AO41" i="3"/>
  <c r="AT29" i="3"/>
  <c r="AR29" i="3"/>
  <c r="AU29" i="3"/>
  <c r="AW29" i="3"/>
  <c r="AV98" i="3"/>
  <c r="AZ98" i="3"/>
  <c r="AO98" i="3"/>
  <c r="AR113" i="3"/>
  <c r="AS113" i="3"/>
  <c r="AX113" i="3"/>
  <c r="AY113" i="3"/>
  <c r="AZ137" i="3"/>
  <c r="AP137" i="3"/>
  <c r="AQ137" i="3"/>
  <c r="AO236" i="3"/>
  <c r="AO225" i="3"/>
  <c r="AU225" i="3"/>
  <c r="AV231" i="3"/>
  <c r="AO231" i="3"/>
  <c r="AT231" i="3"/>
  <c r="AU231" i="3"/>
  <c r="AR224" i="3"/>
  <c r="AQ224" i="3"/>
  <c r="AP242" i="3"/>
  <c r="AY242" i="3"/>
  <c r="AV229" i="3"/>
  <c r="AP229" i="3"/>
  <c r="AS237" i="3"/>
  <c r="AX237" i="3"/>
  <c r="AV245" i="3"/>
  <c r="AP245" i="3"/>
  <c r="AT17" i="3"/>
  <c r="AS17" i="3"/>
  <c r="AZ17" i="3"/>
  <c r="AW17" i="3"/>
  <c r="AP17" i="3"/>
  <c r="AO17" i="3"/>
  <c r="AV17" i="3"/>
  <c r="AQ17" i="3"/>
  <c r="AU17" i="3"/>
  <c r="AY17" i="3"/>
  <c r="AR17" i="3"/>
  <c r="AX17" i="3"/>
  <c r="AS16" i="3"/>
  <c r="AP16" i="3"/>
  <c r="AT41" i="3"/>
  <c r="AQ41" i="3"/>
  <c r="AR41" i="3"/>
  <c r="AP29" i="3"/>
  <c r="AT98" i="3"/>
  <c r="AP98" i="3"/>
  <c r="AQ98" i="3"/>
  <c r="AV113" i="3"/>
  <c r="AO137" i="3"/>
  <c r="AT137" i="3"/>
  <c r="AT236" i="3"/>
  <c r="AQ236" i="3"/>
  <c r="AR236" i="3"/>
  <c r="AR225" i="3"/>
  <c r="AV225" i="3"/>
  <c r="AS225" i="3"/>
  <c r="AW253" i="3"/>
  <c r="AO253" i="3"/>
  <c r="AZ231" i="3"/>
  <c r="AS231" i="3"/>
  <c r="AX231" i="3"/>
  <c r="AL278" i="2"/>
  <c r="AM278" i="2" s="1"/>
  <c r="BD277" i="2"/>
  <c r="AJ279" i="2"/>
  <c r="AK279" i="2" s="1"/>
  <c r="AL358" i="2"/>
  <c r="AM358" i="2" s="1"/>
  <c r="BF358" i="2" s="1"/>
  <c r="BD357" i="2"/>
  <c r="AJ359" i="2"/>
  <c r="AK359" i="2" s="1"/>
  <c r="AL307" i="2"/>
  <c r="AM307" i="2" s="1"/>
  <c r="BD306" i="2"/>
  <c r="AJ308" i="2"/>
  <c r="AK308" i="2" s="1"/>
  <c r="AL232" i="2"/>
  <c r="AM232" i="2" s="1"/>
  <c r="BN232" i="2" s="1"/>
  <c r="BD231" i="2"/>
  <c r="AJ233" i="2"/>
  <c r="AK233" i="2" s="1"/>
  <c r="AL120" i="2"/>
  <c r="AM120" i="2" s="1"/>
  <c r="BF120" i="2" s="1"/>
  <c r="BD119" i="2"/>
  <c r="AJ121" i="2"/>
  <c r="AK121" i="2" s="1"/>
  <c r="BN307" i="2"/>
  <c r="BN278" i="2"/>
  <c r="AO7" i="2"/>
  <c r="AR7" i="2"/>
  <c r="AX7" i="2"/>
  <c r="AX87" i="2"/>
  <c r="AW87" i="2"/>
  <c r="AZ87" i="2"/>
  <c r="AY87" i="2"/>
  <c r="AT87" i="2"/>
  <c r="AS87" i="2"/>
  <c r="AV87" i="2"/>
  <c r="AU87" i="2"/>
  <c r="AP87" i="2"/>
  <c r="AO87" i="2"/>
  <c r="AR87" i="2"/>
  <c r="AQ87" i="2"/>
  <c r="AQ69" i="2"/>
  <c r="AR69" i="2"/>
  <c r="AO69" i="2"/>
  <c r="AP69" i="2"/>
  <c r="AU85" i="2"/>
  <c r="AV85" i="2"/>
  <c r="AS85" i="2"/>
  <c r="AT85" i="2"/>
  <c r="AQ111" i="2"/>
  <c r="AW111" i="2"/>
  <c r="AZ111" i="2"/>
  <c r="AT111" i="2"/>
  <c r="AP111" i="2"/>
  <c r="AS111" i="2"/>
  <c r="AV111" i="2"/>
  <c r="AU111" i="2"/>
  <c r="AY111" i="2"/>
  <c r="AX111" i="2"/>
  <c r="AO111" i="2"/>
  <c r="AR111" i="2"/>
  <c r="AL116" i="2"/>
  <c r="AM116" i="2" s="1"/>
  <c r="BF116" i="2" s="1"/>
  <c r="BD115" i="2"/>
  <c r="AJ117" i="2"/>
  <c r="AK117" i="2" s="1"/>
  <c r="AY186" i="2"/>
  <c r="AZ186" i="2"/>
  <c r="AW186" i="2"/>
  <c r="AI201" i="2"/>
  <c r="AY270" i="2"/>
  <c r="AZ270" i="2"/>
  <c r="AW270" i="2"/>
  <c r="AI285" i="2"/>
  <c r="AX320" i="2"/>
  <c r="AW320" i="2"/>
  <c r="AZ320" i="2"/>
  <c r="AY320" i="2"/>
  <c r="AT320" i="2"/>
  <c r="AS320" i="2"/>
  <c r="AV320" i="2"/>
  <c r="AU320" i="2"/>
  <c r="AP320" i="2"/>
  <c r="AO320" i="2"/>
  <c r="AR320" i="2"/>
  <c r="AQ320" i="2"/>
  <c r="AY303" i="2"/>
  <c r="AZ303" i="2"/>
  <c r="AW303" i="2"/>
  <c r="AI347" i="2"/>
  <c r="AS348" i="2"/>
  <c r="AX348" i="2"/>
  <c r="AI354" i="2"/>
  <c r="AQ355" i="2"/>
  <c r="AR355" i="2"/>
  <c r="AO355" i="2"/>
  <c r="AO365" i="2"/>
  <c r="AV385" i="2"/>
  <c r="AS385" i="2"/>
  <c r="AT385" i="2"/>
  <c r="AY385" i="2"/>
  <c r="AR63" i="2"/>
  <c r="AQ63" i="2"/>
  <c r="AX63" i="2"/>
  <c r="AW63" i="2"/>
  <c r="AZ63" i="2"/>
  <c r="AY63" i="2"/>
  <c r="AT63" i="2"/>
  <c r="AS63" i="2"/>
  <c r="AV63" i="2"/>
  <c r="AU63" i="2"/>
  <c r="AP63" i="2"/>
  <c r="AO63" i="2"/>
  <c r="AR99" i="2"/>
  <c r="AQ99" i="2"/>
  <c r="AX99" i="2"/>
  <c r="AW99" i="2"/>
  <c r="AZ99" i="2"/>
  <c r="AY99" i="2"/>
  <c r="AT99" i="2"/>
  <c r="AS99" i="2"/>
  <c r="AV99" i="2"/>
  <c r="AU99" i="2"/>
  <c r="AP99" i="2"/>
  <c r="AO99" i="2"/>
  <c r="AU57" i="2"/>
  <c r="AV57" i="2"/>
  <c r="AS57" i="2"/>
  <c r="AT57" i="2"/>
  <c r="AY73" i="2"/>
  <c r="AZ73" i="2"/>
  <c r="AW73" i="2"/>
  <c r="AI88" i="2"/>
  <c r="AQ105" i="2"/>
  <c r="AR105" i="2"/>
  <c r="AO105" i="2"/>
  <c r="AP105" i="2"/>
  <c r="AO129" i="2"/>
  <c r="AR129" i="2"/>
  <c r="AQ129" i="2"/>
  <c r="AX129" i="2"/>
  <c r="AW129" i="2"/>
  <c r="AZ129" i="2"/>
  <c r="AY129" i="2"/>
  <c r="AT129" i="2"/>
  <c r="AS129" i="2"/>
  <c r="AV129" i="2"/>
  <c r="AU129" i="2"/>
  <c r="AP129" i="2"/>
  <c r="AU120" i="2"/>
  <c r="BK120" i="2" s="1"/>
  <c r="AV120" i="2"/>
  <c r="BL120" i="2" s="1"/>
  <c r="AS120" i="2"/>
  <c r="BI120" i="2" s="1"/>
  <c r="AT120" i="2"/>
  <c r="BJ120" i="2" s="1"/>
  <c r="AO183" i="2"/>
  <c r="AR183" i="2"/>
  <c r="AQ183" i="2"/>
  <c r="AX183" i="2"/>
  <c r="AW183" i="2"/>
  <c r="AZ183" i="2"/>
  <c r="AY183" i="2"/>
  <c r="AT183" i="2"/>
  <c r="AS183" i="2"/>
  <c r="AV183" i="2"/>
  <c r="AU183" i="2"/>
  <c r="AP183" i="2"/>
  <c r="AP175" i="2"/>
  <c r="AU175" i="2"/>
  <c r="AV175" i="2"/>
  <c r="AW175" i="2"/>
  <c r="AR196" i="2"/>
  <c r="AQ196" i="2"/>
  <c r="AX196" i="2"/>
  <c r="AW196" i="2"/>
  <c r="AZ196" i="2"/>
  <c r="AY196" i="2"/>
  <c r="AT196" i="2"/>
  <c r="AS196" i="2"/>
  <c r="AV196" i="2"/>
  <c r="AU196" i="2"/>
  <c r="AP196" i="2"/>
  <c r="AO196" i="2"/>
  <c r="AU190" i="2"/>
  <c r="AV190" i="2"/>
  <c r="AS190" i="2"/>
  <c r="AT190" i="2"/>
  <c r="AY206" i="2"/>
  <c r="AZ206" i="2"/>
  <c r="AW206" i="2"/>
  <c r="AQ232" i="2"/>
  <c r="BG232" i="2" s="1"/>
  <c r="AR232" i="2"/>
  <c r="BH232" i="2" s="1"/>
  <c r="BQ232" i="2" s="1"/>
  <c r="BT232" i="2" s="1"/>
  <c r="BU232" i="2" s="1"/>
  <c r="BV232" i="2" s="1"/>
  <c r="BW232" i="2" s="1"/>
  <c r="AO232" i="2"/>
  <c r="BE232" i="2" s="1"/>
  <c r="AP232" i="2"/>
  <c r="BF232" i="2" s="1"/>
  <c r="AQ274" i="2"/>
  <c r="AR274" i="2"/>
  <c r="AO274" i="2"/>
  <c r="AP274" i="2"/>
  <c r="AQ307" i="2"/>
  <c r="BG307" i="2" s="1"/>
  <c r="AR307" i="2"/>
  <c r="BH307" i="2" s="1"/>
  <c r="AO307" i="2"/>
  <c r="BE307" i="2" s="1"/>
  <c r="AP307" i="2"/>
  <c r="BF307" i="2" s="1"/>
  <c r="AY368" i="2"/>
  <c r="AZ368" i="2"/>
  <c r="AW368" i="2"/>
  <c r="AO379" i="2"/>
  <c r="AR379" i="2"/>
  <c r="AQ379" i="2"/>
  <c r="AX379" i="2"/>
  <c r="AW379" i="2"/>
  <c r="AZ379" i="2"/>
  <c r="AY379" i="2"/>
  <c r="AT379" i="2"/>
  <c r="AS379" i="2"/>
  <c r="AV379" i="2"/>
  <c r="AU379" i="2"/>
  <c r="AP379" i="2"/>
  <c r="AS378" i="2"/>
  <c r="AY378" i="2"/>
  <c r="AZ378" i="2"/>
  <c r="AT378" i="2"/>
  <c r="AQ61" i="2"/>
  <c r="AR61" i="2"/>
  <c r="AO61" i="2"/>
  <c r="AP61" i="2"/>
  <c r="AU77" i="2"/>
  <c r="AV77" i="2"/>
  <c r="AS77" i="2"/>
  <c r="AT77" i="2"/>
  <c r="AY93" i="2"/>
  <c r="AZ93" i="2"/>
  <c r="AW93" i="2"/>
  <c r="AX109" i="2"/>
  <c r="AI123" i="2"/>
  <c r="AS199" i="2"/>
  <c r="AV199" i="2"/>
  <c r="AU199" i="2"/>
  <c r="AP199" i="2"/>
  <c r="AO199" i="2"/>
  <c r="AR199" i="2"/>
  <c r="AQ199" i="2"/>
  <c r="AX199" i="2"/>
  <c r="AW199" i="2"/>
  <c r="AZ199" i="2"/>
  <c r="AY199" i="2"/>
  <c r="AT199" i="2"/>
  <c r="AI177" i="2"/>
  <c r="AQ194" i="2"/>
  <c r="AR194" i="2"/>
  <c r="AO194" i="2"/>
  <c r="AP194" i="2"/>
  <c r="AV238" i="2"/>
  <c r="AU238" i="2"/>
  <c r="AP238" i="2"/>
  <c r="AO238" i="2"/>
  <c r="AR238" i="2"/>
  <c r="AQ238" i="2"/>
  <c r="AX238" i="2"/>
  <c r="AW238" i="2"/>
  <c r="AZ238" i="2"/>
  <c r="AY238" i="2"/>
  <c r="AT238" i="2"/>
  <c r="AS238" i="2"/>
  <c r="AQ236" i="2"/>
  <c r="AR236" i="2"/>
  <c r="AO236" i="2"/>
  <c r="AP236" i="2"/>
  <c r="AQ278" i="2"/>
  <c r="BG278" i="2" s="1"/>
  <c r="AR278" i="2"/>
  <c r="BH278" i="2" s="1"/>
  <c r="AO278" i="2"/>
  <c r="BE278" i="2" s="1"/>
  <c r="AP278" i="2"/>
  <c r="BF278" i="2" s="1"/>
  <c r="AI310" i="2"/>
  <c r="AU317" i="2"/>
  <c r="AQ317" i="2"/>
  <c r="AS317" i="2"/>
  <c r="AV317" i="2"/>
  <c r="AO317" i="2"/>
  <c r="AR317" i="2"/>
  <c r="AT317" i="2"/>
  <c r="AY317" i="2"/>
  <c r="AP317" i="2"/>
  <c r="AX317" i="2"/>
  <c r="AW317" i="2"/>
  <c r="AZ317" i="2"/>
  <c r="AY319" i="2"/>
  <c r="AZ319" i="2"/>
  <c r="AI321" i="2"/>
  <c r="AT337" i="2"/>
  <c r="AY337" i="2"/>
  <c r="AZ337" i="2"/>
  <c r="AI339" i="2"/>
  <c r="AW82" i="2"/>
  <c r="AZ82" i="2"/>
  <c r="AY82" i="2"/>
  <c r="AT82" i="2"/>
  <c r="AS82" i="2"/>
  <c r="AV82" i="2"/>
  <c r="AU82" i="2"/>
  <c r="AP82" i="2"/>
  <c r="AO82" i="2"/>
  <c r="AR82" i="2"/>
  <c r="AQ82" i="2"/>
  <c r="AX82" i="2"/>
  <c r="AW58" i="2"/>
  <c r="AZ58" i="2"/>
  <c r="AY58" i="2"/>
  <c r="AT58" i="2"/>
  <c r="AS58" i="2"/>
  <c r="AV58" i="2"/>
  <c r="AU58" i="2"/>
  <c r="AP58" i="2"/>
  <c r="AO58" i="2"/>
  <c r="AR58" i="2"/>
  <c r="AQ58" i="2"/>
  <c r="AX58" i="2"/>
  <c r="AY65" i="2"/>
  <c r="AZ65" i="2"/>
  <c r="AW65" i="2"/>
  <c r="AI80" i="2"/>
  <c r="AQ97" i="2"/>
  <c r="AR97" i="2"/>
  <c r="AO97" i="2"/>
  <c r="AP97" i="2"/>
  <c r="AQ128" i="2"/>
  <c r="AR128" i="2"/>
  <c r="AO128" i="2"/>
  <c r="AP128" i="2"/>
  <c r="AI181" i="2"/>
  <c r="AQ198" i="2"/>
  <c r="AR198" i="2"/>
  <c r="AO198" i="2"/>
  <c r="AP198" i="2"/>
  <c r="AU266" i="2"/>
  <c r="AV266" i="2"/>
  <c r="AS266" i="2"/>
  <c r="AT266" i="2"/>
  <c r="AY282" i="2"/>
  <c r="AZ282" i="2"/>
  <c r="AW282" i="2"/>
  <c r="AI343" i="2"/>
  <c r="AI350" i="2"/>
  <c r="AQ351" i="2"/>
  <c r="AU358" i="2"/>
  <c r="BK358" i="2" s="1"/>
  <c r="AV358" i="2"/>
  <c r="BL358" i="2" s="1"/>
  <c r="AS358" i="2"/>
  <c r="BI358" i="2" s="1"/>
  <c r="AT358" i="2"/>
  <c r="BJ358" i="2" s="1"/>
  <c r="AS7" i="2"/>
  <c r="AL7" i="2"/>
  <c r="AM7" i="2" s="1"/>
  <c r="BO7" i="2" s="1"/>
  <c r="BD6" i="2"/>
  <c r="AJ8" i="2"/>
  <c r="AK8" i="2" s="1"/>
  <c r="AQ7" i="2"/>
  <c r="AZ7" i="2"/>
  <c r="BP7" i="2" s="1"/>
  <c r="BQ7" i="2" s="1"/>
  <c r="BT7" i="2" s="1"/>
  <c r="BU7" i="2" s="1"/>
  <c r="BV7" i="2" s="1"/>
  <c r="BW7" i="2" s="1"/>
  <c r="AX94" i="2"/>
  <c r="AW94" i="2"/>
  <c r="AZ94" i="2"/>
  <c r="AY94" i="2"/>
  <c r="AT94" i="2"/>
  <c r="AS94" i="2"/>
  <c r="AV94" i="2"/>
  <c r="AU94" i="2"/>
  <c r="AP94" i="2"/>
  <c r="AO94" i="2"/>
  <c r="AR94" i="2"/>
  <c r="AQ94" i="2"/>
  <c r="AX66" i="2"/>
  <c r="AW66" i="2"/>
  <c r="AZ66" i="2"/>
  <c r="AY66" i="2"/>
  <c r="AT66" i="2"/>
  <c r="AS66" i="2"/>
  <c r="AV66" i="2"/>
  <c r="AU66" i="2"/>
  <c r="AP66" i="2"/>
  <c r="AO66" i="2"/>
  <c r="AR66" i="2"/>
  <c r="AQ66" i="2"/>
  <c r="AU69" i="2"/>
  <c r="AV69" i="2"/>
  <c r="AS69" i="2"/>
  <c r="AT69" i="2"/>
  <c r="AY85" i="2"/>
  <c r="AZ85" i="2"/>
  <c r="AW85" i="2"/>
  <c r="AX85" i="2"/>
  <c r="AI100" i="2"/>
  <c r="AX121" i="2"/>
  <c r="AW121" i="2"/>
  <c r="AZ121" i="2"/>
  <c r="AY121" i="2"/>
  <c r="AT121" i="2"/>
  <c r="AS121" i="2"/>
  <c r="AV121" i="2"/>
  <c r="AU121" i="2"/>
  <c r="AP121" i="2"/>
  <c r="AO121" i="2"/>
  <c r="AR121" i="2"/>
  <c r="AQ121" i="2"/>
  <c r="AX179" i="2"/>
  <c r="AW179" i="2"/>
  <c r="AZ179" i="2"/>
  <c r="AY179" i="2"/>
  <c r="AT179" i="2"/>
  <c r="AS179" i="2"/>
  <c r="AV179" i="2"/>
  <c r="AU179" i="2"/>
  <c r="AP179" i="2"/>
  <c r="AO179" i="2"/>
  <c r="AR179" i="2"/>
  <c r="AQ179" i="2"/>
  <c r="AQ116" i="2"/>
  <c r="BG116" i="2" s="1"/>
  <c r="AR116" i="2"/>
  <c r="BH116" i="2" s="1"/>
  <c r="AO116" i="2"/>
  <c r="BE116" i="2" s="1"/>
  <c r="AI185" i="2"/>
  <c r="AQ202" i="2"/>
  <c r="AR202" i="2"/>
  <c r="AO202" i="2"/>
  <c r="AX267" i="2"/>
  <c r="AW267" i="2"/>
  <c r="AZ267" i="2"/>
  <c r="AY267" i="2"/>
  <c r="AT267" i="2"/>
  <c r="AS267" i="2"/>
  <c r="AV267" i="2"/>
  <c r="AU267" i="2"/>
  <c r="AP267" i="2"/>
  <c r="AO267" i="2"/>
  <c r="AR267" i="2"/>
  <c r="AQ267" i="2"/>
  <c r="AX268" i="2"/>
  <c r="AW268" i="2"/>
  <c r="AZ268" i="2"/>
  <c r="AY268" i="2"/>
  <c r="AT268" i="2"/>
  <c r="AS268" i="2"/>
  <c r="AV268" i="2"/>
  <c r="AU268" i="2"/>
  <c r="AP268" i="2"/>
  <c r="AO268" i="2"/>
  <c r="AR268" i="2"/>
  <c r="AQ268" i="2"/>
  <c r="AX284" i="2"/>
  <c r="AW284" i="2"/>
  <c r="AZ284" i="2"/>
  <c r="AY284" i="2"/>
  <c r="AT284" i="2"/>
  <c r="AS284" i="2"/>
  <c r="AV284" i="2"/>
  <c r="AU284" i="2"/>
  <c r="AP284" i="2"/>
  <c r="AO284" i="2"/>
  <c r="AR284" i="2"/>
  <c r="AQ284" i="2"/>
  <c r="AI269" i="2"/>
  <c r="AQ286" i="2"/>
  <c r="AR286" i="2"/>
  <c r="AO286" i="2"/>
  <c r="AI302" i="2"/>
  <c r="AQ321" i="2"/>
  <c r="AX321" i="2"/>
  <c r="AW321" i="2"/>
  <c r="AZ321" i="2"/>
  <c r="AY321" i="2"/>
  <c r="AT321" i="2"/>
  <c r="AS321" i="2"/>
  <c r="AV321" i="2"/>
  <c r="AU321" i="2"/>
  <c r="AP321" i="2"/>
  <c r="AO321" i="2"/>
  <c r="AR321" i="2"/>
  <c r="AP355" i="2"/>
  <c r="AU355" i="2"/>
  <c r="AV355" i="2"/>
  <c r="AS355" i="2"/>
  <c r="AI364" i="2"/>
  <c r="AQ365" i="2"/>
  <c r="AR365" i="2"/>
  <c r="AZ385" i="2"/>
  <c r="AW385" i="2"/>
  <c r="AX385" i="2"/>
  <c r="AY57" i="2"/>
  <c r="AZ57" i="2"/>
  <c r="AW57" i="2"/>
  <c r="AX57" i="2"/>
  <c r="AI72" i="2"/>
  <c r="AQ89" i="2"/>
  <c r="AR89" i="2"/>
  <c r="AO89" i="2"/>
  <c r="AU105" i="2"/>
  <c r="AV105" i="2"/>
  <c r="AS105" i="2"/>
  <c r="AT105" i="2"/>
  <c r="AR122" i="2"/>
  <c r="AQ122" i="2"/>
  <c r="AX122" i="2"/>
  <c r="AW122" i="2"/>
  <c r="AZ122" i="2"/>
  <c r="AY122" i="2"/>
  <c r="AT122" i="2"/>
  <c r="AS122" i="2"/>
  <c r="AV122" i="2"/>
  <c r="AU122" i="2"/>
  <c r="AP122" i="2"/>
  <c r="AO122" i="2"/>
  <c r="AY120" i="2"/>
  <c r="BO120" i="2" s="1"/>
  <c r="BQ120" i="2" s="1"/>
  <c r="BT120" i="2" s="1"/>
  <c r="BU120" i="2" s="1"/>
  <c r="BV120" i="2" s="1"/>
  <c r="BW120" i="2" s="1"/>
  <c r="AZ120" i="2"/>
  <c r="BP120" i="2" s="1"/>
  <c r="AW120" i="2"/>
  <c r="BM120" i="2" s="1"/>
  <c r="AX120" i="2"/>
  <c r="BN120" i="2" s="1"/>
  <c r="AR200" i="2"/>
  <c r="AQ200" i="2"/>
  <c r="AX200" i="2"/>
  <c r="AW200" i="2"/>
  <c r="AZ200" i="2"/>
  <c r="AY200" i="2"/>
  <c r="AT200" i="2"/>
  <c r="AS200" i="2"/>
  <c r="AV200" i="2"/>
  <c r="AU200" i="2"/>
  <c r="AP200" i="2"/>
  <c r="AO200" i="2"/>
  <c r="AT175" i="2"/>
  <c r="AY175" i="2"/>
  <c r="AZ175" i="2"/>
  <c r="AY190" i="2"/>
  <c r="AZ190" i="2"/>
  <c r="AW190" i="2"/>
  <c r="AX190" i="2"/>
  <c r="AI205" i="2"/>
  <c r="AU232" i="2"/>
  <c r="BK232" i="2" s="1"/>
  <c r="AV232" i="2"/>
  <c r="BL232" i="2" s="1"/>
  <c r="AS232" i="2"/>
  <c r="BI232" i="2" s="1"/>
  <c r="AT232" i="2"/>
  <c r="BJ232" i="2" s="1"/>
  <c r="AU274" i="2"/>
  <c r="AV274" i="2"/>
  <c r="AS274" i="2"/>
  <c r="AT274" i="2"/>
  <c r="AS313" i="2"/>
  <c r="AR313" i="2"/>
  <c r="AU313" i="2"/>
  <c r="AQ313" i="2"/>
  <c r="AO313" i="2"/>
  <c r="AT313" i="2"/>
  <c r="AZ313" i="2"/>
  <c r="AX313" i="2"/>
  <c r="AW313" i="2"/>
  <c r="AV313" i="2"/>
  <c r="AP313" i="2"/>
  <c r="AY313" i="2"/>
  <c r="AU307" i="2"/>
  <c r="BK307" i="2" s="1"/>
  <c r="AV307" i="2"/>
  <c r="BL307" i="2" s="1"/>
  <c r="BQ307" i="2" s="1"/>
  <c r="BT307" i="2" s="1"/>
  <c r="BU307" i="2" s="1"/>
  <c r="BV307" i="2" s="1"/>
  <c r="BW307" i="2" s="1"/>
  <c r="AS307" i="2"/>
  <c r="BI307" i="2" s="1"/>
  <c r="AT307" i="2"/>
  <c r="BJ307" i="2" s="1"/>
  <c r="AO341" i="2"/>
  <c r="AR341" i="2"/>
  <c r="AQ341" i="2"/>
  <c r="AX341" i="2"/>
  <c r="AW341" i="2"/>
  <c r="AZ341" i="2"/>
  <c r="AY341" i="2"/>
  <c r="AT341" i="2"/>
  <c r="AS341" i="2"/>
  <c r="AV341" i="2"/>
  <c r="AU341" i="2"/>
  <c r="AP341" i="2"/>
  <c r="AZ352" i="2"/>
  <c r="AR352" i="2"/>
  <c r="AY352" i="2"/>
  <c r="AQ352" i="2"/>
  <c r="AX352" i="2"/>
  <c r="AW352" i="2"/>
  <c r="AT352" i="2"/>
  <c r="AS352" i="2"/>
  <c r="AV352" i="2"/>
  <c r="AU352" i="2"/>
  <c r="AP352" i="2"/>
  <c r="AO352" i="2"/>
  <c r="AX370" i="2"/>
  <c r="AR370" i="2"/>
  <c r="AV370" i="2"/>
  <c r="AY370" i="2"/>
  <c r="AT370" i="2"/>
  <c r="AU370" i="2"/>
  <c r="AP370" i="2"/>
  <c r="AW370" i="2"/>
  <c r="AQ370" i="2"/>
  <c r="AZ370" i="2"/>
  <c r="AO370" i="2"/>
  <c r="AS370" i="2"/>
  <c r="AI367" i="2"/>
  <c r="AW378" i="2"/>
  <c r="AS98" i="2"/>
  <c r="AV98" i="2"/>
  <c r="AU98" i="2"/>
  <c r="AP98" i="2"/>
  <c r="AO98" i="2"/>
  <c r="AR98" i="2"/>
  <c r="AQ98" i="2"/>
  <c r="AX98" i="2"/>
  <c r="AW98" i="2"/>
  <c r="AZ98" i="2"/>
  <c r="AY98" i="2"/>
  <c r="AT98" i="2"/>
  <c r="AU61" i="2"/>
  <c r="AV61" i="2"/>
  <c r="AS61" i="2"/>
  <c r="AT61" i="2"/>
  <c r="AY77" i="2"/>
  <c r="AZ77" i="2"/>
  <c r="AW77" i="2"/>
  <c r="AX77" i="2"/>
  <c r="AI92" i="2"/>
  <c r="AV109" i="2"/>
  <c r="AS195" i="2"/>
  <c r="AV195" i="2"/>
  <c r="AU195" i="2"/>
  <c r="AP195" i="2"/>
  <c r="AO195" i="2"/>
  <c r="AR195" i="2"/>
  <c r="AQ195" i="2"/>
  <c r="AX195" i="2"/>
  <c r="AW195" i="2"/>
  <c r="AZ195" i="2"/>
  <c r="AY195" i="2"/>
  <c r="AT195" i="2"/>
  <c r="AR124" i="2"/>
  <c r="AO124" i="2"/>
  <c r="AU194" i="2"/>
  <c r="AV194" i="2"/>
  <c r="AS194" i="2"/>
  <c r="AT194" i="2"/>
  <c r="AU236" i="2"/>
  <c r="AV236" i="2"/>
  <c r="AS236" i="2"/>
  <c r="AT236" i="2"/>
  <c r="AU278" i="2"/>
  <c r="BK278" i="2" s="1"/>
  <c r="AV278" i="2"/>
  <c r="BL278" i="2" s="1"/>
  <c r="AS278" i="2"/>
  <c r="BI278" i="2" s="1"/>
  <c r="AT278" i="2"/>
  <c r="BJ278" i="2" s="1"/>
  <c r="AQ311" i="2"/>
  <c r="AR311" i="2"/>
  <c r="AO311" i="2"/>
  <c r="AQ322" i="2"/>
  <c r="AR322" i="2"/>
  <c r="AO322" i="2"/>
  <c r="AS345" i="2"/>
  <c r="AV345" i="2"/>
  <c r="AU345" i="2"/>
  <c r="AP345" i="2"/>
  <c r="AO345" i="2"/>
  <c r="AR345" i="2"/>
  <c r="AQ345" i="2"/>
  <c r="AX345" i="2"/>
  <c r="AW345" i="2"/>
  <c r="AZ345" i="2"/>
  <c r="AY345" i="2"/>
  <c r="AT345" i="2"/>
  <c r="AQ340" i="2"/>
  <c r="AR340" i="2"/>
  <c r="AO340" i="2"/>
  <c r="AZ71" i="2"/>
  <c r="AY71" i="2"/>
  <c r="AT71" i="2"/>
  <c r="AS71" i="2"/>
  <c r="AV71" i="2"/>
  <c r="AU71" i="2"/>
  <c r="AP71" i="2"/>
  <c r="AO71" i="2"/>
  <c r="AR71" i="2"/>
  <c r="AQ71" i="2"/>
  <c r="AX71" i="2"/>
  <c r="AW71" i="2"/>
  <c r="AI64" i="2"/>
  <c r="AQ81" i="2"/>
  <c r="AR81" i="2"/>
  <c r="AO81" i="2"/>
  <c r="AU97" i="2"/>
  <c r="AV97" i="2"/>
  <c r="AS97" i="2"/>
  <c r="AT97" i="2"/>
  <c r="AW117" i="2"/>
  <c r="AZ117" i="2"/>
  <c r="AY117" i="2"/>
  <c r="AT117" i="2"/>
  <c r="AS117" i="2"/>
  <c r="AV117" i="2"/>
  <c r="AU117" i="2"/>
  <c r="AP117" i="2"/>
  <c r="AO117" i="2"/>
  <c r="AR117" i="2"/>
  <c r="AQ117" i="2"/>
  <c r="AX117" i="2"/>
  <c r="AZ130" i="2"/>
  <c r="AY130" i="2"/>
  <c r="AT130" i="2"/>
  <c r="AS130" i="2"/>
  <c r="AV130" i="2"/>
  <c r="AU130" i="2"/>
  <c r="AP130" i="2"/>
  <c r="AO130" i="2"/>
  <c r="AR130" i="2"/>
  <c r="AQ130" i="2"/>
  <c r="AX130" i="2"/>
  <c r="AW130" i="2"/>
  <c r="AU128" i="2"/>
  <c r="AV128" i="2"/>
  <c r="AS128" i="2"/>
  <c r="AT128" i="2"/>
  <c r="AQ182" i="2"/>
  <c r="AR182" i="2"/>
  <c r="AO182" i="2"/>
  <c r="AU198" i="2"/>
  <c r="AV198" i="2"/>
  <c r="AS198" i="2"/>
  <c r="AT198" i="2"/>
  <c r="AY266" i="2"/>
  <c r="AZ266" i="2"/>
  <c r="AW266" i="2"/>
  <c r="AX266" i="2"/>
  <c r="AI281" i="2"/>
  <c r="AI314" i="2"/>
  <c r="AQ344" i="2"/>
  <c r="AR344" i="2"/>
  <c r="AO344" i="2"/>
  <c r="AR351" i="2"/>
  <c r="AV351" i="2"/>
  <c r="AP351" i="2"/>
  <c r="AY358" i="2"/>
  <c r="BO358" i="2" s="1"/>
  <c r="AZ358" i="2"/>
  <c r="BP358" i="2" s="1"/>
  <c r="BQ358" i="2" s="1"/>
  <c r="BT358" i="2" s="1"/>
  <c r="BU358" i="2" s="1"/>
  <c r="BV358" i="2" s="1"/>
  <c r="BW358" i="2" s="1"/>
  <c r="AW358" i="2"/>
  <c r="BM358" i="2" s="1"/>
  <c r="AX358" i="2"/>
  <c r="BN358" i="2" s="1"/>
  <c r="AW7" i="2"/>
  <c r="BM7" i="2" s="1"/>
  <c r="AP7" i="2"/>
  <c r="BF7" i="2" s="1"/>
  <c r="AU7" i="2"/>
  <c r="BK7" i="2" s="1"/>
  <c r="AY69" i="2"/>
  <c r="AZ69" i="2"/>
  <c r="AW69" i="2"/>
  <c r="AI84" i="2"/>
  <c r="BK116" i="2"/>
  <c r="BL116" i="2"/>
  <c r="BI116" i="2"/>
  <c r="BJ116" i="2"/>
  <c r="AX272" i="2"/>
  <c r="AW272" i="2"/>
  <c r="AZ272" i="2"/>
  <c r="AY272" i="2"/>
  <c r="AT272" i="2"/>
  <c r="AS272" i="2"/>
  <c r="AV272" i="2"/>
  <c r="AU272" i="2"/>
  <c r="AP272" i="2"/>
  <c r="AO272" i="2"/>
  <c r="AR272" i="2"/>
  <c r="AQ272" i="2"/>
  <c r="AU288" i="2"/>
  <c r="AP288" i="2"/>
  <c r="AQ288" i="2"/>
  <c r="AW288" i="2"/>
  <c r="AS288" i="2"/>
  <c r="AX288" i="2"/>
  <c r="AZ288" i="2"/>
  <c r="AO288" i="2"/>
  <c r="AY288" i="2"/>
  <c r="AT288" i="2"/>
  <c r="AR288" i="2"/>
  <c r="AV288" i="2"/>
  <c r="AX309" i="2"/>
  <c r="AW309" i="2"/>
  <c r="AZ309" i="2"/>
  <c r="AY309" i="2"/>
  <c r="AT309" i="2"/>
  <c r="AS309" i="2"/>
  <c r="AV309" i="2"/>
  <c r="AU309" i="2"/>
  <c r="AP309" i="2"/>
  <c r="AO309" i="2"/>
  <c r="AR309" i="2"/>
  <c r="AQ309" i="2"/>
  <c r="AX324" i="2"/>
  <c r="AW324" i="2"/>
  <c r="AZ324" i="2"/>
  <c r="AY324" i="2"/>
  <c r="AT324" i="2"/>
  <c r="AS324" i="2"/>
  <c r="AV324" i="2"/>
  <c r="AU324" i="2"/>
  <c r="AP324" i="2"/>
  <c r="AO324" i="2"/>
  <c r="AR324" i="2"/>
  <c r="AQ324" i="2"/>
  <c r="AT355" i="2"/>
  <c r="AY355" i="2"/>
  <c r="AZ355" i="2"/>
  <c r="AI384" i="2"/>
  <c r="AQ385" i="2"/>
  <c r="AO78" i="2"/>
  <c r="AR78" i="2"/>
  <c r="AQ78" i="2"/>
  <c r="AX78" i="2"/>
  <c r="AW78" i="2"/>
  <c r="AZ78" i="2"/>
  <c r="AY78" i="2"/>
  <c r="AT78" i="2"/>
  <c r="AS78" i="2"/>
  <c r="AV78" i="2"/>
  <c r="AU78" i="2"/>
  <c r="AP78" i="2"/>
  <c r="AO106" i="2"/>
  <c r="AR106" i="2"/>
  <c r="AQ106" i="2"/>
  <c r="AX106" i="2"/>
  <c r="AW106" i="2"/>
  <c r="AZ106" i="2"/>
  <c r="AY106" i="2"/>
  <c r="AT106" i="2"/>
  <c r="AS106" i="2"/>
  <c r="AV106" i="2"/>
  <c r="AU106" i="2"/>
  <c r="AP106" i="2"/>
  <c r="AI56" i="2"/>
  <c r="AY105" i="2"/>
  <c r="AZ105" i="2"/>
  <c r="AW105" i="2"/>
  <c r="AO191" i="2"/>
  <c r="AR191" i="2"/>
  <c r="AQ191" i="2"/>
  <c r="AX191" i="2"/>
  <c r="AW191" i="2"/>
  <c r="AZ191" i="2"/>
  <c r="AY191" i="2"/>
  <c r="AT191" i="2"/>
  <c r="AS191" i="2"/>
  <c r="AV191" i="2"/>
  <c r="AU191" i="2"/>
  <c r="AP191" i="2"/>
  <c r="AO175" i="2"/>
  <c r="AR180" i="2"/>
  <c r="AQ180" i="2"/>
  <c r="AX180" i="2"/>
  <c r="AW180" i="2"/>
  <c r="AZ180" i="2"/>
  <c r="AY180" i="2"/>
  <c r="AT180" i="2"/>
  <c r="AS180" i="2"/>
  <c r="AV180" i="2"/>
  <c r="AU180" i="2"/>
  <c r="AP180" i="2"/>
  <c r="AO180" i="2"/>
  <c r="AI189" i="2"/>
  <c r="AY232" i="2"/>
  <c r="BO232" i="2" s="1"/>
  <c r="AZ232" i="2"/>
  <c r="BP232" i="2" s="1"/>
  <c r="AW232" i="2"/>
  <c r="BM232" i="2" s="1"/>
  <c r="AY274" i="2"/>
  <c r="AZ274" i="2"/>
  <c r="AW274" i="2"/>
  <c r="AY307" i="2"/>
  <c r="BO307" i="2" s="1"/>
  <c r="AZ307" i="2"/>
  <c r="BP307" i="2" s="1"/>
  <c r="AW307" i="2"/>
  <c r="BM307" i="2" s="1"/>
  <c r="AY360" i="2"/>
  <c r="AS360" i="2"/>
  <c r="AV360" i="2"/>
  <c r="AT360" i="2"/>
  <c r="AU360" i="2"/>
  <c r="AP360" i="2"/>
  <c r="AO360" i="2"/>
  <c r="AQ360" i="2"/>
  <c r="AW360" i="2"/>
  <c r="AX360" i="2"/>
  <c r="AR360" i="2"/>
  <c r="AZ360" i="2"/>
  <c r="AI377" i="2"/>
  <c r="AY61" i="2"/>
  <c r="AZ61" i="2"/>
  <c r="AW61" i="2"/>
  <c r="AI76" i="2"/>
  <c r="AY194" i="2"/>
  <c r="AZ194" i="2"/>
  <c r="AW194" i="2"/>
  <c r="AS283" i="2"/>
  <c r="AV283" i="2"/>
  <c r="AU283" i="2"/>
  <c r="AP283" i="2"/>
  <c r="AO283" i="2"/>
  <c r="AR283" i="2"/>
  <c r="AQ283" i="2"/>
  <c r="AX283" i="2"/>
  <c r="AW283" i="2"/>
  <c r="AZ283" i="2"/>
  <c r="AY283" i="2"/>
  <c r="AT283" i="2"/>
  <c r="AY236" i="2"/>
  <c r="AZ236" i="2"/>
  <c r="AW236" i="2"/>
  <c r="AY278" i="2"/>
  <c r="BO278" i="2" s="1"/>
  <c r="BQ278" i="2" s="1"/>
  <c r="BT278" i="2" s="1"/>
  <c r="BU278" i="2" s="1"/>
  <c r="BV278" i="2" s="1"/>
  <c r="BW278" i="2" s="1"/>
  <c r="AZ278" i="2"/>
  <c r="BP278" i="2" s="1"/>
  <c r="AW278" i="2"/>
  <c r="BM278" i="2" s="1"/>
  <c r="AI318" i="2"/>
  <c r="AI336" i="2"/>
  <c r="AW102" i="2"/>
  <c r="AZ102" i="2"/>
  <c r="AY102" i="2"/>
  <c r="AT102" i="2"/>
  <c r="AS102" i="2"/>
  <c r="AV102" i="2"/>
  <c r="AU102" i="2"/>
  <c r="AP102" i="2"/>
  <c r="AO102" i="2"/>
  <c r="AR102" i="2"/>
  <c r="AQ102" i="2"/>
  <c r="AX102" i="2"/>
  <c r="AY97" i="2"/>
  <c r="AZ97" i="2"/>
  <c r="AW97" i="2"/>
  <c r="AY128" i="2"/>
  <c r="AZ128" i="2"/>
  <c r="AW128" i="2"/>
  <c r="AY198" i="2"/>
  <c r="AZ198" i="2"/>
  <c r="AW198" i="2"/>
  <c r="AI265" i="2"/>
  <c r="AX8" i="2"/>
  <c r="AR8" i="2"/>
  <c r="AV8" i="2"/>
  <c r="AY8" i="2"/>
  <c r="AT8" i="2"/>
  <c r="AW8" i="2"/>
  <c r="AU8" i="2"/>
  <c r="AP8" i="2"/>
  <c r="AS8" i="2"/>
  <c r="AZ8" i="2"/>
  <c r="AQ8" i="2"/>
  <c r="AO8" i="2"/>
  <c r="BL7" i="2"/>
  <c r="AT7" i="2"/>
  <c r="BJ7" i="2" s="1"/>
  <c r="AX67" i="2"/>
  <c r="AW67" i="2"/>
  <c r="AZ67" i="2"/>
  <c r="AY67" i="2"/>
  <c r="AT67" i="2"/>
  <c r="AS67" i="2"/>
  <c r="AV67" i="2"/>
  <c r="AU67" i="2"/>
  <c r="AP67" i="2"/>
  <c r="AO67" i="2"/>
  <c r="AR67" i="2"/>
  <c r="AQ67" i="2"/>
  <c r="AX79" i="2"/>
  <c r="AW79" i="2"/>
  <c r="AZ79" i="2"/>
  <c r="AY79" i="2"/>
  <c r="AT79" i="2"/>
  <c r="AS79" i="2"/>
  <c r="AV79" i="2"/>
  <c r="AU79" i="2"/>
  <c r="AP79" i="2"/>
  <c r="AO79" i="2"/>
  <c r="AR79" i="2"/>
  <c r="AQ79" i="2"/>
  <c r="AX74" i="2"/>
  <c r="AW74" i="2"/>
  <c r="AZ74" i="2"/>
  <c r="AY74" i="2"/>
  <c r="AT74" i="2"/>
  <c r="AS74" i="2"/>
  <c r="AV74" i="2"/>
  <c r="AU74" i="2"/>
  <c r="AP74" i="2"/>
  <c r="AO74" i="2"/>
  <c r="AR74" i="2"/>
  <c r="AQ74" i="2"/>
  <c r="AX107" i="2"/>
  <c r="AW107" i="2"/>
  <c r="AZ107" i="2"/>
  <c r="AY107" i="2"/>
  <c r="AT107" i="2"/>
  <c r="AS107" i="2"/>
  <c r="AV107" i="2"/>
  <c r="AU107" i="2"/>
  <c r="AP107" i="2"/>
  <c r="AO107" i="2"/>
  <c r="AR107" i="2"/>
  <c r="AQ107" i="2"/>
  <c r="AI68" i="2"/>
  <c r="AQ85" i="2"/>
  <c r="AR85" i="2"/>
  <c r="AO85" i="2"/>
  <c r="BO116" i="2"/>
  <c r="BP116" i="2"/>
  <c r="BM116" i="2"/>
  <c r="BQ116" i="2" s="1"/>
  <c r="BT116" i="2" s="1"/>
  <c r="BU116" i="2" s="1"/>
  <c r="BV116" i="2" s="1"/>
  <c r="BW116" i="2" s="1"/>
  <c r="BN116" i="2"/>
  <c r="AX346" i="2"/>
  <c r="AW346" i="2"/>
  <c r="AZ346" i="2"/>
  <c r="AY346" i="2"/>
  <c r="AT346" i="2"/>
  <c r="AS346" i="2"/>
  <c r="AV346" i="2"/>
  <c r="AU346" i="2"/>
  <c r="AP346" i="2"/>
  <c r="AO346" i="2"/>
  <c r="AR346" i="2"/>
  <c r="AQ346" i="2"/>
  <c r="AX353" i="2"/>
  <c r="AP353" i="2"/>
  <c r="AU353" i="2"/>
  <c r="AY353" i="2"/>
  <c r="AQ353" i="2"/>
  <c r="AW353" i="2"/>
  <c r="AZ353" i="2"/>
  <c r="AS353" i="2"/>
  <c r="AV353" i="2"/>
  <c r="AO353" i="2"/>
  <c r="AR353" i="2"/>
  <c r="AT353" i="2"/>
  <c r="AR385" i="2"/>
  <c r="AO385" i="2"/>
  <c r="AP385" i="2"/>
  <c r="AT110" i="2"/>
  <c r="AO110" i="2"/>
  <c r="AV110" i="2"/>
  <c r="AR110" i="2"/>
  <c r="AP110" i="2"/>
  <c r="AW110" i="2"/>
  <c r="AY110" i="2"/>
  <c r="AU110" i="2"/>
  <c r="AX110" i="2"/>
  <c r="AS110" i="2"/>
  <c r="AQ110" i="2"/>
  <c r="AZ110" i="2"/>
  <c r="AR126" i="2"/>
  <c r="AQ126" i="2"/>
  <c r="AX126" i="2"/>
  <c r="AW126" i="2"/>
  <c r="AZ126" i="2"/>
  <c r="AY126" i="2"/>
  <c r="AT126" i="2"/>
  <c r="AS126" i="2"/>
  <c r="AV126" i="2"/>
  <c r="AU126" i="2"/>
  <c r="AP126" i="2"/>
  <c r="AO126" i="2"/>
  <c r="AQ57" i="2"/>
  <c r="AR57" i="2"/>
  <c r="AO57" i="2"/>
  <c r="AI104" i="2"/>
  <c r="AQ120" i="2"/>
  <c r="BG120" i="2" s="1"/>
  <c r="AR120" i="2"/>
  <c r="BH120" i="2" s="1"/>
  <c r="AO120" i="2"/>
  <c r="BE120" i="2" s="1"/>
  <c r="AR184" i="2"/>
  <c r="AQ184" i="2"/>
  <c r="AX184" i="2"/>
  <c r="AW184" i="2"/>
  <c r="AZ184" i="2"/>
  <c r="AY184" i="2"/>
  <c r="AT184" i="2"/>
  <c r="AS184" i="2"/>
  <c r="AV184" i="2"/>
  <c r="AU184" i="2"/>
  <c r="AP184" i="2"/>
  <c r="AO184" i="2"/>
  <c r="AI174" i="2"/>
  <c r="AQ175" i="2"/>
  <c r="AR175" i="2"/>
  <c r="AQ190" i="2"/>
  <c r="AR190" i="2"/>
  <c r="AO190" i="2"/>
  <c r="AO275" i="2"/>
  <c r="AR275" i="2"/>
  <c r="AQ275" i="2"/>
  <c r="AX275" i="2"/>
  <c r="AW275" i="2"/>
  <c r="AZ275" i="2"/>
  <c r="AY275" i="2"/>
  <c r="AT275" i="2"/>
  <c r="AS275" i="2"/>
  <c r="AV275" i="2"/>
  <c r="AU275" i="2"/>
  <c r="AP275" i="2"/>
  <c r="AI273" i="2"/>
  <c r="AS369" i="2"/>
  <c r="AR369" i="2"/>
  <c r="AQ369" i="2"/>
  <c r="AO369" i="2"/>
  <c r="AX369" i="2"/>
  <c r="AZ369" i="2"/>
  <c r="AY369" i="2"/>
  <c r="AT369" i="2"/>
  <c r="AW369" i="2"/>
  <c r="AV369" i="2"/>
  <c r="AU369" i="2"/>
  <c r="AP369" i="2"/>
  <c r="AV83" i="2"/>
  <c r="AU83" i="2"/>
  <c r="AP83" i="2"/>
  <c r="AO83" i="2"/>
  <c r="AR83" i="2"/>
  <c r="AQ83" i="2"/>
  <c r="AX83" i="2"/>
  <c r="AW83" i="2"/>
  <c r="AZ83" i="2"/>
  <c r="AY83" i="2"/>
  <c r="AT83" i="2"/>
  <c r="AS83" i="2"/>
  <c r="AI60" i="2"/>
  <c r="AQ77" i="2"/>
  <c r="AR77" i="2"/>
  <c r="AO77" i="2"/>
  <c r="AI108" i="2"/>
  <c r="AI193" i="2"/>
  <c r="AI235" i="2"/>
  <c r="AV280" i="2"/>
  <c r="AU280" i="2"/>
  <c r="AP280" i="2"/>
  <c r="AO280" i="2"/>
  <c r="AR280" i="2"/>
  <c r="AQ280" i="2"/>
  <c r="AX280" i="2"/>
  <c r="AW280" i="2"/>
  <c r="AZ280" i="2"/>
  <c r="AY280" i="2"/>
  <c r="AT280" i="2"/>
  <c r="AS280" i="2"/>
  <c r="T385" i="2"/>
  <c r="Y385" i="2" s="1"/>
  <c r="AA386" i="2" s="1"/>
  <c r="T381" i="2"/>
  <c r="Y381" i="2" s="1"/>
  <c r="T380" i="2"/>
  <c r="Y380" i="2" s="1"/>
  <c r="T378" i="2"/>
  <c r="Y378" i="2" s="1"/>
  <c r="T375" i="2"/>
  <c r="Y375" i="2" s="1"/>
  <c r="T376" i="2"/>
  <c r="Y376" i="2" s="1"/>
  <c r="T366" i="2"/>
  <c r="Y366" i="2" s="1"/>
  <c r="T371" i="2"/>
  <c r="Y371" i="2" s="1"/>
  <c r="T369" i="2"/>
  <c r="Y369" i="2" s="1"/>
  <c r="T365" i="2"/>
  <c r="Y365" i="2" s="1"/>
  <c r="T361" i="2"/>
  <c r="Y361" i="2" s="1"/>
  <c r="AI362" i="2"/>
  <c r="T362" i="2"/>
  <c r="Y362" i="2" s="1"/>
  <c r="T356" i="2"/>
  <c r="Y356" i="2" s="1"/>
  <c r="T355" i="2"/>
  <c r="Y355" i="2" s="1"/>
  <c r="AI352" i="2"/>
  <c r="T352" i="2"/>
  <c r="Y352" i="2" s="1"/>
  <c r="T349" i="2"/>
  <c r="Y349" i="2" s="1"/>
  <c r="T346" i="2"/>
  <c r="Y346" i="2" s="1"/>
  <c r="T342" i="2"/>
  <c r="Y342" i="2" s="1"/>
  <c r="T338" i="2"/>
  <c r="Y338" i="2" s="1"/>
  <c r="T329" i="2"/>
  <c r="Y329" i="2" s="1"/>
  <c r="T325" i="2"/>
  <c r="Y325" i="2" s="1"/>
  <c r="AI334" i="2"/>
  <c r="T334" i="2"/>
  <c r="Y334" i="2" s="1"/>
  <c r="T331" i="2"/>
  <c r="Y331" i="2" s="1"/>
  <c r="T328" i="2"/>
  <c r="Y328" i="2" s="1"/>
  <c r="T324" i="2"/>
  <c r="Y324" i="2" s="1"/>
  <c r="T320" i="2"/>
  <c r="Y320" i="2" s="1"/>
  <c r="T315" i="2"/>
  <c r="Y315" i="2" s="1"/>
  <c r="T298" i="2"/>
  <c r="Y298" i="2" s="1"/>
  <c r="T317" i="2"/>
  <c r="Y317" i="2" s="1"/>
  <c r="T309" i="2"/>
  <c r="Y309" i="2" s="1"/>
  <c r="T305" i="2"/>
  <c r="Y305" i="2" s="1"/>
  <c r="T301" i="2"/>
  <c r="Y301" i="2" s="1"/>
  <c r="T297" i="2"/>
  <c r="Y297" i="2" s="1"/>
  <c r="T288" i="2"/>
  <c r="Y288" i="2" s="1"/>
  <c r="T316" i="2"/>
  <c r="Y316" i="2" s="1"/>
  <c r="T294" i="2"/>
  <c r="Y294" i="2" s="1"/>
  <c r="T293" i="2"/>
  <c r="Y293" i="2" s="1"/>
  <c r="T284" i="2"/>
  <c r="Y284" i="2" s="1"/>
  <c r="T280" i="2"/>
  <c r="Y280" i="2" s="1"/>
  <c r="T276" i="2"/>
  <c r="Y276" i="2" s="1"/>
  <c r="T272" i="2"/>
  <c r="Y272" i="2" s="1"/>
  <c r="T268" i="2"/>
  <c r="Y268" i="2" s="1"/>
  <c r="T264" i="2"/>
  <c r="Y264" i="2" s="1"/>
  <c r="T289" i="2"/>
  <c r="Y289" i="2" s="1"/>
  <c r="AI260" i="2"/>
  <c r="T260" i="2"/>
  <c r="Y260" i="2" s="1"/>
  <c r="T255" i="2"/>
  <c r="Y255" i="2" s="1"/>
  <c r="T251" i="2"/>
  <c r="Y251" i="2" s="1"/>
  <c r="T247" i="2"/>
  <c r="Y247" i="2" s="1"/>
  <c r="T243" i="2"/>
  <c r="Y243" i="2" s="1"/>
  <c r="T239" i="2"/>
  <c r="Y239" i="2" s="1"/>
  <c r="T258" i="2"/>
  <c r="Y258" i="2" s="1"/>
  <c r="T254" i="2"/>
  <c r="Y254" i="2" s="1"/>
  <c r="T250" i="2"/>
  <c r="Y250" i="2" s="1"/>
  <c r="T246" i="2"/>
  <c r="Y246" i="2" s="1"/>
  <c r="T242" i="2"/>
  <c r="Y242" i="2" s="1"/>
  <c r="T238" i="2"/>
  <c r="Y238" i="2" s="1"/>
  <c r="T234" i="2"/>
  <c r="Y234" i="2" s="1"/>
  <c r="T230" i="2"/>
  <c r="Y230" i="2" s="1"/>
  <c r="T261" i="2"/>
  <c r="Y261" i="2" s="1"/>
  <c r="T257" i="2"/>
  <c r="Y257" i="2" s="1"/>
  <c r="T253" i="2"/>
  <c r="Y253" i="2" s="1"/>
  <c r="T249" i="2"/>
  <c r="Y249" i="2" s="1"/>
  <c r="T237" i="2"/>
  <c r="Y237" i="2" s="1"/>
  <c r="AI226" i="2"/>
  <c r="T226" i="2"/>
  <c r="Y226" i="2" s="1"/>
  <c r="T221" i="2"/>
  <c r="Y221" i="2" s="1"/>
  <c r="T217" i="2"/>
  <c r="Y217" i="2" s="1"/>
  <c r="T213" i="2"/>
  <c r="Y213" i="2" s="1"/>
  <c r="T209" i="2"/>
  <c r="Y209" i="2" s="1"/>
  <c r="T224" i="2"/>
  <c r="Y224" i="2" s="1"/>
  <c r="T220" i="2"/>
  <c r="Y220" i="2" s="1"/>
  <c r="T216" i="2"/>
  <c r="Y216" i="2" s="1"/>
  <c r="T212" i="2"/>
  <c r="Y212" i="2" s="1"/>
  <c r="T208" i="2"/>
  <c r="Y208" i="2" s="1"/>
  <c r="T204" i="2"/>
  <c r="Y204" i="2" s="1"/>
  <c r="T200" i="2"/>
  <c r="Y200" i="2" s="1"/>
  <c r="T196" i="2"/>
  <c r="Y196" i="2" s="1"/>
  <c r="T192" i="2"/>
  <c r="Y192" i="2" s="1"/>
  <c r="T188" i="2"/>
  <c r="Y188" i="2" s="1"/>
  <c r="T184" i="2"/>
  <c r="Y184" i="2" s="1"/>
  <c r="T180" i="2"/>
  <c r="Y180" i="2" s="1"/>
  <c r="T176" i="2"/>
  <c r="Y176" i="2" s="1"/>
  <c r="T227" i="2"/>
  <c r="Y227" i="2" s="1"/>
  <c r="T223" i="2"/>
  <c r="Y223" i="2" s="1"/>
  <c r="T219" i="2"/>
  <c r="Y219" i="2" s="1"/>
  <c r="T199" i="2"/>
  <c r="Y199" i="2" s="1"/>
  <c r="T187" i="2"/>
  <c r="Y187" i="2" s="1"/>
  <c r="AI172" i="2"/>
  <c r="T172" i="2"/>
  <c r="Y172" i="2" s="1"/>
  <c r="T167" i="2"/>
  <c r="Y167" i="2" s="1"/>
  <c r="T163" i="2"/>
  <c r="Y163" i="2" s="1"/>
  <c r="T159" i="2"/>
  <c r="Y159" i="2" s="1"/>
  <c r="T155" i="2"/>
  <c r="Y155" i="2" s="1"/>
  <c r="T151" i="2"/>
  <c r="Y151" i="2" s="1"/>
  <c r="T147" i="2"/>
  <c r="Y147" i="2" s="1"/>
  <c r="T143" i="2"/>
  <c r="Y143" i="2" s="1"/>
  <c r="T139" i="2"/>
  <c r="Y139" i="2" s="1"/>
  <c r="T135" i="2"/>
  <c r="Y135" i="2" s="1"/>
  <c r="T131" i="2"/>
  <c r="Y131" i="2" s="1"/>
  <c r="T166" i="2"/>
  <c r="Y166" i="2" s="1"/>
  <c r="T162" i="2"/>
  <c r="Y162" i="2" s="1"/>
  <c r="T158" i="2"/>
  <c r="Y158" i="2" s="1"/>
  <c r="T154" i="2"/>
  <c r="Y154" i="2" s="1"/>
  <c r="T150" i="2"/>
  <c r="Y150" i="2" s="1"/>
  <c r="T146" i="2"/>
  <c r="Y146" i="2" s="1"/>
  <c r="T142" i="2"/>
  <c r="Y142" i="2" s="1"/>
  <c r="T138" i="2"/>
  <c r="Y138" i="2" s="1"/>
  <c r="T134" i="2"/>
  <c r="Y134" i="2" s="1"/>
  <c r="T130" i="2"/>
  <c r="Y130" i="2" s="1"/>
  <c r="T126" i="2"/>
  <c r="Y126" i="2" s="1"/>
  <c r="T122" i="2"/>
  <c r="Y122" i="2" s="1"/>
  <c r="T118" i="2"/>
  <c r="Y118" i="2" s="1"/>
  <c r="T173" i="2"/>
  <c r="Y173" i="2" s="1"/>
  <c r="T169" i="2"/>
  <c r="Y169" i="2" s="1"/>
  <c r="T165" i="2"/>
  <c r="Y165" i="2" s="1"/>
  <c r="T161" i="2"/>
  <c r="Y161" i="2" s="1"/>
  <c r="T157" i="2"/>
  <c r="Y157" i="2" s="1"/>
  <c r="T153" i="2"/>
  <c r="Y153" i="2" s="1"/>
  <c r="T149" i="2"/>
  <c r="Y149" i="2" s="1"/>
  <c r="T145" i="2"/>
  <c r="Y145" i="2" s="1"/>
  <c r="T133" i="2"/>
  <c r="Y133" i="2" s="1"/>
  <c r="T121" i="2"/>
  <c r="Y121" i="2" s="1"/>
  <c r="T110" i="2"/>
  <c r="Y110" i="2" s="1"/>
  <c r="T107" i="2"/>
  <c r="Y107" i="2" s="1"/>
  <c r="T103" i="2"/>
  <c r="Y103" i="2" s="1"/>
  <c r="T99" i="2"/>
  <c r="Y99" i="2" s="1"/>
  <c r="T95" i="2"/>
  <c r="Y95" i="2" s="1"/>
  <c r="T91" i="2"/>
  <c r="Y91" i="2" s="1"/>
  <c r="T87" i="2"/>
  <c r="Y87" i="2" s="1"/>
  <c r="T83" i="2"/>
  <c r="Y83" i="2" s="1"/>
  <c r="T79" i="2"/>
  <c r="Y79" i="2" s="1"/>
  <c r="T75" i="2"/>
  <c r="Y75" i="2" s="1"/>
  <c r="T71" i="2"/>
  <c r="Y71" i="2" s="1"/>
  <c r="T67" i="2"/>
  <c r="Y67" i="2" s="1"/>
  <c r="T63" i="2"/>
  <c r="Y63" i="2" s="1"/>
  <c r="T59" i="2"/>
  <c r="Y59" i="2" s="1"/>
  <c r="T55" i="2"/>
  <c r="Y55" i="2" s="1"/>
  <c r="T114" i="2"/>
  <c r="Y114" i="2" s="1"/>
  <c r="T70" i="2"/>
  <c r="Y70" i="2" s="1"/>
  <c r="T66" i="2"/>
  <c r="Y66" i="2" s="1"/>
  <c r="AI51" i="2"/>
  <c r="T51" i="2"/>
  <c r="Y51" i="2" s="1"/>
  <c r="T48" i="2"/>
  <c r="Y48" i="2" s="1"/>
  <c r="T45" i="2"/>
  <c r="Y45" i="2" s="1"/>
  <c r="T41" i="2"/>
  <c r="Y41" i="2" s="1"/>
  <c r="T37" i="2"/>
  <c r="Y37" i="2" s="1"/>
  <c r="T33" i="2"/>
  <c r="Y33" i="2" s="1"/>
  <c r="T29" i="2"/>
  <c r="Y29" i="2" s="1"/>
  <c r="AI26" i="2"/>
  <c r="AI24" i="2"/>
  <c r="AI22" i="2"/>
  <c r="T20" i="2"/>
  <c r="Y20" i="2" s="1"/>
  <c r="T13" i="2"/>
  <c r="Y13" i="2" s="1"/>
  <c r="T11" i="2"/>
  <c r="Y11" i="2" s="1"/>
  <c r="T7" i="2"/>
  <c r="Y7" i="2" s="1"/>
  <c r="T44" i="2"/>
  <c r="Y44" i="2" s="1"/>
  <c r="T40" i="2"/>
  <c r="Y40" i="2" s="1"/>
  <c r="T36" i="2"/>
  <c r="Y36" i="2" s="1"/>
  <c r="T32" i="2"/>
  <c r="Y32" i="2" s="1"/>
  <c r="T28" i="2"/>
  <c r="Y28" i="2" s="1"/>
  <c r="T26" i="2"/>
  <c r="Y26" i="2" s="1"/>
  <c r="T24" i="2"/>
  <c r="Y24" i="2" s="1"/>
  <c r="T22" i="2"/>
  <c r="Y22" i="2" s="1"/>
  <c r="T19" i="2"/>
  <c r="Y19" i="2" s="1"/>
  <c r="T8" i="2"/>
  <c r="Y8" i="2" s="1"/>
  <c r="T52" i="2"/>
  <c r="Y52" i="2" s="1"/>
  <c r="T47" i="2"/>
  <c r="Y47" i="2" s="1"/>
  <c r="T43" i="2"/>
  <c r="Y43" i="2" s="1"/>
  <c r="T39" i="2"/>
  <c r="Y39" i="2" s="1"/>
  <c r="T5" i="2"/>
  <c r="Y5" i="2" s="1"/>
  <c r="Z7" i="2" s="1"/>
  <c r="AI12" i="2"/>
  <c r="AI15" i="2"/>
  <c r="AI31" i="2"/>
  <c r="AI43" i="2"/>
  <c r="T4" i="2"/>
  <c r="Y4" i="2" s="1"/>
  <c r="T18" i="2"/>
  <c r="Y18" i="2" s="1"/>
  <c r="AI17" i="2"/>
  <c r="AI34" i="2"/>
  <c r="AI37" i="2"/>
  <c r="T12" i="2"/>
  <c r="Y12" i="2" s="1"/>
  <c r="AI36" i="2"/>
  <c r="AI49" i="2"/>
  <c r="T10" i="2"/>
  <c r="Y10" i="2" s="1"/>
  <c r="T23" i="2"/>
  <c r="Y23" i="2" s="1"/>
  <c r="T25" i="2"/>
  <c r="Y25" i="2" s="1"/>
  <c r="T27" i="2"/>
  <c r="Y27" i="2" s="1"/>
  <c r="T30" i="2"/>
  <c r="Y30" i="2" s="1"/>
  <c r="T46" i="2"/>
  <c r="Y46" i="2" s="1"/>
  <c r="T74" i="2"/>
  <c r="Y74" i="2" s="1"/>
  <c r="T93" i="2"/>
  <c r="Y93" i="2" s="1"/>
  <c r="AI63" i="2"/>
  <c r="AI77" i="2"/>
  <c r="AI85" i="2"/>
  <c r="T92" i="2"/>
  <c r="Y92" i="2" s="1"/>
  <c r="AI103" i="2"/>
  <c r="AI112" i="2"/>
  <c r="T62" i="2"/>
  <c r="Y62" i="2" s="1"/>
  <c r="T68" i="2"/>
  <c r="Y68" i="2" s="1"/>
  <c r="T76" i="2"/>
  <c r="Y76" i="2" s="1"/>
  <c r="T97" i="2"/>
  <c r="Y97" i="2" s="1"/>
  <c r="AI62" i="2"/>
  <c r="AI91" i="2"/>
  <c r="AI98" i="2"/>
  <c r="T102" i="2"/>
  <c r="Y102" i="2" s="1"/>
  <c r="AI105" i="2"/>
  <c r="T53" i="2"/>
  <c r="Y53" i="2" s="1"/>
  <c r="T69" i="2"/>
  <c r="Y69" i="2" s="1"/>
  <c r="AI113" i="2"/>
  <c r="AI125" i="2"/>
  <c r="AI141" i="2"/>
  <c r="AI157" i="2"/>
  <c r="T129" i="2"/>
  <c r="Y129" i="2" s="1"/>
  <c r="AI148" i="2"/>
  <c r="AI151" i="2"/>
  <c r="AI164" i="2"/>
  <c r="AI167" i="2"/>
  <c r="AI121" i="2"/>
  <c r="AI137" i="2"/>
  <c r="AI153" i="2"/>
  <c r="T117" i="2"/>
  <c r="Y117" i="2" s="1"/>
  <c r="T123" i="2"/>
  <c r="Y123" i="2" s="1"/>
  <c r="AI128" i="2"/>
  <c r="AI131" i="2"/>
  <c r="T128" i="2"/>
  <c r="Y128" i="2" s="1"/>
  <c r="T144" i="2"/>
  <c r="Y144" i="2" s="1"/>
  <c r="T160" i="2"/>
  <c r="Y160" i="2" s="1"/>
  <c r="T175" i="2"/>
  <c r="Y175" i="2" s="1"/>
  <c r="T181" i="2"/>
  <c r="Y181" i="2" s="1"/>
  <c r="AI186" i="2"/>
  <c r="AI183" i="2"/>
  <c r="AI199" i="2"/>
  <c r="AI215" i="2"/>
  <c r="AI223" i="2"/>
  <c r="T177" i="2"/>
  <c r="Y177" i="2" s="1"/>
  <c r="AI182" i="2"/>
  <c r="AI190" i="2"/>
  <c r="T170" i="2"/>
  <c r="Y170" i="2" s="1"/>
  <c r="AI179" i="2"/>
  <c r="AI195" i="2"/>
  <c r="AI211" i="2"/>
  <c r="AI224" i="2"/>
  <c r="T186" i="2"/>
  <c r="Y186" i="2" s="1"/>
  <c r="T202" i="2"/>
  <c r="Y202" i="2" s="1"/>
  <c r="T218" i="2"/>
  <c r="Y218" i="2" s="1"/>
  <c r="AI238" i="2"/>
  <c r="AI254" i="2"/>
  <c r="AI242" i="2"/>
  <c r="AI258" i="2"/>
  <c r="T240" i="2"/>
  <c r="Y240" i="2" s="1"/>
  <c r="T256" i="2"/>
  <c r="Y256" i="2" s="1"/>
  <c r="T263" i="2"/>
  <c r="Y263" i="2" s="1"/>
  <c r="T269" i="2"/>
  <c r="Y269" i="2" s="1"/>
  <c r="AI274" i="2"/>
  <c r="AI286" i="2"/>
  <c r="AI268" i="2"/>
  <c r="AI290" i="2"/>
  <c r="AI262" i="2"/>
  <c r="T283" i="2"/>
  <c r="Y283" i="2" s="1"/>
  <c r="AI264" i="2"/>
  <c r="AI280" i="2"/>
  <c r="AI291" i="2"/>
  <c r="T274" i="2"/>
  <c r="Y274" i="2" s="1"/>
  <c r="T287" i="2"/>
  <c r="Y287" i="2" s="1"/>
  <c r="AI288" i="2"/>
  <c r="T292" i="2"/>
  <c r="Y292" i="2" s="1"/>
  <c r="AI296" i="2"/>
  <c r="T308" i="2"/>
  <c r="Y308" i="2" s="1"/>
  <c r="AI292" i="2"/>
  <c r="AI294" i="2"/>
  <c r="AI305" i="2"/>
  <c r="T291" i="2"/>
  <c r="Y291" i="2" s="1"/>
  <c r="T299" i="2"/>
  <c r="Y299" i="2" s="1"/>
  <c r="T314" i="2"/>
  <c r="Y314" i="2" s="1"/>
  <c r="AI332" i="2"/>
  <c r="T321" i="2"/>
  <c r="Y321" i="2" s="1"/>
  <c r="AI326" i="2"/>
  <c r="AI329" i="2"/>
  <c r="AI320" i="2"/>
  <c r="T326" i="2"/>
  <c r="Y326" i="2" s="1"/>
  <c r="T336" i="2"/>
  <c r="Y336" i="2" s="1"/>
  <c r="AI340" i="2"/>
  <c r="AI342" i="2"/>
  <c r="T332" i="2"/>
  <c r="Y332" i="2" s="1"/>
  <c r="AI348" i="2"/>
  <c r="T333" i="2"/>
  <c r="Y333" i="2" s="1"/>
  <c r="T353" i="2"/>
  <c r="Y353" i="2" s="1"/>
  <c r="T359" i="2"/>
  <c r="Y359" i="2" s="1"/>
  <c r="AI351" i="2"/>
  <c r="T351" i="2"/>
  <c r="Y351" i="2" s="1"/>
  <c r="T363" i="2"/>
  <c r="Y363" i="2" s="1"/>
  <c r="AI368" i="2"/>
  <c r="T360" i="2"/>
  <c r="Y360" i="2" s="1"/>
  <c r="AI361" i="2"/>
  <c r="AI366" i="2"/>
  <c r="T368" i="2"/>
  <c r="Y368" i="2" s="1"/>
  <c r="AI370" i="2"/>
  <c r="T374" i="2"/>
  <c r="Y374" i="2" s="1"/>
  <c r="T373" i="2"/>
  <c r="Y373" i="2" s="1"/>
  <c r="AI375" i="2"/>
  <c r="AI376" i="2"/>
  <c r="AI378" i="2"/>
  <c r="T377" i="2"/>
  <c r="Y377" i="2" s="1"/>
  <c r="T383" i="2"/>
  <c r="Y383" i="2" s="1"/>
  <c r="AI28" i="2"/>
  <c r="AI40" i="2"/>
  <c r="T6" i="2"/>
  <c r="Y6" i="2" s="1"/>
  <c r="AI4" i="2"/>
  <c r="BD4" i="2" s="1"/>
  <c r="AI7" i="2"/>
  <c r="AI13" i="2"/>
  <c r="T16" i="2"/>
  <c r="Y16" i="2" s="1"/>
  <c r="AI25" i="2"/>
  <c r="AI30" i="2"/>
  <c r="AI23" i="2"/>
  <c r="T31" i="2"/>
  <c r="Y31" i="2" s="1"/>
  <c r="AI38" i="2"/>
  <c r="AI41" i="2"/>
  <c r="T34" i="2"/>
  <c r="Y34" i="2" s="1"/>
  <c r="T50" i="2"/>
  <c r="Y50" i="2" s="1"/>
  <c r="AI53" i="2"/>
  <c r="T77" i="2"/>
  <c r="Y77" i="2" s="1"/>
  <c r="T101" i="2"/>
  <c r="Y101" i="2" s="1"/>
  <c r="AI58" i="2"/>
  <c r="AI74" i="2"/>
  <c r="AI82" i="2"/>
  <c r="AI95" i="2"/>
  <c r="AI102" i="2"/>
  <c r="T106" i="2"/>
  <c r="Y106" i="2" s="1"/>
  <c r="AI109" i="2"/>
  <c r="T80" i="2"/>
  <c r="Y80" i="2" s="1"/>
  <c r="T105" i="2"/>
  <c r="Y105" i="2" s="1"/>
  <c r="AI59" i="2"/>
  <c r="AI75" i="2"/>
  <c r="AI79" i="2"/>
  <c r="AI83" i="2"/>
  <c r="AI90" i="2"/>
  <c r="T94" i="2"/>
  <c r="Y94" i="2" s="1"/>
  <c r="AI97" i="2"/>
  <c r="T104" i="2"/>
  <c r="Y104" i="2" s="1"/>
  <c r="T57" i="2"/>
  <c r="Y57" i="2" s="1"/>
  <c r="T73" i="2"/>
  <c r="Y73" i="2" s="1"/>
  <c r="AI122" i="2"/>
  <c r="AI138" i="2"/>
  <c r="AI154" i="2"/>
  <c r="AI170" i="2"/>
  <c r="T112" i="2"/>
  <c r="Y112" i="2" s="1"/>
  <c r="AI118" i="2"/>
  <c r="AI134" i="2"/>
  <c r="AI150" i="2"/>
  <c r="AI166" i="2"/>
  <c r="AI110" i="2"/>
  <c r="T125" i="2"/>
  <c r="Y125" i="2" s="1"/>
  <c r="AI144" i="2"/>
  <c r="AI147" i="2"/>
  <c r="AI160" i="2"/>
  <c r="AI163" i="2"/>
  <c r="T116" i="2"/>
  <c r="Y116" i="2" s="1"/>
  <c r="T132" i="2"/>
  <c r="Y132" i="2" s="1"/>
  <c r="T148" i="2"/>
  <c r="Y148" i="2" s="1"/>
  <c r="T164" i="2"/>
  <c r="Y164" i="2" s="1"/>
  <c r="T183" i="2"/>
  <c r="Y183" i="2" s="1"/>
  <c r="T189" i="2"/>
  <c r="Y189" i="2" s="1"/>
  <c r="AI194" i="2"/>
  <c r="AI202" i="2"/>
  <c r="AI218" i="2"/>
  <c r="AI221" i="2"/>
  <c r="AI227" i="2"/>
  <c r="AI180" i="2"/>
  <c r="AI196" i="2"/>
  <c r="AI212" i="2"/>
  <c r="T179" i="2"/>
  <c r="Y179" i="2" s="1"/>
  <c r="T185" i="2"/>
  <c r="Y185" i="2" s="1"/>
  <c r="T193" i="2"/>
  <c r="Y193" i="2" s="1"/>
  <c r="AI198" i="2"/>
  <c r="AI214" i="2"/>
  <c r="AI217" i="2"/>
  <c r="AI176" i="2"/>
  <c r="AI192" i="2"/>
  <c r="AI208" i="2"/>
  <c r="T190" i="2"/>
  <c r="Y190" i="2" s="1"/>
  <c r="T206" i="2"/>
  <c r="Y206" i="2" s="1"/>
  <c r="T222" i="2"/>
  <c r="Y222" i="2" s="1"/>
  <c r="AI229" i="2"/>
  <c r="AI244" i="2"/>
  <c r="AI247" i="2"/>
  <c r="AI233" i="2"/>
  <c r="AI249" i="2"/>
  <c r="AI257" i="2"/>
  <c r="AI248" i="2"/>
  <c r="AI251" i="2"/>
  <c r="AI237" i="2"/>
  <c r="AI253" i="2"/>
  <c r="T244" i="2"/>
  <c r="Y244" i="2" s="1"/>
  <c r="T259" i="2"/>
  <c r="Y259" i="2" s="1"/>
  <c r="T271" i="2"/>
  <c r="Y271" i="2" s="1"/>
  <c r="T277" i="2"/>
  <c r="Y277" i="2" s="1"/>
  <c r="AI282" i="2"/>
  <c r="AI263" i="2"/>
  <c r="AI279" i="2"/>
  <c r="AI259" i="2"/>
  <c r="T265" i="2"/>
  <c r="Y265" i="2" s="1"/>
  <c r="AI270" i="2"/>
  <c r="AI275" i="2"/>
  <c r="AI287" i="2"/>
  <c r="T262" i="2"/>
  <c r="Y262" i="2" s="1"/>
  <c r="T278" i="2"/>
  <c r="Y278" i="2" s="1"/>
  <c r="AI309" i="2"/>
  <c r="AI313" i="2"/>
  <c r="AI289" i="2"/>
  <c r="T311" i="2"/>
  <c r="Y311" i="2" s="1"/>
  <c r="AI300" i="2"/>
  <c r="AI299" i="2"/>
  <c r="T303" i="2"/>
  <c r="Y303" i="2" s="1"/>
  <c r="AI316" i="2"/>
  <c r="AI327" i="2"/>
  <c r="T323" i="2"/>
  <c r="Y323" i="2" s="1"/>
  <c r="T318" i="2"/>
  <c r="Y318" i="2" s="1"/>
  <c r="AI330" i="2"/>
  <c r="T330" i="2"/>
  <c r="Y330" i="2" s="1"/>
  <c r="T337" i="2"/>
  <c r="Y337" i="2" s="1"/>
  <c r="T343" i="2"/>
  <c r="Y343" i="2" s="1"/>
  <c r="AI337" i="2"/>
  <c r="T339" i="2"/>
  <c r="Y339" i="2" s="1"/>
  <c r="AI344" i="2"/>
  <c r="T340" i="2"/>
  <c r="Y340" i="2" s="1"/>
  <c r="AI360" i="2"/>
  <c r="AI365" i="2"/>
  <c r="T367" i="2"/>
  <c r="Y367" i="2" s="1"/>
  <c r="AI374" i="2"/>
  <c r="AI380" i="2"/>
  <c r="AI385" i="2"/>
  <c r="T379" i="2"/>
  <c r="Y379" i="2" s="1"/>
  <c r="AI383" i="2"/>
  <c r="T386" i="2"/>
  <c r="Y386" i="2" s="1"/>
  <c r="AI10" i="2"/>
  <c r="AI14" i="2"/>
  <c r="AI18" i="2"/>
  <c r="AI27" i="2"/>
  <c r="AI35" i="2"/>
  <c r="AI48" i="2"/>
  <c r="T9" i="2"/>
  <c r="Y9" i="2" s="1"/>
  <c r="AI21" i="2"/>
  <c r="AI42" i="2"/>
  <c r="AI45" i="2"/>
  <c r="AI33" i="2"/>
  <c r="AI44" i="2"/>
  <c r="T35" i="2"/>
  <c r="Y35" i="2" s="1"/>
  <c r="T38" i="2"/>
  <c r="Y38" i="2" s="1"/>
  <c r="T56" i="2"/>
  <c r="Y56" i="2" s="1"/>
  <c r="AI61" i="2"/>
  <c r="AI69" i="2"/>
  <c r="T81" i="2"/>
  <c r="Y81" i="2" s="1"/>
  <c r="T109" i="2"/>
  <c r="Y109" i="2" s="1"/>
  <c r="AI55" i="2"/>
  <c r="AI71" i="2"/>
  <c r="AI81" i="2"/>
  <c r="AI87" i="2"/>
  <c r="AI94" i="2"/>
  <c r="T98" i="2"/>
  <c r="Y98" i="2" s="1"/>
  <c r="AI101" i="2"/>
  <c r="T108" i="2"/>
  <c r="Y108" i="2" s="1"/>
  <c r="AI50" i="2"/>
  <c r="AI57" i="2"/>
  <c r="T84" i="2"/>
  <c r="Y84" i="2" s="1"/>
  <c r="AI111" i="2"/>
  <c r="AI54" i="2"/>
  <c r="AI70" i="2"/>
  <c r="T78" i="2"/>
  <c r="Y78" i="2" s="1"/>
  <c r="T82" i="2"/>
  <c r="Y82" i="2" s="1"/>
  <c r="T86" i="2"/>
  <c r="Y86" i="2" s="1"/>
  <c r="AI89" i="2"/>
  <c r="T96" i="2"/>
  <c r="Y96" i="2" s="1"/>
  <c r="AI107" i="2"/>
  <c r="T61" i="2"/>
  <c r="Y61" i="2" s="1"/>
  <c r="AI117" i="2"/>
  <c r="AI133" i="2"/>
  <c r="AI149" i="2"/>
  <c r="AI165" i="2"/>
  <c r="AI114" i="2"/>
  <c r="AI116" i="2"/>
  <c r="AI124" i="2"/>
  <c r="AI140" i="2"/>
  <c r="AI143" i="2"/>
  <c r="AI156" i="2"/>
  <c r="AI159" i="2"/>
  <c r="T113" i="2"/>
  <c r="Y113" i="2" s="1"/>
  <c r="AI129" i="2"/>
  <c r="AI145" i="2"/>
  <c r="AI161" i="2"/>
  <c r="AI136" i="2"/>
  <c r="AI139" i="2"/>
  <c r="T141" i="2"/>
  <c r="Y141" i="2" s="1"/>
  <c r="T120" i="2"/>
  <c r="Y120" i="2" s="1"/>
  <c r="T136" i="2"/>
  <c r="Y136" i="2" s="1"/>
  <c r="T152" i="2"/>
  <c r="Y152" i="2" s="1"/>
  <c r="T168" i="2"/>
  <c r="Y168" i="2" s="1"/>
  <c r="T191" i="2"/>
  <c r="Y191" i="2" s="1"/>
  <c r="T197" i="2"/>
  <c r="Y197" i="2" s="1"/>
  <c r="T205" i="2"/>
  <c r="Y205" i="2" s="1"/>
  <c r="AI210" i="2"/>
  <c r="AI213" i="2"/>
  <c r="T215" i="2"/>
  <c r="Y215" i="2" s="1"/>
  <c r="AI175" i="2"/>
  <c r="AI191" i="2"/>
  <c r="AI207" i="2"/>
  <c r="T195" i="2"/>
  <c r="Y195" i="2" s="1"/>
  <c r="T201" i="2"/>
  <c r="Y201" i="2" s="1"/>
  <c r="AI206" i="2"/>
  <c r="AI209" i="2"/>
  <c r="T211" i="2"/>
  <c r="Y211" i="2" s="1"/>
  <c r="T174" i="2"/>
  <c r="Y174" i="2" s="1"/>
  <c r="AI187" i="2"/>
  <c r="AI203" i="2"/>
  <c r="AI219" i="2"/>
  <c r="AI228" i="2"/>
  <c r="T178" i="2"/>
  <c r="Y178" i="2" s="1"/>
  <c r="T194" i="2"/>
  <c r="Y194" i="2" s="1"/>
  <c r="T210" i="2"/>
  <c r="Y210" i="2" s="1"/>
  <c r="T225" i="2"/>
  <c r="Y225" i="2" s="1"/>
  <c r="T231" i="2"/>
  <c r="Y231" i="2" s="1"/>
  <c r="AI236" i="2"/>
  <c r="AI239" i="2"/>
  <c r="T241" i="2"/>
  <c r="Y241" i="2" s="1"/>
  <c r="AI261" i="2"/>
  <c r="AI230" i="2"/>
  <c r="AI246" i="2"/>
  <c r="AI232" i="2"/>
  <c r="AI240" i="2"/>
  <c r="AI243" i="2"/>
  <c r="T245" i="2"/>
  <c r="Y245" i="2" s="1"/>
  <c r="AI234" i="2"/>
  <c r="AI250" i="2"/>
  <c r="T232" i="2"/>
  <c r="Y232" i="2" s="1"/>
  <c r="T248" i="2"/>
  <c r="Y248" i="2" s="1"/>
  <c r="T279" i="2"/>
  <c r="Y279" i="2" s="1"/>
  <c r="AI276" i="2"/>
  <c r="T285" i="2"/>
  <c r="Y285" i="2" s="1"/>
  <c r="T267" i="2"/>
  <c r="Y267" i="2" s="1"/>
  <c r="T273" i="2"/>
  <c r="Y273" i="2" s="1"/>
  <c r="AI278" i="2"/>
  <c r="AI272" i="2"/>
  <c r="AI284" i="2"/>
  <c r="T266" i="2"/>
  <c r="Y266" i="2" s="1"/>
  <c r="T282" i="2"/>
  <c r="Y282" i="2" s="1"/>
  <c r="AI304" i="2"/>
  <c r="T312" i="2"/>
  <c r="Y312" i="2" s="1"/>
  <c r="AI303" i="2"/>
  <c r="AI297" i="2"/>
  <c r="AI311" i="2"/>
  <c r="AI312" i="2"/>
  <c r="T296" i="2"/>
  <c r="Y296" i="2" s="1"/>
  <c r="T302" i="2"/>
  <c r="Y302" i="2" s="1"/>
  <c r="AI307" i="2"/>
  <c r="T307" i="2"/>
  <c r="Y307" i="2" s="1"/>
  <c r="AI324" i="2"/>
  <c r="AI328" i="2"/>
  <c r="AI315" i="2"/>
  <c r="AI322" i="2"/>
  <c r="AI325" i="2"/>
  <c r="T327" i="2"/>
  <c r="Y327" i="2" s="1"/>
  <c r="T335" i="2"/>
  <c r="Y335" i="2" s="1"/>
  <c r="T345" i="2"/>
  <c r="Y345" i="2" s="1"/>
  <c r="AI349" i="2"/>
  <c r="AI333" i="2"/>
  <c r="AI346" i="2"/>
  <c r="T341" i="2"/>
  <c r="Y341" i="2" s="1"/>
  <c r="AI341" i="2"/>
  <c r="T344" i="2"/>
  <c r="Y344" i="2" s="1"/>
  <c r="T354" i="2"/>
  <c r="Y354" i="2" s="1"/>
  <c r="AI359" i="2"/>
  <c r="AI358" i="2"/>
  <c r="AI363" i="2"/>
  <c r="T364" i="2"/>
  <c r="Y364" i="2" s="1"/>
  <c r="AI369" i="2"/>
  <c r="AI373" i="2"/>
  <c r="AI372" i="2"/>
  <c r="AI371" i="2"/>
  <c r="T370" i="2"/>
  <c r="Y370" i="2" s="1"/>
  <c r="AI379" i="2"/>
  <c r="AI381" i="2"/>
  <c r="T384" i="2"/>
  <c r="Y384" i="2" s="1"/>
  <c r="AI386" i="2"/>
  <c r="T15" i="2"/>
  <c r="Y15" i="2" s="1"/>
  <c r="AI19" i="2"/>
  <c r="AI8" i="2"/>
  <c r="T17" i="2"/>
  <c r="Y17" i="2" s="1"/>
  <c r="AI32" i="2"/>
  <c r="T14" i="2"/>
  <c r="Y14" i="2" s="1"/>
  <c r="AI9" i="2"/>
  <c r="AI11" i="2"/>
  <c r="AI20" i="2"/>
  <c r="AI5" i="2"/>
  <c r="AI16" i="2"/>
  <c r="AI29" i="2"/>
  <c r="AI39" i="2"/>
  <c r="AI47" i="2"/>
  <c r="AI46" i="2"/>
  <c r="T21" i="2"/>
  <c r="Y21" i="2" s="1"/>
  <c r="T42" i="2"/>
  <c r="Y42" i="2" s="1"/>
  <c r="AI52" i="2"/>
  <c r="T58" i="2"/>
  <c r="Y58" i="2" s="1"/>
  <c r="T64" i="2"/>
  <c r="Y64" i="2" s="1"/>
  <c r="T72" i="2"/>
  <c r="Y72" i="2" s="1"/>
  <c r="T85" i="2"/>
  <c r="Y85" i="2" s="1"/>
  <c r="AI66" i="2"/>
  <c r="AI78" i="2"/>
  <c r="AI86" i="2"/>
  <c r="T90" i="2"/>
  <c r="Y90" i="2" s="1"/>
  <c r="AI93" i="2"/>
  <c r="T100" i="2"/>
  <c r="Y100" i="2" s="1"/>
  <c r="T54" i="2"/>
  <c r="Y54" i="2" s="1"/>
  <c r="T60" i="2"/>
  <c r="Y60" i="2" s="1"/>
  <c r="AI65" i="2"/>
  <c r="AI73" i="2"/>
  <c r="T89" i="2"/>
  <c r="Y89" i="2" s="1"/>
  <c r="T49" i="2"/>
  <c r="Y49" i="2" s="1"/>
  <c r="AI67" i="2"/>
  <c r="T88" i="2"/>
  <c r="Y88" i="2" s="1"/>
  <c r="AI99" i="2"/>
  <c r="AI106" i="2"/>
  <c r="T65" i="2"/>
  <c r="Y65" i="2" s="1"/>
  <c r="AI130" i="2"/>
  <c r="AI146" i="2"/>
  <c r="AI162" i="2"/>
  <c r="AI173" i="2"/>
  <c r="T111" i="2"/>
  <c r="Y111" i="2" s="1"/>
  <c r="T119" i="2"/>
  <c r="Y119" i="2" s="1"/>
  <c r="T127" i="2"/>
  <c r="Y127" i="2" s="1"/>
  <c r="AI132" i="2"/>
  <c r="AI135" i="2"/>
  <c r="T137" i="2"/>
  <c r="Y137" i="2" s="1"/>
  <c r="AI126" i="2"/>
  <c r="AI142" i="2"/>
  <c r="AI158" i="2"/>
  <c r="AI169" i="2"/>
  <c r="T115" i="2"/>
  <c r="Y115" i="2" s="1"/>
  <c r="AI120" i="2"/>
  <c r="AI152" i="2"/>
  <c r="AI155" i="2"/>
  <c r="AI168" i="2"/>
  <c r="T124" i="2"/>
  <c r="Y124" i="2" s="1"/>
  <c r="T140" i="2"/>
  <c r="Y140" i="2" s="1"/>
  <c r="T156" i="2"/>
  <c r="Y156" i="2" s="1"/>
  <c r="T171" i="2"/>
  <c r="Y171" i="2" s="1"/>
  <c r="AI178" i="2"/>
  <c r="T207" i="2"/>
  <c r="Y207" i="2" s="1"/>
  <c r="AI188" i="2"/>
  <c r="AI204" i="2"/>
  <c r="AI220" i="2"/>
  <c r="AI171" i="2"/>
  <c r="T203" i="2"/>
  <c r="Y203" i="2" s="1"/>
  <c r="AI222" i="2"/>
  <c r="AI184" i="2"/>
  <c r="AI200" i="2"/>
  <c r="AI216" i="2"/>
  <c r="T182" i="2"/>
  <c r="Y182" i="2" s="1"/>
  <c r="T198" i="2"/>
  <c r="Y198" i="2" s="1"/>
  <c r="T214" i="2"/>
  <c r="Y214" i="2" s="1"/>
  <c r="T233" i="2"/>
  <c r="Y233" i="2" s="1"/>
  <c r="AI252" i="2"/>
  <c r="AI255" i="2"/>
  <c r="T228" i="2"/>
  <c r="Y228" i="2" s="1"/>
  <c r="AI241" i="2"/>
  <c r="AI225" i="2"/>
  <c r="T229" i="2"/>
  <c r="Y229" i="2" s="1"/>
  <c r="T235" i="2"/>
  <c r="Y235" i="2" s="1"/>
  <c r="AI256" i="2"/>
  <c r="AI245" i="2"/>
  <c r="T236" i="2"/>
  <c r="Y236" i="2" s="1"/>
  <c r="T252" i="2"/>
  <c r="Y252" i="2" s="1"/>
  <c r="AI266" i="2"/>
  <c r="AI271" i="2"/>
  <c r="T275" i="2"/>
  <c r="Y275" i="2" s="1"/>
  <c r="T281" i="2"/>
  <c r="Y281" i="2" s="1"/>
  <c r="AI267" i="2"/>
  <c r="AI283" i="2"/>
  <c r="T270" i="2"/>
  <c r="Y270" i="2" s="1"/>
  <c r="T286" i="2"/>
  <c r="Y286" i="2" s="1"/>
  <c r="AI301" i="2"/>
  <c r="AI295" i="2"/>
  <c r="AI298" i="2"/>
  <c r="T300" i="2"/>
  <c r="Y300" i="2" s="1"/>
  <c r="T306" i="2"/>
  <c r="Y306" i="2" s="1"/>
  <c r="AI293" i="2"/>
  <c r="AI308" i="2"/>
  <c r="T290" i="2"/>
  <c r="Y290" i="2" s="1"/>
  <c r="T304" i="2"/>
  <c r="Y304" i="2" s="1"/>
  <c r="T310" i="2"/>
  <c r="Y310" i="2" s="1"/>
  <c r="AI317" i="2"/>
  <c r="T295" i="2"/>
  <c r="Y295" i="2" s="1"/>
  <c r="T313" i="2"/>
  <c r="Y313" i="2" s="1"/>
  <c r="AI319" i="2"/>
  <c r="AI335" i="2"/>
  <c r="AI331" i="2"/>
  <c r="AI323" i="2"/>
  <c r="T319" i="2"/>
  <c r="Y319" i="2" s="1"/>
  <c r="T322" i="2"/>
  <c r="Y322" i="2" s="1"/>
  <c r="AI345" i="2"/>
  <c r="AI353" i="2"/>
  <c r="AI338" i="2"/>
  <c r="T347" i="2"/>
  <c r="Y347" i="2" s="1"/>
  <c r="T348" i="2"/>
  <c r="Y348" i="2" s="1"/>
  <c r="T357" i="2"/>
  <c r="Y357" i="2" s="1"/>
  <c r="AI356" i="2"/>
  <c r="T350" i="2"/>
  <c r="Y350" i="2" s="1"/>
  <c r="AI355" i="2"/>
  <c r="T358" i="2"/>
  <c r="Y358" i="2" s="1"/>
  <c r="T372" i="2"/>
  <c r="Y372" i="2" s="1"/>
  <c r="T382" i="2"/>
  <c r="Y382" i="2" s="1"/>
  <c r="AI382" i="2"/>
  <c r="AW90" i="2"/>
  <c r="AZ90" i="2"/>
  <c r="AY90" i="2"/>
  <c r="AT90" i="2"/>
  <c r="AS90" i="2"/>
  <c r="AV90" i="2"/>
  <c r="AU90" i="2"/>
  <c r="AP90" i="2"/>
  <c r="AO90" i="2"/>
  <c r="AR90" i="2"/>
  <c r="AQ90" i="2"/>
  <c r="AX90" i="2"/>
  <c r="AI96" i="2"/>
  <c r="AI127" i="2"/>
  <c r="AI197" i="2"/>
  <c r="AQ266" i="2"/>
  <c r="AR266" i="2"/>
  <c r="AO266" i="2"/>
  <c r="AW359" i="2"/>
  <c r="AZ359" i="2"/>
  <c r="AY359" i="2"/>
  <c r="AT359" i="2"/>
  <c r="AS359" i="2"/>
  <c r="AV359" i="2"/>
  <c r="AU359" i="2"/>
  <c r="AP359" i="2"/>
  <c r="AO359" i="2"/>
  <c r="AR359" i="2"/>
  <c r="AQ359" i="2"/>
  <c r="AX359" i="2"/>
  <c r="AQ358" i="2"/>
  <c r="BG358" i="2" s="1"/>
  <c r="AR358" i="2"/>
  <c r="BH358" i="2" s="1"/>
  <c r="AO358" i="2"/>
  <c r="BE358" i="2" s="1"/>
  <c r="AA288" i="3" l="1"/>
  <c r="AI288" i="3"/>
  <c r="Z289" i="3"/>
  <c r="AA358" i="3"/>
  <c r="AI358" i="3"/>
  <c r="Z359" i="3"/>
  <c r="AI143" i="3"/>
  <c r="Z144" i="3"/>
  <c r="AA143" i="3"/>
  <c r="Z145" i="3"/>
  <c r="AA144" i="3"/>
  <c r="AI144" i="3"/>
  <c r="AI28" i="3"/>
  <c r="Z29" i="3"/>
  <c r="AA28" i="3"/>
  <c r="Z26" i="3"/>
  <c r="AI25" i="3"/>
  <c r="AA25" i="3"/>
  <c r="AA302" i="3"/>
  <c r="AI302" i="3"/>
  <c r="Z303" i="3"/>
  <c r="AI225" i="3"/>
  <c r="Z226" i="3"/>
  <c r="AA225" i="3"/>
  <c r="Z141" i="3"/>
  <c r="AA140" i="3"/>
  <c r="AI140" i="3"/>
  <c r="Z123" i="3"/>
  <c r="AA122" i="3"/>
  <c r="AI122" i="3"/>
  <c r="AI131" i="3"/>
  <c r="Z132" i="3"/>
  <c r="AA131" i="3"/>
  <c r="Z40" i="3"/>
  <c r="AA39" i="3"/>
  <c r="AI39" i="3"/>
  <c r="AI46" i="3"/>
  <c r="Z47" i="3"/>
  <c r="AA46" i="3"/>
  <c r="AI16" i="3"/>
  <c r="Z17" i="3"/>
  <c r="AA16" i="3"/>
  <c r="Z245" i="3"/>
  <c r="AA244" i="3"/>
  <c r="AI244" i="3"/>
  <c r="AI30" i="3"/>
  <c r="Z31" i="3"/>
  <c r="AA30" i="3"/>
  <c r="Z348" i="3"/>
  <c r="AA347" i="3"/>
  <c r="AI347" i="3"/>
  <c r="AA290" i="3"/>
  <c r="AI290" i="3"/>
  <c r="Z291" i="3"/>
  <c r="AA314" i="3"/>
  <c r="AI314" i="3"/>
  <c r="Z315" i="3"/>
  <c r="AI237" i="3"/>
  <c r="Z238" i="3"/>
  <c r="AA237" i="3"/>
  <c r="Z249" i="3"/>
  <c r="AA248" i="3"/>
  <c r="AI248" i="3"/>
  <c r="AI243" i="3"/>
  <c r="Z244" i="3"/>
  <c r="AA243" i="3"/>
  <c r="AI139" i="3"/>
  <c r="Z140" i="3"/>
  <c r="AA139" i="3"/>
  <c r="Z32" i="3"/>
  <c r="AI31" i="3"/>
  <c r="AA31" i="3"/>
  <c r="AA19" i="3"/>
  <c r="Z20" i="3"/>
  <c r="AI19" i="3"/>
  <c r="Z243" i="3"/>
  <c r="AA242" i="3"/>
  <c r="AI242" i="3"/>
  <c r="Z111" i="3"/>
  <c r="AA110" i="3"/>
  <c r="AI110" i="3"/>
  <c r="Z15" i="3"/>
  <c r="AA14" i="3"/>
  <c r="AI14" i="3"/>
  <c r="Z344" i="3"/>
  <c r="AA343" i="3"/>
  <c r="AI343" i="3"/>
  <c r="AA318" i="3"/>
  <c r="AI318" i="3"/>
  <c r="Z319" i="3"/>
  <c r="AI227" i="3"/>
  <c r="Z228" i="3"/>
  <c r="AA227" i="3"/>
  <c r="AI245" i="3"/>
  <c r="Z246" i="3"/>
  <c r="AA245" i="3"/>
  <c r="Z125" i="3"/>
  <c r="AA124" i="3"/>
  <c r="AI124" i="3"/>
  <c r="AI117" i="3"/>
  <c r="Z118" i="3"/>
  <c r="AA117" i="3"/>
  <c r="Z91" i="3"/>
  <c r="AI90" i="3"/>
  <c r="AA90" i="3"/>
  <c r="Z105" i="3"/>
  <c r="AA104" i="3"/>
  <c r="AI104" i="3"/>
  <c r="Z30" i="3"/>
  <c r="AI29" i="3"/>
  <c r="AA29" i="3"/>
  <c r="Z42" i="3"/>
  <c r="AA41" i="3"/>
  <c r="AI41" i="3"/>
  <c r="AI101" i="3"/>
  <c r="Z102" i="3"/>
  <c r="AA101" i="3"/>
  <c r="Z6" i="3"/>
  <c r="AA5" i="3"/>
  <c r="AL5" i="3" s="1"/>
  <c r="AI5" i="3"/>
  <c r="AJ6" i="3" s="1"/>
  <c r="AK6" i="3" s="1"/>
  <c r="BQ21" i="3"/>
  <c r="BR21" i="3" s="1"/>
  <c r="CF22" i="3" s="1"/>
  <c r="CI19" i="3" s="1"/>
  <c r="CJ19" i="3" s="1"/>
  <c r="CK19" i="3" s="1"/>
  <c r="CL19" i="3" s="1"/>
  <c r="BO22" i="3"/>
  <c r="BP22" i="3" s="1"/>
  <c r="BO15" i="3"/>
  <c r="BP15" i="3" s="1"/>
  <c r="BQ14" i="3"/>
  <c r="BR14" i="3" s="1"/>
  <c r="CF15" i="3" s="1"/>
  <c r="CI12" i="3" s="1"/>
  <c r="CJ12" i="3" s="1"/>
  <c r="CK12" i="3" s="1"/>
  <c r="CL12" i="3" s="1"/>
  <c r="Z69" i="3"/>
  <c r="AA68" i="3"/>
  <c r="AI68" i="3"/>
  <c r="Z9" i="3"/>
  <c r="AA8" i="3"/>
  <c r="AI8" i="3"/>
  <c r="Z83" i="3"/>
  <c r="AA82" i="3"/>
  <c r="AI82" i="3"/>
  <c r="BO14" i="3"/>
  <c r="BP14" i="3" s="1"/>
  <c r="BQ13" i="3"/>
  <c r="BR13" i="3" s="1"/>
  <c r="CF14" i="3" s="1"/>
  <c r="CI11" i="3" s="1"/>
  <c r="CJ11" i="3" s="1"/>
  <c r="CK11" i="3" s="1"/>
  <c r="CL11" i="3" s="1"/>
  <c r="BO21" i="3"/>
  <c r="BP21" i="3" s="1"/>
  <c r="BQ20" i="3"/>
  <c r="BR20" i="3" s="1"/>
  <c r="CF21" i="3" s="1"/>
  <c r="CI18" i="3" s="1"/>
  <c r="CJ18" i="3" s="1"/>
  <c r="CK18" i="3" s="1"/>
  <c r="CL18" i="3" s="1"/>
  <c r="Z55" i="3"/>
  <c r="AA54" i="3"/>
  <c r="AI54" i="3"/>
  <c r="Z87" i="3"/>
  <c r="AA86" i="3"/>
  <c r="AI86" i="3"/>
  <c r="BQ10" i="3"/>
  <c r="BR10" i="3" s="1"/>
  <c r="CF11" i="3" s="1"/>
  <c r="CI8" i="3" s="1"/>
  <c r="CJ8" i="3" s="1"/>
  <c r="CK8" i="3" s="1"/>
  <c r="CL8" i="3" s="1"/>
  <c r="BO11" i="3"/>
  <c r="BP11" i="3" s="1"/>
  <c r="Z59" i="3"/>
  <c r="AA58" i="3"/>
  <c r="AI58" i="3"/>
  <c r="BO23" i="3"/>
  <c r="BP23" i="3" s="1"/>
  <c r="BQ22" i="3"/>
  <c r="BR22" i="3" s="1"/>
  <c r="CF23" i="3" s="1"/>
  <c r="CI20" i="3" s="1"/>
  <c r="CJ20" i="3" s="1"/>
  <c r="CK20" i="3" s="1"/>
  <c r="CL20" i="3" s="1"/>
  <c r="Z57" i="3"/>
  <c r="AA56" i="3"/>
  <c r="AI56" i="3"/>
  <c r="Z89" i="3"/>
  <c r="AA88" i="3"/>
  <c r="AI88" i="3"/>
  <c r="BO32" i="3"/>
  <c r="BP32" i="3" s="1"/>
  <c r="BQ31" i="3"/>
  <c r="BR31" i="3" s="1"/>
  <c r="CF32" i="3" s="1"/>
  <c r="CI29" i="3" s="1"/>
  <c r="CJ29" i="3" s="1"/>
  <c r="CK29" i="3" s="1"/>
  <c r="CL29" i="3" s="1"/>
  <c r="BO40" i="3"/>
  <c r="BP40" i="3" s="1"/>
  <c r="BQ39" i="3"/>
  <c r="BR39" i="3" s="1"/>
  <c r="CF40" i="3" s="1"/>
  <c r="CI37" i="3" s="1"/>
  <c r="CJ37" i="3" s="1"/>
  <c r="CK37" i="3" s="1"/>
  <c r="CL37" i="3" s="1"/>
  <c r="Z192" i="3"/>
  <c r="AA191" i="3"/>
  <c r="AI191" i="3"/>
  <c r="AA49" i="3"/>
  <c r="AI49" i="3"/>
  <c r="Z50" i="3"/>
  <c r="AA57" i="3"/>
  <c r="AI57" i="3"/>
  <c r="Z58" i="3"/>
  <c r="AA65" i="3"/>
  <c r="AI65" i="3"/>
  <c r="Z66" i="3"/>
  <c r="AA73" i="3"/>
  <c r="AI73" i="3"/>
  <c r="Z74" i="3"/>
  <c r="AA81" i="3"/>
  <c r="AI81" i="3"/>
  <c r="Z82" i="3"/>
  <c r="AI89" i="3"/>
  <c r="Z90" i="3"/>
  <c r="AA89" i="3"/>
  <c r="AA166" i="3"/>
  <c r="Z167" i="3"/>
  <c r="AI166" i="3"/>
  <c r="BQ32" i="3"/>
  <c r="BR32" i="3" s="1"/>
  <c r="CF33" i="3" s="1"/>
  <c r="CI30" i="3" s="1"/>
  <c r="CJ30" i="3" s="1"/>
  <c r="CK30" i="3" s="1"/>
  <c r="CL30" i="3" s="1"/>
  <c r="BO33" i="3"/>
  <c r="BP33" i="3" s="1"/>
  <c r="BO41" i="3"/>
  <c r="BP41" i="3" s="1"/>
  <c r="BQ40" i="3"/>
  <c r="BR40" i="3" s="1"/>
  <c r="CF41" i="3" s="1"/>
  <c r="CI38" i="3" s="1"/>
  <c r="CJ38" i="3" s="1"/>
  <c r="CK38" i="3" s="1"/>
  <c r="CL38" i="3" s="1"/>
  <c r="Z170" i="3"/>
  <c r="AA169" i="3"/>
  <c r="AI169" i="3"/>
  <c r="Z202" i="3"/>
  <c r="AA201" i="3"/>
  <c r="AI201" i="3"/>
  <c r="AA153" i="3"/>
  <c r="Z154" i="3"/>
  <c r="AI153" i="3"/>
  <c r="AA161" i="3"/>
  <c r="Z162" i="3"/>
  <c r="AI161" i="3"/>
  <c r="Z180" i="3"/>
  <c r="AA179" i="3"/>
  <c r="AI179" i="3"/>
  <c r="Z212" i="3"/>
  <c r="AA211" i="3"/>
  <c r="AI211" i="3"/>
  <c r="Z190" i="3"/>
  <c r="AA189" i="3"/>
  <c r="AI189" i="3"/>
  <c r="Z222" i="3"/>
  <c r="AA221" i="3"/>
  <c r="AI221" i="3"/>
  <c r="AA170" i="3"/>
  <c r="AI170" i="3"/>
  <c r="Z171" i="3"/>
  <c r="AA178" i="3"/>
  <c r="AI178" i="3"/>
  <c r="Z179" i="3"/>
  <c r="AA186" i="3"/>
  <c r="AI186" i="3"/>
  <c r="Z187" i="3"/>
  <c r="AA194" i="3"/>
  <c r="AI194" i="3"/>
  <c r="Z195" i="3"/>
  <c r="AA202" i="3"/>
  <c r="AI202" i="3"/>
  <c r="Z203" i="3"/>
  <c r="AA210" i="3"/>
  <c r="AI210" i="3"/>
  <c r="Z211" i="3"/>
  <c r="AA218" i="3"/>
  <c r="AI218" i="3"/>
  <c r="Z219" i="3"/>
  <c r="Z270" i="3"/>
  <c r="AA269" i="3"/>
  <c r="AI269" i="3"/>
  <c r="Z286" i="3"/>
  <c r="AA285" i="3"/>
  <c r="AI285" i="3"/>
  <c r="AA252" i="3"/>
  <c r="AI252" i="3"/>
  <c r="Z253" i="3"/>
  <c r="Z268" i="3"/>
  <c r="AA267" i="3"/>
  <c r="AI267" i="3"/>
  <c r="Z282" i="3"/>
  <c r="AA281" i="3"/>
  <c r="AI281" i="3"/>
  <c r="AA258" i="3"/>
  <c r="AI258" i="3"/>
  <c r="Z259" i="3"/>
  <c r="AA266" i="3"/>
  <c r="AI266" i="3"/>
  <c r="Z267" i="3"/>
  <c r="AA274" i="3"/>
  <c r="AI274" i="3"/>
  <c r="Z275" i="3"/>
  <c r="AA282" i="3"/>
  <c r="Z283" i="3"/>
  <c r="AI282" i="3"/>
  <c r="Z294" i="3"/>
  <c r="AA293" i="3"/>
  <c r="AI293" i="3"/>
  <c r="Z314" i="3"/>
  <c r="AA313" i="3"/>
  <c r="AI313" i="3"/>
  <c r="Z322" i="3"/>
  <c r="AA321" i="3"/>
  <c r="AI321" i="3"/>
  <c r="Z330" i="3"/>
  <c r="AA329" i="3"/>
  <c r="AI329" i="3"/>
  <c r="AI334" i="3"/>
  <c r="Z335" i="3"/>
  <c r="AA334" i="3"/>
  <c r="AA324" i="3"/>
  <c r="AI324" i="3"/>
  <c r="Z325" i="3"/>
  <c r="AA332" i="3"/>
  <c r="AI332" i="3"/>
  <c r="Z333" i="3"/>
  <c r="Z354" i="3"/>
  <c r="AA353" i="3"/>
  <c r="AI353" i="3"/>
  <c r="Z362" i="3"/>
  <c r="AA361" i="3"/>
  <c r="AI361" i="3"/>
  <c r="AI340" i="3"/>
  <c r="Z341" i="3"/>
  <c r="AA340" i="3"/>
  <c r="AI348" i="3"/>
  <c r="Z349" i="3"/>
  <c r="AA348" i="3"/>
  <c r="AA350" i="3"/>
  <c r="AI350" i="3"/>
  <c r="Z351" i="3"/>
  <c r="Z372" i="3"/>
  <c r="AA371" i="3"/>
  <c r="AI371" i="3"/>
  <c r="Z374" i="3"/>
  <c r="AA373" i="3"/>
  <c r="AI373" i="3"/>
  <c r="AA374" i="3"/>
  <c r="AI374" i="3"/>
  <c r="Z375" i="3"/>
  <c r="AA381" i="3"/>
  <c r="AI381" i="3"/>
  <c r="Z382" i="3"/>
  <c r="AA385" i="3"/>
  <c r="AI385" i="3"/>
  <c r="Z386" i="3"/>
  <c r="Z340" i="3"/>
  <c r="AA339" i="3"/>
  <c r="AI339" i="3"/>
  <c r="AI284" i="3"/>
  <c r="Z285" i="3"/>
  <c r="AA284" i="3"/>
  <c r="AI111" i="3"/>
  <c r="Z112" i="3"/>
  <c r="AA111" i="3"/>
  <c r="Z113" i="3"/>
  <c r="AA112" i="3"/>
  <c r="AI112" i="3"/>
  <c r="AI23" i="3"/>
  <c r="AA23" i="3"/>
  <c r="Z24" i="3"/>
  <c r="AA364" i="3"/>
  <c r="AI364" i="3"/>
  <c r="Z365" i="3"/>
  <c r="AA306" i="3"/>
  <c r="AI306" i="3"/>
  <c r="Z307" i="3"/>
  <c r="AI231" i="3"/>
  <c r="Z232" i="3"/>
  <c r="AA231" i="3"/>
  <c r="AI119" i="3"/>
  <c r="Z120" i="3"/>
  <c r="AA119" i="3"/>
  <c r="Z101" i="3"/>
  <c r="AI100" i="3"/>
  <c r="AA100" i="3"/>
  <c r="Z121" i="3"/>
  <c r="AA120" i="3"/>
  <c r="AI120" i="3"/>
  <c r="AI36" i="3"/>
  <c r="Z37" i="3"/>
  <c r="AA36" i="3"/>
  <c r="AI105" i="3"/>
  <c r="Z106" i="3"/>
  <c r="AA105" i="3"/>
  <c r="AA294" i="3"/>
  <c r="AI294" i="3"/>
  <c r="Z295" i="3"/>
  <c r="Z241" i="3"/>
  <c r="AA240" i="3"/>
  <c r="AI240" i="3"/>
  <c r="AI113" i="3"/>
  <c r="Z114" i="3"/>
  <c r="AA113" i="3"/>
  <c r="Z346" i="3"/>
  <c r="AA345" i="3"/>
  <c r="AI345" i="3"/>
  <c r="AA316" i="3"/>
  <c r="AI316" i="3"/>
  <c r="Z317" i="3"/>
  <c r="Z247" i="3"/>
  <c r="AA246" i="3"/>
  <c r="AI246" i="3"/>
  <c r="Z227" i="3"/>
  <c r="AI226" i="3"/>
  <c r="AA226" i="3"/>
  <c r="Z149" i="3"/>
  <c r="AA148" i="3"/>
  <c r="AI148" i="3"/>
  <c r="AI141" i="3"/>
  <c r="Z142" i="3"/>
  <c r="AA141" i="3"/>
  <c r="Z129" i="3"/>
  <c r="AA128" i="3"/>
  <c r="AI128" i="3"/>
  <c r="AI145" i="3"/>
  <c r="Z146" i="3"/>
  <c r="AA145" i="3"/>
  <c r="AA286" i="3"/>
  <c r="AI286" i="3"/>
  <c r="Z287" i="3"/>
  <c r="AI125" i="3"/>
  <c r="Z126" i="3"/>
  <c r="AA125" i="3"/>
  <c r="AA150" i="3"/>
  <c r="AI150" i="3"/>
  <c r="Z151" i="3"/>
  <c r="AA21" i="3"/>
  <c r="Z22" i="3"/>
  <c r="AI21" i="3"/>
  <c r="Z342" i="3"/>
  <c r="AA341" i="3"/>
  <c r="AI341" i="3"/>
  <c r="Z350" i="3"/>
  <c r="AA349" i="3"/>
  <c r="AI349" i="3"/>
  <c r="AI223" i="3"/>
  <c r="Z224" i="3"/>
  <c r="AA223" i="3"/>
  <c r="Z235" i="3"/>
  <c r="AA234" i="3"/>
  <c r="AI234" i="3"/>
  <c r="AI103" i="3"/>
  <c r="Z104" i="3"/>
  <c r="AA103" i="3"/>
  <c r="Z107" i="3"/>
  <c r="AA106" i="3"/>
  <c r="AI106" i="3"/>
  <c r="AI147" i="3"/>
  <c r="Z148" i="3"/>
  <c r="AA147" i="3"/>
  <c r="AI121" i="3"/>
  <c r="Z122" i="3"/>
  <c r="AA121" i="3"/>
  <c r="Z127" i="3"/>
  <c r="AA126" i="3"/>
  <c r="AI126" i="3"/>
  <c r="AI38" i="3"/>
  <c r="Z39" i="3"/>
  <c r="AA38" i="3"/>
  <c r="AI93" i="3"/>
  <c r="Z94" i="3"/>
  <c r="AA93" i="3"/>
  <c r="AI9" i="3"/>
  <c r="AA9" i="3"/>
  <c r="Z10" i="3"/>
  <c r="Z51" i="3"/>
  <c r="AA50" i="3"/>
  <c r="AI50" i="3"/>
  <c r="BQ24" i="3"/>
  <c r="BR24" i="3" s="1"/>
  <c r="CF25" i="3" s="1"/>
  <c r="CI22" i="3" s="1"/>
  <c r="CJ22" i="3" s="1"/>
  <c r="CK22" i="3" s="1"/>
  <c r="CL22" i="3" s="1"/>
  <c r="BO25" i="3"/>
  <c r="BP25" i="3" s="1"/>
  <c r="Z77" i="3"/>
  <c r="AA76" i="3"/>
  <c r="AI76" i="3"/>
  <c r="Z12" i="3"/>
  <c r="AA11" i="3"/>
  <c r="AI11" i="3"/>
  <c r="AA4" i="3"/>
  <c r="AL4" i="3" s="1"/>
  <c r="Z5" i="3"/>
  <c r="AJ5" i="3" s="1"/>
  <c r="AI4" i="3"/>
  <c r="Z16" i="3"/>
  <c r="AA15" i="3"/>
  <c r="AI15" i="3"/>
  <c r="AI22" i="3"/>
  <c r="AA22" i="3"/>
  <c r="Z23" i="3"/>
  <c r="Z63" i="3"/>
  <c r="AA62" i="3"/>
  <c r="AI62" i="3"/>
  <c r="AA152" i="3"/>
  <c r="AI152" i="3"/>
  <c r="Z153" i="3"/>
  <c r="BQ11" i="3"/>
  <c r="BR11" i="3" s="1"/>
  <c r="CF12" i="3" s="1"/>
  <c r="CI9" i="3" s="1"/>
  <c r="CJ9" i="3" s="1"/>
  <c r="CK9" i="3" s="1"/>
  <c r="CL9" i="3" s="1"/>
  <c r="BO12" i="3"/>
  <c r="BP12" i="3" s="1"/>
  <c r="BQ7" i="3"/>
  <c r="BR7" i="3" s="1"/>
  <c r="CF8" i="3" s="1"/>
  <c r="CI5" i="3" s="1"/>
  <c r="CJ5" i="3" s="1"/>
  <c r="CK5" i="3" s="1"/>
  <c r="CL5" i="3" s="1"/>
  <c r="BO8" i="3"/>
  <c r="BP8" i="3" s="1"/>
  <c r="BQ26" i="3"/>
  <c r="BR26" i="3" s="1"/>
  <c r="CF27" i="3" s="1"/>
  <c r="CI24" i="3" s="1"/>
  <c r="CJ24" i="3" s="1"/>
  <c r="CK24" i="3" s="1"/>
  <c r="CL24" i="3" s="1"/>
  <c r="BO27" i="3"/>
  <c r="BP27" i="3" s="1"/>
  <c r="Z65" i="3"/>
  <c r="AA64" i="3"/>
  <c r="AI64" i="3"/>
  <c r="AA156" i="3"/>
  <c r="AI156" i="3"/>
  <c r="Z157" i="3"/>
  <c r="BO34" i="3"/>
  <c r="BP34" i="3" s="1"/>
  <c r="BQ33" i="3"/>
  <c r="BR33" i="3" s="1"/>
  <c r="CF34" i="3" s="1"/>
  <c r="CI31" i="3" s="1"/>
  <c r="CJ31" i="3" s="1"/>
  <c r="CK31" i="3" s="1"/>
  <c r="CL31" i="3" s="1"/>
  <c r="BQ41" i="3"/>
  <c r="BR41" i="3" s="1"/>
  <c r="CF42" i="3" s="1"/>
  <c r="CI39" i="3" s="1"/>
  <c r="CJ39" i="3" s="1"/>
  <c r="CK39" i="3" s="1"/>
  <c r="CL39" i="3" s="1"/>
  <c r="BO42" i="3"/>
  <c r="BP42" i="3" s="1"/>
  <c r="Z168" i="3"/>
  <c r="AA167" i="3"/>
  <c r="AI167" i="3"/>
  <c r="Z200" i="3"/>
  <c r="AA199" i="3"/>
  <c r="AI199" i="3"/>
  <c r="AA51" i="3"/>
  <c r="AI51" i="3"/>
  <c r="Z52" i="3"/>
  <c r="AA59" i="3"/>
  <c r="AI59" i="3"/>
  <c r="Z60" i="3"/>
  <c r="AA67" i="3"/>
  <c r="AI67" i="3"/>
  <c r="Z68" i="3"/>
  <c r="AA75" i="3"/>
  <c r="AI75" i="3"/>
  <c r="Z76" i="3"/>
  <c r="AA83" i="3"/>
  <c r="AI83" i="3"/>
  <c r="Z84" i="3"/>
  <c r="AA154" i="3"/>
  <c r="Z155" i="3"/>
  <c r="AI154" i="3"/>
  <c r="BO26" i="3"/>
  <c r="BP26" i="3" s="1"/>
  <c r="BQ25" i="3"/>
  <c r="BR25" i="3" s="1"/>
  <c r="CF26" i="3" s="1"/>
  <c r="CI23" i="3" s="1"/>
  <c r="CJ23" i="3" s="1"/>
  <c r="CK23" i="3" s="1"/>
  <c r="CL23" i="3" s="1"/>
  <c r="BO35" i="3"/>
  <c r="BP35" i="3" s="1"/>
  <c r="BQ34" i="3"/>
  <c r="BR34" i="3" s="1"/>
  <c r="CF35" i="3" s="1"/>
  <c r="CI32" i="3" s="1"/>
  <c r="CJ32" i="3" s="1"/>
  <c r="CK32" i="3" s="1"/>
  <c r="CL32" i="3" s="1"/>
  <c r="BO43" i="3"/>
  <c r="BP43" i="3" s="1"/>
  <c r="BQ42" i="3"/>
  <c r="BR42" i="3" s="1"/>
  <c r="CF43" i="3" s="1"/>
  <c r="CI40" i="3" s="1"/>
  <c r="CJ40" i="3" s="1"/>
  <c r="CK40" i="3" s="1"/>
  <c r="CL40" i="3" s="1"/>
  <c r="Z178" i="3"/>
  <c r="AA177" i="3"/>
  <c r="AI177" i="3"/>
  <c r="Z210" i="3"/>
  <c r="AA209" i="3"/>
  <c r="AI209" i="3"/>
  <c r="AA155" i="3"/>
  <c r="Z156" i="3"/>
  <c r="AI155" i="3"/>
  <c r="AA163" i="3"/>
  <c r="Z164" i="3"/>
  <c r="AI163" i="3"/>
  <c r="Z188" i="3"/>
  <c r="AA187" i="3"/>
  <c r="AI187" i="3"/>
  <c r="Z220" i="3"/>
  <c r="AA219" i="3"/>
  <c r="AI219" i="3"/>
  <c r="Z198" i="3"/>
  <c r="AA197" i="3"/>
  <c r="AI197" i="3"/>
  <c r="Z284" i="3"/>
  <c r="AA283" i="3"/>
  <c r="AI283" i="3"/>
  <c r="AA172" i="3"/>
  <c r="AI172" i="3"/>
  <c r="Z173" i="3"/>
  <c r="AA180" i="3"/>
  <c r="AI180" i="3"/>
  <c r="Z181" i="3"/>
  <c r="AA188" i="3"/>
  <c r="AI188" i="3"/>
  <c r="Z189" i="3"/>
  <c r="AA196" i="3"/>
  <c r="AI196" i="3"/>
  <c r="Z197" i="3"/>
  <c r="AA204" i="3"/>
  <c r="AI204" i="3"/>
  <c r="Z205" i="3"/>
  <c r="AA212" i="3"/>
  <c r="AI212" i="3"/>
  <c r="Z213" i="3"/>
  <c r="AA220" i="3"/>
  <c r="AI220" i="3"/>
  <c r="Z221" i="3"/>
  <c r="Z258" i="3"/>
  <c r="AA257" i="3"/>
  <c r="AI257" i="3"/>
  <c r="Z302" i="3"/>
  <c r="AA301" i="3"/>
  <c r="AI301" i="3"/>
  <c r="Z255" i="3"/>
  <c r="AA254" i="3"/>
  <c r="AI254" i="3"/>
  <c r="Z276" i="3"/>
  <c r="AA275" i="3"/>
  <c r="AI275" i="3"/>
  <c r="Z318" i="3"/>
  <c r="AA317" i="3"/>
  <c r="AI317" i="3"/>
  <c r="AA260" i="3"/>
  <c r="AI260" i="3"/>
  <c r="Z261" i="3"/>
  <c r="AA268" i="3"/>
  <c r="AI268" i="3"/>
  <c r="Z269" i="3"/>
  <c r="AA276" i="3"/>
  <c r="AI276" i="3"/>
  <c r="Z277" i="3"/>
  <c r="Z288" i="3"/>
  <c r="AA287" i="3"/>
  <c r="AI287" i="3"/>
  <c r="Z296" i="3"/>
  <c r="AA295" i="3"/>
  <c r="AI295" i="3"/>
  <c r="Z300" i="3"/>
  <c r="AA299" i="3"/>
  <c r="AI299" i="3"/>
  <c r="Z324" i="3"/>
  <c r="AA323" i="3"/>
  <c r="AI323" i="3"/>
  <c r="Z332" i="3"/>
  <c r="AA331" i="3"/>
  <c r="AI331" i="3"/>
  <c r="Z339" i="3"/>
  <c r="AI338" i="3"/>
  <c r="AA338" i="3"/>
  <c r="AA326" i="3"/>
  <c r="AI326" i="3"/>
  <c r="Z327" i="3"/>
  <c r="AA335" i="3"/>
  <c r="Z336" i="3"/>
  <c r="AI335" i="3"/>
  <c r="Z356" i="3"/>
  <c r="AA355" i="3"/>
  <c r="AI355" i="3"/>
  <c r="Z364" i="3"/>
  <c r="AA363" i="3"/>
  <c r="AI363" i="3"/>
  <c r="AI342" i="3"/>
  <c r="Z343" i="3"/>
  <c r="AA342" i="3"/>
  <c r="AI366" i="3"/>
  <c r="Z367" i="3"/>
  <c r="AA366" i="3"/>
  <c r="AA352" i="3"/>
  <c r="AI352" i="3"/>
  <c r="Z353" i="3"/>
  <c r="AA386" i="3"/>
  <c r="AI386" i="3"/>
  <c r="AA380" i="3"/>
  <c r="Z381" i="3"/>
  <c r="AI380" i="3"/>
  <c r="AA376" i="3"/>
  <c r="AI376" i="3"/>
  <c r="Z377" i="3"/>
  <c r="Z383" i="3"/>
  <c r="AA382" i="3"/>
  <c r="AI382" i="3"/>
  <c r="AA362" i="3"/>
  <c r="AI362" i="3"/>
  <c r="Z363" i="3"/>
  <c r="Z225" i="3"/>
  <c r="AI224" i="3"/>
  <c r="AA224" i="3"/>
  <c r="Z147" i="3"/>
  <c r="AA146" i="3"/>
  <c r="AI146" i="3"/>
  <c r="Z49" i="3"/>
  <c r="AA48" i="3"/>
  <c r="AI48" i="3"/>
  <c r="Z19" i="3"/>
  <c r="AI18" i="3"/>
  <c r="AA18" i="3"/>
  <c r="AA312" i="3"/>
  <c r="AI312" i="3"/>
  <c r="Z313" i="3"/>
  <c r="AI249" i="3"/>
  <c r="Z250" i="3"/>
  <c r="AA249" i="3"/>
  <c r="Z251" i="3"/>
  <c r="AA250" i="3"/>
  <c r="AI250" i="3"/>
  <c r="Z109" i="3"/>
  <c r="AA108" i="3"/>
  <c r="AI108" i="3"/>
  <c r="Z97" i="3"/>
  <c r="AI96" i="3"/>
  <c r="AA96" i="3"/>
  <c r="Z135" i="3"/>
  <c r="AA134" i="3"/>
  <c r="AI134" i="3"/>
  <c r="Z34" i="3"/>
  <c r="AI33" i="3"/>
  <c r="AA33" i="3"/>
  <c r="AI97" i="3"/>
  <c r="Z98" i="3"/>
  <c r="AA97" i="3"/>
  <c r="AA308" i="3"/>
  <c r="AI308" i="3"/>
  <c r="Z309" i="3"/>
  <c r="Z133" i="3"/>
  <c r="AA132" i="3"/>
  <c r="AI132" i="3"/>
  <c r="AI6" i="3"/>
  <c r="Z7" i="3"/>
  <c r="AA6" i="3"/>
  <c r="Z320" i="3"/>
  <c r="AA319" i="3"/>
  <c r="AI319" i="3"/>
  <c r="AA300" i="3"/>
  <c r="AI300" i="3"/>
  <c r="Z301" i="3"/>
  <c r="AI239" i="3"/>
  <c r="Z240" i="3"/>
  <c r="AA239" i="3"/>
  <c r="AI251" i="3"/>
  <c r="Z252" i="3"/>
  <c r="AA251" i="3"/>
  <c r="AI127" i="3"/>
  <c r="Z128" i="3"/>
  <c r="AA127" i="3"/>
  <c r="Z131" i="3"/>
  <c r="AA130" i="3"/>
  <c r="AI130" i="3"/>
  <c r="AI107" i="3"/>
  <c r="Z108" i="3"/>
  <c r="AA107" i="3"/>
  <c r="AI42" i="3"/>
  <c r="Z43" i="3"/>
  <c r="AA42" i="3"/>
  <c r="AA310" i="3"/>
  <c r="AI310" i="3"/>
  <c r="Z311" i="3"/>
  <c r="AI123" i="3"/>
  <c r="Z124" i="3"/>
  <c r="AA123" i="3"/>
  <c r="Z44" i="3"/>
  <c r="AA43" i="3"/>
  <c r="AI43" i="3"/>
  <c r="AA360" i="3"/>
  <c r="AI360" i="3"/>
  <c r="Z361" i="3"/>
  <c r="AA296" i="3"/>
  <c r="AI296" i="3"/>
  <c r="Z297" i="3"/>
  <c r="AA253" i="3"/>
  <c r="AI253" i="3"/>
  <c r="Z254" i="3"/>
  <c r="AI247" i="3"/>
  <c r="Z248" i="3"/>
  <c r="AA247" i="3"/>
  <c r="Z233" i="3"/>
  <c r="AA232" i="3"/>
  <c r="AI232" i="3"/>
  <c r="AI149" i="3"/>
  <c r="Z150" i="3"/>
  <c r="AA149" i="3"/>
  <c r="Z99" i="3"/>
  <c r="AI98" i="3"/>
  <c r="AA98" i="3"/>
  <c r="Z137" i="3"/>
  <c r="AA136" i="3"/>
  <c r="AI136" i="3"/>
  <c r="AI99" i="3"/>
  <c r="Z100" i="3"/>
  <c r="AA99" i="3"/>
  <c r="Z38" i="3"/>
  <c r="AA37" i="3"/>
  <c r="AI37" i="3"/>
  <c r="AI26" i="3"/>
  <c r="Z27" i="3"/>
  <c r="AA26" i="3"/>
  <c r="AI40" i="3"/>
  <c r="Z41" i="3"/>
  <c r="AA40" i="3"/>
  <c r="BQ9" i="3"/>
  <c r="BR9" i="3" s="1"/>
  <c r="CF10" i="3" s="1"/>
  <c r="CI7" i="3" s="1"/>
  <c r="CJ7" i="3" s="1"/>
  <c r="CK7" i="3" s="1"/>
  <c r="CL7" i="3" s="1"/>
  <c r="BO10" i="3"/>
  <c r="BP10" i="3" s="1"/>
  <c r="Z67" i="3"/>
  <c r="AA66" i="3"/>
  <c r="AI66" i="3"/>
  <c r="Z53" i="3"/>
  <c r="AA52" i="3"/>
  <c r="AI52" i="3"/>
  <c r="Z85" i="3"/>
  <c r="AA84" i="3"/>
  <c r="AI84" i="3"/>
  <c r="BO20" i="3"/>
  <c r="BP20" i="3" s="1"/>
  <c r="BQ19" i="3"/>
  <c r="BR19" i="3" s="1"/>
  <c r="CF20" i="3" s="1"/>
  <c r="CI17" i="3" s="1"/>
  <c r="CJ17" i="3" s="1"/>
  <c r="CK17" i="3" s="1"/>
  <c r="CL17" i="3" s="1"/>
  <c r="AA7" i="3"/>
  <c r="Z8" i="3"/>
  <c r="AI7" i="3"/>
  <c r="BO16" i="3"/>
  <c r="BP16" i="3" s="1"/>
  <c r="BQ15" i="3"/>
  <c r="BR15" i="3" s="1"/>
  <c r="CF16" i="3" s="1"/>
  <c r="CI13" i="3" s="1"/>
  <c r="CJ13" i="3" s="1"/>
  <c r="CK13" i="3" s="1"/>
  <c r="CL13" i="3" s="1"/>
  <c r="BO24" i="3"/>
  <c r="BP24" i="3" s="1"/>
  <c r="BQ23" i="3"/>
  <c r="BR23" i="3" s="1"/>
  <c r="CF24" i="3" s="1"/>
  <c r="CI21" i="3" s="1"/>
  <c r="CJ21" i="3" s="1"/>
  <c r="CK21" i="3" s="1"/>
  <c r="CL21" i="3" s="1"/>
  <c r="Z71" i="3"/>
  <c r="AA70" i="3"/>
  <c r="AI70" i="3"/>
  <c r="BQ8" i="3"/>
  <c r="BR8" i="3" s="1"/>
  <c r="CF9" i="3" s="1"/>
  <c r="CI6" i="3" s="1"/>
  <c r="CJ6" i="3" s="1"/>
  <c r="CK6" i="3" s="1"/>
  <c r="CL6" i="3" s="1"/>
  <c r="BO9" i="3"/>
  <c r="BP9" i="3" s="1"/>
  <c r="AI17" i="3"/>
  <c r="Z18" i="3"/>
  <c r="AA17" i="3"/>
  <c r="BO13" i="3"/>
  <c r="BP13" i="3" s="1"/>
  <c r="BQ12" i="3"/>
  <c r="BR12" i="3" s="1"/>
  <c r="CF13" i="3" s="1"/>
  <c r="CI10" i="3" s="1"/>
  <c r="CJ10" i="3" s="1"/>
  <c r="CK10" i="3" s="1"/>
  <c r="CL10" i="3" s="1"/>
  <c r="Z28" i="3"/>
  <c r="AI27" i="3"/>
  <c r="AA27" i="3"/>
  <c r="Z73" i="3"/>
  <c r="AA72" i="3"/>
  <c r="AI72" i="3"/>
  <c r="BO28" i="3"/>
  <c r="BP28" i="3" s="1"/>
  <c r="BQ27" i="3"/>
  <c r="BR27" i="3" s="1"/>
  <c r="CF28" i="3" s="1"/>
  <c r="CI25" i="3" s="1"/>
  <c r="CJ25" i="3" s="1"/>
  <c r="CK25" i="3" s="1"/>
  <c r="CL25" i="3" s="1"/>
  <c r="BQ35" i="3"/>
  <c r="BR35" i="3" s="1"/>
  <c r="CF36" i="3" s="1"/>
  <c r="CI33" i="3" s="1"/>
  <c r="CJ33" i="3" s="1"/>
  <c r="CK33" i="3" s="1"/>
  <c r="CL33" i="3" s="1"/>
  <c r="BO36" i="3"/>
  <c r="BP36" i="3" s="1"/>
  <c r="BQ43" i="3"/>
  <c r="BR43" i="3" s="1"/>
  <c r="CF44" i="3" s="1"/>
  <c r="CI41" i="3" s="1"/>
  <c r="CJ41" i="3" s="1"/>
  <c r="CK41" i="3" s="1"/>
  <c r="CL41" i="3" s="1"/>
  <c r="BO44" i="3"/>
  <c r="BP44" i="3" s="1"/>
  <c r="Z176" i="3"/>
  <c r="AA175" i="3"/>
  <c r="AI175" i="3"/>
  <c r="Z208" i="3"/>
  <c r="AA207" i="3"/>
  <c r="AI207" i="3"/>
  <c r="AA53" i="3"/>
  <c r="AI53" i="3"/>
  <c r="Z54" i="3"/>
  <c r="AA61" i="3"/>
  <c r="AI61" i="3"/>
  <c r="Z62" i="3"/>
  <c r="AA69" i="3"/>
  <c r="AI69" i="3"/>
  <c r="Z70" i="3"/>
  <c r="AA77" i="3"/>
  <c r="AI77" i="3"/>
  <c r="Z78" i="3"/>
  <c r="AA85" i="3"/>
  <c r="AI85" i="3"/>
  <c r="Z86" i="3"/>
  <c r="AA158" i="3"/>
  <c r="Z159" i="3"/>
  <c r="AI158" i="3"/>
  <c r="BQ28" i="3"/>
  <c r="BR28" i="3" s="1"/>
  <c r="CF29" i="3" s="1"/>
  <c r="CI26" i="3" s="1"/>
  <c r="CJ26" i="3" s="1"/>
  <c r="CK26" i="3" s="1"/>
  <c r="CL26" i="3" s="1"/>
  <c r="BO29" i="3"/>
  <c r="BP29" i="3" s="1"/>
  <c r="BO37" i="3"/>
  <c r="BP37" i="3" s="1"/>
  <c r="BQ36" i="3"/>
  <c r="BR36" i="3" s="1"/>
  <c r="CF37" i="3" s="1"/>
  <c r="CI34" i="3" s="1"/>
  <c r="CJ34" i="3" s="1"/>
  <c r="CK34" i="3" s="1"/>
  <c r="CL34" i="3" s="1"/>
  <c r="BO45" i="3"/>
  <c r="BP45" i="3" s="1"/>
  <c r="BQ44" i="3"/>
  <c r="BR44" i="3" s="1"/>
  <c r="CF45" i="3" s="1"/>
  <c r="CI42" i="3" s="1"/>
  <c r="CJ42" i="3" s="1"/>
  <c r="CK42" i="3" s="1"/>
  <c r="CL42" i="3" s="1"/>
  <c r="Z186" i="3"/>
  <c r="AA185" i="3"/>
  <c r="AI185" i="3"/>
  <c r="Z218" i="3"/>
  <c r="AA217" i="3"/>
  <c r="AI217" i="3"/>
  <c r="AA157" i="3"/>
  <c r="Z158" i="3"/>
  <c r="AI157" i="3"/>
  <c r="AA165" i="3"/>
  <c r="Z166" i="3"/>
  <c r="AI165" i="3"/>
  <c r="Z196" i="3"/>
  <c r="AA195" i="3"/>
  <c r="AI195" i="3"/>
  <c r="Z174" i="3"/>
  <c r="AA173" i="3"/>
  <c r="AI173" i="3"/>
  <c r="Z206" i="3"/>
  <c r="AA205" i="3"/>
  <c r="AI205" i="3"/>
  <c r="Z310" i="3"/>
  <c r="AA309" i="3"/>
  <c r="AI309" i="3"/>
  <c r="AA174" i="3"/>
  <c r="AI174" i="3"/>
  <c r="Z175" i="3"/>
  <c r="AA182" i="3"/>
  <c r="AI182" i="3"/>
  <c r="Z183" i="3"/>
  <c r="AA190" i="3"/>
  <c r="AI190" i="3"/>
  <c r="Z191" i="3"/>
  <c r="AA198" i="3"/>
  <c r="AI198" i="3"/>
  <c r="Z199" i="3"/>
  <c r="AA206" i="3"/>
  <c r="AI206" i="3"/>
  <c r="Z207" i="3"/>
  <c r="AA214" i="3"/>
  <c r="AI214" i="3"/>
  <c r="Z215" i="3"/>
  <c r="Z223" i="3"/>
  <c r="AA222" i="3"/>
  <c r="AI222" i="3"/>
  <c r="Z264" i="3"/>
  <c r="AA263" i="3"/>
  <c r="AI263" i="3"/>
  <c r="Z266" i="3"/>
  <c r="AA265" i="3"/>
  <c r="AI265" i="3"/>
  <c r="AA256" i="3"/>
  <c r="Z257" i="3"/>
  <c r="AI256" i="3"/>
  <c r="Z278" i="3"/>
  <c r="AA277" i="3"/>
  <c r="AI277" i="3"/>
  <c r="Z304" i="3"/>
  <c r="AA303" i="3"/>
  <c r="AI303" i="3"/>
  <c r="AA262" i="3"/>
  <c r="AI262" i="3"/>
  <c r="Z263" i="3"/>
  <c r="AA270" i="3"/>
  <c r="AI270" i="3"/>
  <c r="Z271" i="3"/>
  <c r="AA278" i="3"/>
  <c r="AI278" i="3"/>
  <c r="Z279" i="3"/>
  <c r="Z290" i="3"/>
  <c r="AA289" i="3"/>
  <c r="AI289" i="3"/>
  <c r="Z298" i="3"/>
  <c r="AA297" i="3"/>
  <c r="AI297" i="3"/>
  <c r="Z308" i="3"/>
  <c r="AA307" i="3"/>
  <c r="AI307" i="3"/>
  <c r="Z326" i="3"/>
  <c r="AA325" i="3"/>
  <c r="AI325" i="3"/>
  <c r="Z334" i="3"/>
  <c r="AA333" i="3"/>
  <c r="AI333" i="3"/>
  <c r="AI320" i="3"/>
  <c r="Z321" i="3"/>
  <c r="AA320" i="3"/>
  <c r="AA328" i="3"/>
  <c r="AI328" i="3"/>
  <c r="Z329" i="3"/>
  <c r="AA337" i="3"/>
  <c r="AI337" i="3"/>
  <c r="Z338" i="3"/>
  <c r="Z358" i="3"/>
  <c r="AA357" i="3"/>
  <c r="AI357" i="3"/>
  <c r="Z366" i="3"/>
  <c r="AA365" i="3"/>
  <c r="AI365" i="3"/>
  <c r="AI344" i="3"/>
  <c r="Z345" i="3"/>
  <c r="AA344" i="3"/>
  <c r="AA368" i="3"/>
  <c r="Z369" i="3"/>
  <c r="AI368" i="3"/>
  <c r="AA354" i="3"/>
  <c r="AI354" i="3"/>
  <c r="Z355" i="3"/>
  <c r="AA367" i="3"/>
  <c r="Z368" i="3"/>
  <c r="AI367" i="3"/>
  <c r="AA370" i="3"/>
  <c r="AI370" i="3"/>
  <c r="Z371" i="3"/>
  <c r="AA377" i="3"/>
  <c r="Z378" i="3"/>
  <c r="AI377" i="3"/>
  <c r="Z385" i="3"/>
  <c r="AA384" i="3"/>
  <c r="AI384" i="3"/>
  <c r="AI235" i="3"/>
  <c r="Z236" i="3"/>
  <c r="AA235" i="3"/>
  <c r="Z115" i="3"/>
  <c r="AA114" i="3"/>
  <c r="AI114" i="3"/>
  <c r="AI34" i="3"/>
  <c r="Z35" i="3"/>
  <c r="AA34" i="3"/>
  <c r="AI12" i="3"/>
  <c r="AA12" i="3"/>
  <c r="Z13" i="3"/>
  <c r="AA292" i="3"/>
  <c r="AI292" i="3"/>
  <c r="Z293" i="3"/>
  <c r="Z239" i="3"/>
  <c r="AA238" i="3"/>
  <c r="AI238" i="3"/>
  <c r="AI229" i="3"/>
  <c r="Z230" i="3"/>
  <c r="AA229" i="3"/>
  <c r="AI133" i="3"/>
  <c r="Z134" i="3"/>
  <c r="AA133" i="3"/>
  <c r="Z93" i="3"/>
  <c r="AI92" i="3"/>
  <c r="AA92" i="3"/>
  <c r="AI95" i="3"/>
  <c r="Z96" i="3"/>
  <c r="AA95" i="3"/>
  <c r="Z143" i="3"/>
  <c r="AA142" i="3"/>
  <c r="AI142" i="3"/>
  <c r="Z36" i="3"/>
  <c r="AA35" i="3"/>
  <c r="AI35" i="3"/>
  <c r="Z231" i="3"/>
  <c r="AA230" i="3"/>
  <c r="AI230" i="3"/>
  <c r="Z46" i="3"/>
  <c r="AA45" i="3"/>
  <c r="AI45" i="3"/>
  <c r="AA304" i="3"/>
  <c r="AI304" i="3"/>
  <c r="Z305" i="3"/>
  <c r="AA298" i="3"/>
  <c r="AI298" i="3"/>
  <c r="Z299" i="3"/>
  <c r="Z229" i="3"/>
  <c r="AA228" i="3"/>
  <c r="AI228" i="3"/>
  <c r="AA255" i="3"/>
  <c r="Z256" i="3"/>
  <c r="AI255" i="3"/>
  <c r="Z117" i="3"/>
  <c r="AA116" i="3"/>
  <c r="AI116" i="3"/>
  <c r="AI109" i="3"/>
  <c r="Z110" i="3"/>
  <c r="AA109" i="3"/>
  <c r="AI44" i="3"/>
  <c r="Z45" i="3"/>
  <c r="AA44" i="3"/>
  <c r="AI137" i="3"/>
  <c r="Z138" i="3"/>
  <c r="AA137" i="3"/>
  <c r="AI241" i="3"/>
  <c r="Z242" i="3"/>
  <c r="AA241" i="3"/>
  <c r="Z103" i="3"/>
  <c r="AA102" i="3"/>
  <c r="AI102" i="3"/>
  <c r="AI32" i="3"/>
  <c r="Z33" i="3"/>
  <c r="AA32" i="3"/>
  <c r="AI233" i="3"/>
  <c r="Z234" i="3"/>
  <c r="AA233" i="3"/>
  <c r="Z237" i="3"/>
  <c r="AA236" i="3"/>
  <c r="AI236" i="3"/>
  <c r="AI135" i="3"/>
  <c r="Z136" i="3"/>
  <c r="AA135" i="3"/>
  <c r="Z139" i="3"/>
  <c r="AA138" i="3"/>
  <c r="AI138" i="3"/>
  <c r="Z95" i="3"/>
  <c r="AI94" i="3"/>
  <c r="AA94" i="3"/>
  <c r="AI115" i="3"/>
  <c r="Z116" i="3"/>
  <c r="AA115" i="3"/>
  <c r="AI91" i="3"/>
  <c r="Z92" i="3"/>
  <c r="AA91" i="3"/>
  <c r="AI129" i="3"/>
  <c r="Z130" i="3"/>
  <c r="AA129" i="3"/>
  <c r="Z119" i="3"/>
  <c r="AA118" i="3"/>
  <c r="AI118" i="3"/>
  <c r="Z21" i="3"/>
  <c r="AI20" i="3"/>
  <c r="AA20" i="3"/>
  <c r="BO18" i="3"/>
  <c r="BP18" i="3" s="1"/>
  <c r="BQ17" i="3"/>
  <c r="BR17" i="3" s="1"/>
  <c r="CF18" i="3" s="1"/>
  <c r="CI15" i="3" s="1"/>
  <c r="CJ15" i="3" s="1"/>
  <c r="CK15" i="3" s="1"/>
  <c r="CL15" i="3" s="1"/>
  <c r="AA160" i="3"/>
  <c r="AI160" i="3"/>
  <c r="Z161" i="3"/>
  <c r="Z61" i="3"/>
  <c r="AA60" i="3"/>
  <c r="AI60" i="3"/>
  <c r="AA164" i="3"/>
  <c r="AI164" i="3"/>
  <c r="Z165" i="3"/>
  <c r="Z75" i="3"/>
  <c r="AA74" i="3"/>
  <c r="AI74" i="3"/>
  <c r="AA13" i="3"/>
  <c r="AI13" i="3"/>
  <c r="Z14" i="3"/>
  <c r="BO19" i="3"/>
  <c r="BP19" i="3" s="1"/>
  <c r="BQ18" i="3"/>
  <c r="BR18" i="3" s="1"/>
  <c r="CF19" i="3" s="1"/>
  <c r="CI16" i="3" s="1"/>
  <c r="CJ16" i="3" s="1"/>
  <c r="CK16" i="3" s="1"/>
  <c r="CL16" i="3" s="1"/>
  <c r="Z48" i="3"/>
  <c r="AA47" i="3"/>
  <c r="AI47" i="3"/>
  <c r="Z79" i="3"/>
  <c r="AA78" i="3"/>
  <c r="AI78" i="3"/>
  <c r="Z11" i="3"/>
  <c r="AI10" i="3"/>
  <c r="AA10" i="3"/>
  <c r="Z25" i="3"/>
  <c r="AI24" i="3"/>
  <c r="AA24" i="3"/>
  <c r="BQ16" i="3"/>
  <c r="BR16" i="3" s="1"/>
  <c r="CF17" i="3" s="1"/>
  <c r="CI14" i="3" s="1"/>
  <c r="CJ14" i="3" s="1"/>
  <c r="CK14" i="3" s="1"/>
  <c r="CL14" i="3" s="1"/>
  <c r="BO17" i="3"/>
  <c r="BP17" i="3" s="1"/>
  <c r="BQ47" i="3"/>
  <c r="BR47" i="3" s="1"/>
  <c r="CF48" i="3" s="1"/>
  <c r="CI45" i="3" s="1"/>
  <c r="CJ45" i="3" s="1"/>
  <c r="CK45" i="3" s="1"/>
  <c r="CL45" i="3" s="1"/>
  <c r="BO48" i="3"/>
  <c r="BP48" i="3" s="1"/>
  <c r="Z81" i="3"/>
  <c r="AA80" i="3"/>
  <c r="AI80" i="3"/>
  <c r="BO30" i="3"/>
  <c r="BP30" i="3" s="1"/>
  <c r="BQ29" i="3"/>
  <c r="BR29" i="3" s="1"/>
  <c r="CF30" i="3" s="1"/>
  <c r="CI27" i="3" s="1"/>
  <c r="CJ27" i="3" s="1"/>
  <c r="CK27" i="3" s="1"/>
  <c r="CL27" i="3" s="1"/>
  <c r="BO38" i="3"/>
  <c r="BP38" i="3" s="1"/>
  <c r="BQ37" i="3"/>
  <c r="BR37" i="3" s="1"/>
  <c r="CF38" i="3" s="1"/>
  <c r="CI35" i="3" s="1"/>
  <c r="CJ35" i="3" s="1"/>
  <c r="CK35" i="3" s="1"/>
  <c r="CL35" i="3" s="1"/>
  <c r="BO46" i="3"/>
  <c r="BP46" i="3" s="1"/>
  <c r="BQ45" i="3"/>
  <c r="BR45" i="3" s="1"/>
  <c r="CF46" i="3" s="1"/>
  <c r="CI43" i="3" s="1"/>
  <c r="CJ43" i="3" s="1"/>
  <c r="CK43" i="3" s="1"/>
  <c r="CL43" i="3" s="1"/>
  <c r="Z184" i="3"/>
  <c r="AA183" i="3"/>
  <c r="AI183" i="3"/>
  <c r="Z216" i="3"/>
  <c r="AA215" i="3"/>
  <c r="AI215" i="3"/>
  <c r="AA55" i="3"/>
  <c r="AI55" i="3"/>
  <c r="Z56" i="3"/>
  <c r="AA63" i="3"/>
  <c r="AI63" i="3"/>
  <c r="Z64" i="3"/>
  <c r="AA71" i="3"/>
  <c r="AI71" i="3"/>
  <c r="Z72" i="3"/>
  <c r="AA79" i="3"/>
  <c r="AI79" i="3"/>
  <c r="Z80" i="3"/>
  <c r="AA87" i="3"/>
  <c r="AI87" i="3"/>
  <c r="Z88" i="3"/>
  <c r="AA162" i="3"/>
  <c r="Z163" i="3"/>
  <c r="AI162" i="3"/>
  <c r="BQ30" i="3"/>
  <c r="BR30" i="3" s="1"/>
  <c r="CF31" i="3" s="1"/>
  <c r="CI28" i="3" s="1"/>
  <c r="CJ28" i="3" s="1"/>
  <c r="CK28" i="3" s="1"/>
  <c r="CL28" i="3" s="1"/>
  <c r="BO31" i="3"/>
  <c r="BP31" i="3" s="1"/>
  <c r="BO39" i="3"/>
  <c r="BP39" i="3" s="1"/>
  <c r="BQ38" i="3"/>
  <c r="BR38" i="3" s="1"/>
  <c r="CF39" i="3" s="1"/>
  <c r="CI36" i="3" s="1"/>
  <c r="CJ36" i="3" s="1"/>
  <c r="CK36" i="3" s="1"/>
  <c r="CL36" i="3" s="1"/>
  <c r="BQ46" i="3"/>
  <c r="BR46" i="3" s="1"/>
  <c r="CF47" i="3" s="1"/>
  <c r="CI44" i="3" s="1"/>
  <c r="CJ44" i="3" s="1"/>
  <c r="CK44" i="3" s="1"/>
  <c r="CL44" i="3" s="1"/>
  <c r="BO47" i="3"/>
  <c r="BP47" i="3" s="1"/>
  <c r="Z194" i="3"/>
  <c r="AA193" i="3"/>
  <c r="AI193" i="3"/>
  <c r="AA151" i="3"/>
  <c r="Z152" i="3"/>
  <c r="AI151" i="3"/>
  <c r="AA159" i="3"/>
  <c r="Z160" i="3"/>
  <c r="AI159" i="3"/>
  <c r="Z172" i="3"/>
  <c r="AA171" i="3"/>
  <c r="AI171" i="3"/>
  <c r="Z204" i="3"/>
  <c r="AA203" i="3"/>
  <c r="AI203" i="3"/>
  <c r="Z182" i="3"/>
  <c r="AA181" i="3"/>
  <c r="AI181" i="3"/>
  <c r="Z214" i="3"/>
  <c r="AA213" i="3"/>
  <c r="AI213" i="3"/>
  <c r="AA168" i="3"/>
  <c r="AI168" i="3"/>
  <c r="Z169" i="3"/>
  <c r="AA176" i="3"/>
  <c r="AI176" i="3"/>
  <c r="Z177" i="3"/>
  <c r="AA184" i="3"/>
  <c r="AI184" i="3"/>
  <c r="Z185" i="3"/>
  <c r="AA192" i="3"/>
  <c r="AI192" i="3"/>
  <c r="Z193" i="3"/>
  <c r="AA200" i="3"/>
  <c r="AI200" i="3"/>
  <c r="Z201" i="3"/>
  <c r="AA208" i="3"/>
  <c r="AI208" i="3"/>
  <c r="Z209" i="3"/>
  <c r="AA216" i="3"/>
  <c r="AI216" i="3"/>
  <c r="Z217" i="3"/>
  <c r="Z262" i="3"/>
  <c r="AA261" i="3"/>
  <c r="AI261" i="3"/>
  <c r="Z272" i="3"/>
  <c r="AA271" i="3"/>
  <c r="AI271" i="3"/>
  <c r="Z274" i="3"/>
  <c r="AA273" i="3"/>
  <c r="AI273" i="3"/>
  <c r="Z260" i="3"/>
  <c r="AA259" i="3"/>
  <c r="AI259" i="3"/>
  <c r="Z280" i="3"/>
  <c r="AA279" i="3"/>
  <c r="AI279" i="3"/>
  <c r="Z312" i="3"/>
  <c r="AA311" i="3"/>
  <c r="AI311" i="3"/>
  <c r="AA264" i="3"/>
  <c r="AI264" i="3"/>
  <c r="Z265" i="3"/>
  <c r="AA272" i="3"/>
  <c r="AI272" i="3"/>
  <c r="Z273" i="3"/>
  <c r="AA280" i="3"/>
  <c r="AI280" i="3"/>
  <c r="Z281" i="3"/>
  <c r="Z292" i="3"/>
  <c r="AA291" i="3"/>
  <c r="AI291" i="3"/>
  <c r="Z306" i="3"/>
  <c r="AA305" i="3"/>
  <c r="AI305" i="3"/>
  <c r="Z316" i="3"/>
  <c r="AA315" i="3"/>
  <c r="AI315" i="3"/>
  <c r="Z328" i="3"/>
  <c r="AA327" i="3"/>
  <c r="AI327" i="3"/>
  <c r="AI336" i="3"/>
  <c r="Z337" i="3"/>
  <c r="AA336" i="3"/>
  <c r="AA322" i="3"/>
  <c r="AI322" i="3"/>
  <c r="Z323" i="3"/>
  <c r="AA330" i="3"/>
  <c r="AI330" i="3"/>
  <c r="Z331" i="3"/>
  <c r="Z352" i="3"/>
  <c r="AA351" i="3"/>
  <c r="AI351" i="3"/>
  <c r="Z360" i="3"/>
  <c r="AA359" i="3"/>
  <c r="AI359" i="3"/>
  <c r="Z376" i="3"/>
  <c r="AA375" i="3"/>
  <c r="AI375" i="3"/>
  <c r="AI346" i="3"/>
  <c r="Z347" i="3"/>
  <c r="AA346" i="3"/>
  <c r="AA378" i="3"/>
  <c r="AI378" i="3"/>
  <c r="Z379" i="3"/>
  <c r="AA356" i="3"/>
  <c r="AI356" i="3"/>
  <c r="Z357" i="3"/>
  <c r="Z370" i="3"/>
  <c r="AA369" i="3"/>
  <c r="AI369" i="3"/>
  <c r="AA372" i="3"/>
  <c r="AI372" i="3"/>
  <c r="Z373" i="3"/>
  <c r="AA379" i="3"/>
  <c r="Z380" i="3"/>
  <c r="AI379" i="3"/>
  <c r="AA383" i="3"/>
  <c r="AI383" i="3"/>
  <c r="Z384" i="3"/>
  <c r="Z360" i="2"/>
  <c r="AA359" i="2"/>
  <c r="Z359" i="2"/>
  <c r="AA358" i="2"/>
  <c r="AJ355" i="2"/>
  <c r="AK355" i="2" s="1"/>
  <c r="AL354" i="2"/>
  <c r="AM354" i="2" s="1"/>
  <c r="BD353" i="2"/>
  <c r="AL324" i="2"/>
  <c r="AM324" i="2" s="1"/>
  <c r="BD323" i="2"/>
  <c r="AJ325" i="2"/>
  <c r="AK325" i="2" s="1"/>
  <c r="Z315" i="2"/>
  <c r="AA314" i="2"/>
  <c r="Z306" i="2"/>
  <c r="AA305" i="2"/>
  <c r="Z308" i="2"/>
  <c r="AA307" i="2"/>
  <c r="AL302" i="2"/>
  <c r="AM302" i="2" s="1"/>
  <c r="BD301" i="2"/>
  <c r="AJ303" i="2"/>
  <c r="AK303" i="2" s="1"/>
  <c r="AL268" i="2"/>
  <c r="AM268" i="2" s="1"/>
  <c r="BD267" i="2"/>
  <c r="AJ269" i="2"/>
  <c r="AK269" i="2" s="1"/>
  <c r="AJ268" i="2"/>
  <c r="AK268" i="2" s="1"/>
  <c r="AL267" i="2"/>
  <c r="AM267" i="2" s="1"/>
  <c r="BD266" i="2"/>
  <c r="AJ258" i="2"/>
  <c r="AK258" i="2" s="1"/>
  <c r="AL257" i="2"/>
  <c r="AM257" i="2" s="1"/>
  <c r="BD256" i="2"/>
  <c r="AL242" i="2"/>
  <c r="AM242" i="2" s="1"/>
  <c r="BD241" i="2"/>
  <c r="AJ243" i="2"/>
  <c r="AK243" i="2" s="1"/>
  <c r="Z235" i="2"/>
  <c r="AA234" i="2"/>
  <c r="AL217" i="2"/>
  <c r="AM217" i="2" s="1"/>
  <c r="BD216" i="2"/>
  <c r="AJ218" i="2"/>
  <c r="AK218" i="2" s="1"/>
  <c r="Z205" i="2"/>
  <c r="AA204" i="2"/>
  <c r="AL189" i="2"/>
  <c r="AM189" i="2" s="1"/>
  <c r="BD188" i="2"/>
  <c r="AJ190" i="2"/>
  <c r="AK190" i="2" s="1"/>
  <c r="Z158" i="2"/>
  <c r="AA157" i="2"/>
  <c r="AL156" i="2"/>
  <c r="AM156" i="2" s="1"/>
  <c r="BD155" i="2"/>
  <c r="AJ157" i="2"/>
  <c r="AK157" i="2" s="1"/>
  <c r="AJ171" i="2"/>
  <c r="AK171" i="2" s="1"/>
  <c r="AL170" i="2"/>
  <c r="AM170" i="2" s="1"/>
  <c r="BD169" i="2"/>
  <c r="Z139" i="2"/>
  <c r="AA138" i="2"/>
  <c r="Z121" i="2"/>
  <c r="AA120" i="2"/>
  <c r="AL147" i="2"/>
  <c r="AM147" i="2" s="1"/>
  <c r="BD146" i="2"/>
  <c r="AJ148" i="2"/>
  <c r="AK148" i="2" s="1"/>
  <c r="AL100" i="2"/>
  <c r="AM100" i="2" s="1"/>
  <c r="BD99" i="2"/>
  <c r="AJ101" i="2"/>
  <c r="AK101" i="2" s="1"/>
  <c r="Z91" i="2"/>
  <c r="AA90" i="2"/>
  <c r="Z56" i="2"/>
  <c r="AA55" i="2"/>
  <c r="AL87" i="2"/>
  <c r="AM87" i="2" s="1"/>
  <c r="BD86" i="2"/>
  <c r="AJ88" i="2"/>
  <c r="AK88" i="2" s="1"/>
  <c r="Z74" i="2"/>
  <c r="AA73" i="2"/>
  <c r="Z44" i="2"/>
  <c r="AA43" i="2"/>
  <c r="AL40" i="2"/>
  <c r="AM40" i="2" s="1"/>
  <c r="BD39" i="2"/>
  <c r="AJ41" i="2"/>
  <c r="AK41" i="2" s="1"/>
  <c r="AJ22" i="2"/>
  <c r="AK22" i="2" s="1"/>
  <c r="AL21" i="2"/>
  <c r="AM21" i="2" s="1"/>
  <c r="BD20" i="2"/>
  <c r="AL33" i="2"/>
  <c r="AM33" i="2" s="1"/>
  <c r="BD32" i="2"/>
  <c r="AJ34" i="2"/>
  <c r="AK34" i="2" s="1"/>
  <c r="AA16" i="2"/>
  <c r="Z17" i="2"/>
  <c r="AJ381" i="2"/>
  <c r="AK381" i="2" s="1"/>
  <c r="AL380" i="2"/>
  <c r="AM380" i="2" s="1"/>
  <c r="BD379" i="2"/>
  <c r="AJ375" i="2"/>
  <c r="AK375" i="2" s="1"/>
  <c r="AL374" i="2"/>
  <c r="AM374" i="2" s="1"/>
  <c r="BD373" i="2"/>
  <c r="AJ360" i="2"/>
  <c r="AK360" i="2" s="1"/>
  <c r="AL359" i="2"/>
  <c r="AM359" i="2" s="1"/>
  <c r="BE359" i="2" s="1"/>
  <c r="BD358" i="2"/>
  <c r="AL342" i="2"/>
  <c r="AM342" i="2" s="1"/>
  <c r="BD341" i="2"/>
  <c r="AJ343" i="2"/>
  <c r="AK343" i="2" s="1"/>
  <c r="AJ351" i="2"/>
  <c r="AK351" i="2" s="1"/>
  <c r="AL350" i="2"/>
  <c r="AM350" i="2" s="1"/>
  <c r="BD349" i="2"/>
  <c r="AL326" i="2"/>
  <c r="AM326" i="2" s="1"/>
  <c r="BD325" i="2"/>
  <c r="AJ327" i="2"/>
  <c r="AK327" i="2" s="1"/>
  <c r="AL325" i="2"/>
  <c r="AM325" i="2" s="1"/>
  <c r="BD324" i="2"/>
  <c r="AJ326" i="2"/>
  <c r="AK326" i="2" s="1"/>
  <c r="Z298" i="2"/>
  <c r="AA297" i="2"/>
  <c r="AJ305" i="2"/>
  <c r="AK305" i="2" s="1"/>
  <c r="AL304" i="2"/>
  <c r="AM304" i="2" s="1"/>
  <c r="BD303" i="2"/>
  <c r="Z268" i="2"/>
  <c r="AA267" i="2"/>
  <c r="Z275" i="2"/>
  <c r="AA274" i="2"/>
  <c r="Z281" i="2"/>
  <c r="AA280" i="2"/>
  <c r="AL235" i="2"/>
  <c r="AM235" i="2" s="1"/>
  <c r="BD234" i="2"/>
  <c r="AJ236" i="2"/>
  <c r="AK236" i="2" s="1"/>
  <c r="AJ234" i="2"/>
  <c r="AK234" i="2" s="1"/>
  <c r="AL233" i="2"/>
  <c r="AM233" i="2" s="1"/>
  <c r="BD232" i="2"/>
  <c r="Z243" i="2"/>
  <c r="AA242" i="2"/>
  <c r="Z227" i="2"/>
  <c r="AA226" i="2"/>
  <c r="AJ230" i="2"/>
  <c r="AK230" i="2" s="1"/>
  <c r="AL229" i="2"/>
  <c r="AM229" i="2" s="1"/>
  <c r="BD228" i="2"/>
  <c r="Z176" i="2"/>
  <c r="AA175" i="2"/>
  <c r="Z203" i="2"/>
  <c r="AA202" i="2"/>
  <c r="AL176" i="2"/>
  <c r="AM176" i="2" s="1"/>
  <c r="BD175" i="2"/>
  <c r="AJ177" i="2"/>
  <c r="AK177" i="2" s="1"/>
  <c r="Z207" i="2"/>
  <c r="AA206" i="2"/>
  <c r="Z154" i="2"/>
  <c r="AA153" i="2"/>
  <c r="AL140" i="2"/>
  <c r="AM140" i="2" s="1"/>
  <c r="BD139" i="2"/>
  <c r="AJ141" i="2"/>
  <c r="AK141" i="2" s="1"/>
  <c r="AL130" i="2"/>
  <c r="AM130" i="2" s="1"/>
  <c r="BD129" i="2"/>
  <c r="AJ131" i="2"/>
  <c r="AK131" i="2" s="1"/>
  <c r="AL144" i="2"/>
  <c r="AM144" i="2" s="1"/>
  <c r="BD143" i="2"/>
  <c r="AJ145" i="2"/>
  <c r="AK145" i="2" s="1"/>
  <c r="AL115" i="2"/>
  <c r="AM115" i="2" s="1"/>
  <c r="BD114" i="2"/>
  <c r="AJ116" i="2"/>
  <c r="AK116" i="2" s="1"/>
  <c r="AL118" i="2"/>
  <c r="AM118" i="2" s="1"/>
  <c r="BD117" i="2"/>
  <c r="AJ119" i="2"/>
  <c r="AK119" i="2" s="1"/>
  <c r="AJ91" i="2"/>
  <c r="AK91" i="2" s="1"/>
  <c r="AL90" i="2"/>
  <c r="AM90" i="2" s="1"/>
  <c r="BH90" i="2" s="1"/>
  <c r="BD89" i="2"/>
  <c r="AL71" i="2"/>
  <c r="AM71" i="2" s="1"/>
  <c r="BD70" i="2"/>
  <c r="AJ72" i="2"/>
  <c r="AK72" i="2" s="1"/>
  <c r="AJ59" i="2"/>
  <c r="AK59" i="2" s="1"/>
  <c r="AL58" i="2"/>
  <c r="AM58" i="2" s="1"/>
  <c r="BD57" i="2"/>
  <c r="Z100" i="2"/>
  <c r="AA99" i="2"/>
  <c r="AL72" i="2"/>
  <c r="AM72" i="2" s="1"/>
  <c r="BD71" i="2"/>
  <c r="AJ73" i="2"/>
  <c r="AK73" i="2" s="1"/>
  <c r="AJ71" i="2"/>
  <c r="AK71" i="2" s="1"/>
  <c r="AL70" i="2"/>
  <c r="AM70" i="2" s="1"/>
  <c r="BD69" i="2"/>
  <c r="Z37" i="2"/>
  <c r="AA36" i="2"/>
  <c r="AJ44" i="2"/>
  <c r="AK44" i="2" s="1"/>
  <c r="AL43" i="2"/>
  <c r="AM43" i="2" s="1"/>
  <c r="BD42" i="2"/>
  <c r="AL36" i="2"/>
  <c r="AM36" i="2" s="1"/>
  <c r="BD35" i="2"/>
  <c r="AJ37" i="2"/>
  <c r="AK37" i="2" s="1"/>
  <c r="AJ12" i="2"/>
  <c r="AK12" i="2" s="1"/>
  <c r="AL11" i="2"/>
  <c r="AM11" i="2" s="1"/>
  <c r="BD10" i="2"/>
  <c r="AJ387" i="2"/>
  <c r="AK387" i="2" s="1"/>
  <c r="AL386" i="2"/>
  <c r="AM386" i="2" s="1"/>
  <c r="BD385" i="2"/>
  <c r="AL366" i="2"/>
  <c r="AM366" i="2" s="1"/>
  <c r="BD365" i="2"/>
  <c r="AJ367" i="2"/>
  <c r="AK367" i="2" s="1"/>
  <c r="Z341" i="2"/>
  <c r="AA340" i="2"/>
  <c r="Z332" i="2"/>
  <c r="AA331" i="2"/>
  <c r="AL328" i="2"/>
  <c r="AM328" i="2" s="1"/>
  <c r="BD327" i="2"/>
  <c r="AJ329" i="2"/>
  <c r="AK329" i="2" s="1"/>
  <c r="AL301" i="2"/>
  <c r="AM301" i="2" s="1"/>
  <c r="BD300" i="2"/>
  <c r="AJ302" i="2"/>
  <c r="AK302" i="2" s="1"/>
  <c r="AL310" i="2"/>
  <c r="AM310" i="2" s="1"/>
  <c r="BD309" i="2"/>
  <c r="AJ311" i="2"/>
  <c r="AK311" i="2" s="1"/>
  <c r="AL276" i="2"/>
  <c r="AM276" i="2" s="1"/>
  <c r="BD275" i="2"/>
  <c r="AJ277" i="2"/>
  <c r="AK277" i="2" s="1"/>
  <c r="AL280" i="2"/>
  <c r="AM280" i="2" s="1"/>
  <c r="BD279" i="2"/>
  <c r="AJ281" i="2"/>
  <c r="AK281" i="2" s="1"/>
  <c r="Z273" i="2"/>
  <c r="AA272" i="2"/>
  <c r="AL238" i="2"/>
  <c r="AM238" i="2" s="1"/>
  <c r="BD237" i="2"/>
  <c r="AJ239" i="2"/>
  <c r="AK239" i="2" s="1"/>
  <c r="AL250" i="2"/>
  <c r="AM250" i="2" s="1"/>
  <c r="BD249" i="2"/>
  <c r="AJ251" i="2"/>
  <c r="AK251" i="2" s="1"/>
  <c r="AL230" i="2"/>
  <c r="AM230" i="2" s="1"/>
  <c r="BD229" i="2"/>
  <c r="AJ231" i="2"/>
  <c r="AK231" i="2" s="1"/>
  <c r="AL209" i="2"/>
  <c r="AM209" i="2" s="1"/>
  <c r="BD208" i="2"/>
  <c r="AJ210" i="2"/>
  <c r="AK210" i="2" s="1"/>
  <c r="AJ216" i="2"/>
  <c r="AK216" i="2" s="1"/>
  <c r="AL215" i="2"/>
  <c r="AM215" i="2" s="1"/>
  <c r="BD214" i="2"/>
  <c r="Z181" i="2"/>
  <c r="AA180" i="2"/>
  <c r="AJ229" i="2"/>
  <c r="AK229" i="2" s="1"/>
  <c r="AL228" i="2"/>
  <c r="AM228" i="2" s="1"/>
  <c r="BD227" i="2"/>
  <c r="AJ196" i="2"/>
  <c r="AK196" i="2" s="1"/>
  <c r="AL195" i="2"/>
  <c r="AM195" i="2" s="1"/>
  <c r="BD194" i="2"/>
  <c r="Z150" i="2"/>
  <c r="AA149" i="2"/>
  <c r="AJ162" i="2"/>
  <c r="AK162" i="2" s="1"/>
  <c r="AL161" i="2"/>
  <c r="AM161" i="2" s="1"/>
  <c r="BD160" i="2"/>
  <c r="AJ112" i="2"/>
  <c r="AK112" i="2" s="1"/>
  <c r="AL111" i="2"/>
  <c r="AM111" i="2" s="1"/>
  <c r="BD110" i="2"/>
  <c r="AL119" i="2"/>
  <c r="AM119" i="2" s="1"/>
  <c r="BD118" i="2"/>
  <c r="AJ120" i="2"/>
  <c r="AK120" i="2" s="1"/>
  <c r="AL139" i="2"/>
  <c r="AM139" i="2" s="1"/>
  <c r="BD138" i="2"/>
  <c r="AJ140" i="2"/>
  <c r="AK140" i="2" s="1"/>
  <c r="Z106" i="2"/>
  <c r="AA105" i="2"/>
  <c r="AL84" i="2"/>
  <c r="AM84" i="2" s="1"/>
  <c r="BD83" i="2"/>
  <c r="AJ85" i="2"/>
  <c r="AK85" i="2" s="1"/>
  <c r="Z107" i="2"/>
  <c r="AA106" i="2"/>
  <c r="AL103" i="2"/>
  <c r="AM103" i="2" s="1"/>
  <c r="BD102" i="2"/>
  <c r="AJ104" i="2"/>
  <c r="AK104" i="2" s="1"/>
  <c r="AL59" i="2"/>
  <c r="AM59" i="2" s="1"/>
  <c r="BD58" i="2"/>
  <c r="AJ60" i="2"/>
  <c r="AK60" i="2" s="1"/>
  <c r="Z52" i="2"/>
  <c r="AA51" i="2"/>
  <c r="Z33" i="2"/>
  <c r="AA32" i="2"/>
  <c r="AA17" i="2"/>
  <c r="Z18" i="2"/>
  <c r="AA7" i="2"/>
  <c r="Z8" i="2"/>
  <c r="Z379" i="2"/>
  <c r="AA378" i="2"/>
  <c r="Z375" i="2"/>
  <c r="AA374" i="2"/>
  <c r="AL367" i="2"/>
  <c r="AM367" i="2" s="1"/>
  <c r="BD366" i="2"/>
  <c r="AJ368" i="2"/>
  <c r="AK368" i="2" s="1"/>
  <c r="Z365" i="2"/>
  <c r="AA364" i="2"/>
  <c r="Z355" i="2"/>
  <c r="AA354" i="2"/>
  <c r="AL343" i="2"/>
  <c r="AM343" i="2" s="1"/>
  <c r="BD342" i="2"/>
  <c r="AJ344" i="2"/>
  <c r="AK344" i="2" s="1"/>
  <c r="AL321" i="2"/>
  <c r="AM321" i="2" s="1"/>
  <c r="BD320" i="2"/>
  <c r="AJ322" i="2"/>
  <c r="AK322" i="2" s="1"/>
  <c r="AL333" i="2"/>
  <c r="AM333" i="2" s="1"/>
  <c r="BD332" i="2"/>
  <c r="AJ334" i="2"/>
  <c r="AK334" i="2" s="1"/>
  <c r="AL306" i="2"/>
  <c r="AM306" i="2" s="1"/>
  <c r="BD305" i="2"/>
  <c r="AJ307" i="2"/>
  <c r="AK307" i="2" s="1"/>
  <c r="AL297" i="2"/>
  <c r="AM297" i="2" s="1"/>
  <c r="BD296" i="2"/>
  <c r="AJ298" i="2"/>
  <c r="AK298" i="2" s="1"/>
  <c r="Z276" i="2"/>
  <c r="AA275" i="2"/>
  <c r="Z285" i="2"/>
  <c r="AA284" i="2"/>
  <c r="AJ288" i="2"/>
  <c r="AK288" i="2" s="1"/>
  <c r="AL287" i="2"/>
  <c r="AM287" i="2" s="1"/>
  <c r="BD286" i="2"/>
  <c r="Z258" i="2"/>
  <c r="AA257" i="2"/>
  <c r="AL255" i="2"/>
  <c r="AM255" i="2" s="1"/>
  <c r="BD254" i="2"/>
  <c r="AJ256" i="2"/>
  <c r="AK256" i="2" s="1"/>
  <c r="Z188" i="2"/>
  <c r="AA187" i="2"/>
  <c r="AL180" i="2"/>
  <c r="AM180" i="2" s="1"/>
  <c r="BD179" i="2"/>
  <c r="AJ181" i="2"/>
  <c r="AK181" i="2" s="1"/>
  <c r="Z179" i="2"/>
  <c r="AA178" i="2"/>
  <c r="AL184" i="2"/>
  <c r="AM184" i="2" s="1"/>
  <c r="BD183" i="2"/>
  <c r="AJ185" i="2"/>
  <c r="AK185" i="2" s="1"/>
  <c r="Z162" i="2"/>
  <c r="AA161" i="2"/>
  <c r="AJ130" i="2"/>
  <c r="AK130" i="2" s="1"/>
  <c r="AL129" i="2"/>
  <c r="AM129" i="2" s="1"/>
  <c r="BD128" i="2"/>
  <c r="AL138" i="2"/>
  <c r="AM138" i="2" s="1"/>
  <c r="BD137" i="2"/>
  <c r="AJ139" i="2"/>
  <c r="AK139" i="2" s="1"/>
  <c r="AL152" i="2"/>
  <c r="AM152" i="2" s="1"/>
  <c r="BD151" i="2"/>
  <c r="AJ153" i="2"/>
  <c r="AK153" i="2" s="1"/>
  <c r="AL142" i="2"/>
  <c r="AM142" i="2" s="1"/>
  <c r="BD141" i="2"/>
  <c r="AJ143" i="2"/>
  <c r="AK143" i="2" s="1"/>
  <c r="Z55" i="2"/>
  <c r="AA54" i="2"/>
  <c r="AL92" i="2"/>
  <c r="AM92" i="2" s="1"/>
  <c r="BD91" i="2"/>
  <c r="AJ93" i="2"/>
  <c r="AK93" i="2" s="1"/>
  <c r="Z70" i="2"/>
  <c r="AA69" i="2"/>
  <c r="Z94" i="2"/>
  <c r="AA93" i="2"/>
  <c r="Z95" i="2"/>
  <c r="AA94" i="2"/>
  <c r="Z29" i="2"/>
  <c r="AA28" i="2"/>
  <c r="AL50" i="2"/>
  <c r="AM50" i="2" s="1"/>
  <c r="BD49" i="2"/>
  <c r="AJ51" i="2"/>
  <c r="AK51" i="2" s="1"/>
  <c r="AJ36" i="2"/>
  <c r="AK36" i="2" s="1"/>
  <c r="AL35" i="2"/>
  <c r="AM35" i="2" s="1"/>
  <c r="BD34" i="2"/>
  <c r="AL44" i="2"/>
  <c r="AM44" i="2" s="1"/>
  <c r="BD43" i="2"/>
  <c r="AJ45" i="2"/>
  <c r="AK45" i="2" s="1"/>
  <c r="Z54" i="2"/>
  <c r="AA53" i="2"/>
  <c r="Z26" i="2"/>
  <c r="AA25" i="2"/>
  <c r="Z38" i="2"/>
  <c r="AA37" i="2"/>
  <c r="Z13" i="2"/>
  <c r="AA12" i="2"/>
  <c r="BD24" i="2"/>
  <c r="AJ26" i="2"/>
  <c r="AK26" i="2" s="1"/>
  <c r="AL25" i="2"/>
  <c r="AM25" i="2" s="1"/>
  <c r="Z39" i="2"/>
  <c r="AA38" i="2"/>
  <c r="Z53" i="2"/>
  <c r="AA52" i="2"/>
  <c r="Z116" i="2"/>
  <c r="AA115" i="2"/>
  <c r="Z69" i="2"/>
  <c r="AA68" i="2"/>
  <c r="Z85" i="2"/>
  <c r="AA84" i="2"/>
  <c r="Z101" i="2"/>
  <c r="AA100" i="2"/>
  <c r="Z123" i="2"/>
  <c r="AA122" i="2"/>
  <c r="Z155" i="2"/>
  <c r="AA154" i="2"/>
  <c r="Z171" i="2"/>
  <c r="AA170" i="2"/>
  <c r="Z128" i="2"/>
  <c r="AA127" i="2"/>
  <c r="Z144" i="2"/>
  <c r="AA143" i="2"/>
  <c r="Z160" i="2"/>
  <c r="AA159" i="2"/>
  <c r="Z137" i="2"/>
  <c r="AA136" i="2"/>
  <c r="Z153" i="2"/>
  <c r="AA152" i="2"/>
  <c r="Z169" i="2"/>
  <c r="AA168" i="2"/>
  <c r="Z201" i="2"/>
  <c r="AA200" i="2"/>
  <c r="Z178" i="2"/>
  <c r="AA177" i="2"/>
  <c r="Z194" i="2"/>
  <c r="AA193" i="2"/>
  <c r="Z210" i="2"/>
  <c r="AA209" i="2"/>
  <c r="AA225" i="2"/>
  <c r="Z226" i="2"/>
  <c r="Z223" i="2"/>
  <c r="AA222" i="2"/>
  <c r="Z251" i="2"/>
  <c r="AA250" i="2"/>
  <c r="Z232" i="2"/>
  <c r="AA231" i="2"/>
  <c r="Z248" i="2"/>
  <c r="AA247" i="2"/>
  <c r="Z241" i="2"/>
  <c r="AA240" i="2"/>
  <c r="Z257" i="2"/>
  <c r="AA256" i="2"/>
  <c r="Z266" i="2"/>
  <c r="AA265" i="2"/>
  <c r="Z282" i="2"/>
  <c r="AA281" i="2"/>
  <c r="Z318" i="2"/>
  <c r="AA317" i="2"/>
  <c r="Z307" i="2"/>
  <c r="AA306" i="2"/>
  <c r="AA316" i="2"/>
  <c r="Z317" i="2"/>
  <c r="Z333" i="2"/>
  <c r="AA332" i="2"/>
  <c r="AA330" i="2"/>
  <c r="Z331" i="2"/>
  <c r="Z351" i="2"/>
  <c r="AA350" i="2"/>
  <c r="Z358" i="2"/>
  <c r="AA357" i="2"/>
  <c r="Z367" i="2"/>
  <c r="AA366" i="2"/>
  <c r="Z378" i="2"/>
  <c r="AA377" i="2"/>
  <c r="Z383" i="2"/>
  <c r="AA382" i="2"/>
  <c r="BP280" i="2"/>
  <c r="BQ280" i="2" s="1"/>
  <c r="BT280" i="2" s="1"/>
  <c r="BU280" i="2" s="1"/>
  <c r="BV280" i="2" s="1"/>
  <c r="BW280" i="2" s="1"/>
  <c r="BH280" i="2"/>
  <c r="BL280" i="2"/>
  <c r="AL61" i="2"/>
  <c r="AM61" i="2" s="1"/>
  <c r="BN61" i="2" s="1"/>
  <c r="BD60" i="2"/>
  <c r="AJ62" i="2"/>
  <c r="AK62" i="2" s="1"/>
  <c r="BF184" i="2"/>
  <c r="BJ184" i="2"/>
  <c r="BN184" i="2"/>
  <c r="BP61" i="2"/>
  <c r="BF180" i="2"/>
  <c r="BJ180" i="2"/>
  <c r="BN180" i="2"/>
  <c r="BF324" i="2"/>
  <c r="BJ324" i="2"/>
  <c r="BN324" i="2"/>
  <c r="AL315" i="2"/>
  <c r="AM315" i="2" s="1"/>
  <c r="BD314" i="2"/>
  <c r="AJ316" i="2"/>
  <c r="AK316" i="2" s="1"/>
  <c r="BN130" i="2"/>
  <c r="BF130" i="2"/>
  <c r="BJ130" i="2"/>
  <c r="BH71" i="2"/>
  <c r="BL71" i="2"/>
  <c r="BP71" i="2"/>
  <c r="BQ71" i="2" s="1"/>
  <c r="BT71" i="2" s="1"/>
  <c r="BU71" i="2" s="1"/>
  <c r="BV71" i="2" s="1"/>
  <c r="BW71" i="2" s="1"/>
  <c r="BM195" i="2"/>
  <c r="BE195" i="2"/>
  <c r="BI195" i="2"/>
  <c r="BI61" i="2"/>
  <c r="AL73" i="2"/>
  <c r="AM73" i="2" s="1"/>
  <c r="BD72" i="2"/>
  <c r="AJ74" i="2"/>
  <c r="AK74" i="2" s="1"/>
  <c r="BH321" i="2"/>
  <c r="BL321" i="2"/>
  <c r="BP321" i="2"/>
  <c r="AL270" i="2"/>
  <c r="AM270" i="2" s="1"/>
  <c r="BD269" i="2"/>
  <c r="AJ271" i="2"/>
  <c r="AK271" i="2" s="1"/>
  <c r="BE268" i="2"/>
  <c r="BI268" i="2"/>
  <c r="BM268" i="2"/>
  <c r="BE267" i="2"/>
  <c r="BI267" i="2"/>
  <c r="BM267" i="2"/>
  <c r="AL101" i="2"/>
  <c r="AM101" i="2" s="1"/>
  <c r="BD100" i="2"/>
  <c r="AJ102" i="2"/>
  <c r="AK102" i="2" s="1"/>
  <c r="BG7" i="2"/>
  <c r="BI7" i="2"/>
  <c r="AL81" i="2"/>
  <c r="AM81" i="2" s="1"/>
  <c r="BD80" i="2"/>
  <c r="AJ82" i="2"/>
  <c r="AK82" i="2" s="1"/>
  <c r="BG58" i="2"/>
  <c r="BK58" i="2"/>
  <c r="BO58" i="2"/>
  <c r="BQ58" i="2" s="1"/>
  <c r="BT58" i="2" s="1"/>
  <c r="BU58" i="2" s="1"/>
  <c r="BV58" i="2" s="1"/>
  <c r="BW58" i="2" s="1"/>
  <c r="BI238" i="2"/>
  <c r="BM238" i="2"/>
  <c r="BE238" i="2"/>
  <c r="AL178" i="2"/>
  <c r="AM178" i="2" s="1"/>
  <c r="BD177" i="2"/>
  <c r="AJ179" i="2"/>
  <c r="AK179" i="2" s="1"/>
  <c r="AL124" i="2"/>
  <c r="AM124" i="2" s="1"/>
  <c r="BD123" i="2"/>
  <c r="AJ125" i="2"/>
  <c r="AK125" i="2" s="1"/>
  <c r="BH61" i="2"/>
  <c r="BK129" i="2"/>
  <c r="BO129" i="2"/>
  <c r="BG129" i="2"/>
  <c r="AJ356" i="2"/>
  <c r="AK356" i="2" s="1"/>
  <c r="AL355" i="2"/>
  <c r="AM355" i="2" s="1"/>
  <c r="BO355" i="2" s="1"/>
  <c r="BD354" i="2"/>
  <c r="AJ287" i="2"/>
  <c r="AK287" i="2" s="1"/>
  <c r="AL286" i="2"/>
  <c r="AM286" i="2" s="1"/>
  <c r="BD285" i="2"/>
  <c r="BO270" i="2"/>
  <c r="BQ270" i="2" s="1"/>
  <c r="BT270" i="2" s="1"/>
  <c r="BU270" i="2" s="1"/>
  <c r="BV270" i="2" s="1"/>
  <c r="BW270" i="2" s="1"/>
  <c r="BO111" i="2"/>
  <c r="BF111" i="2"/>
  <c r="BG111" i="2"/>
  <c r="BH87" i="2"/>
  <c r="BL87" i="2"/>
  <c r="BP87" i="2"/>
  <c r="BN359" i="2"/>
  <c r="BF359" i="2"/>
  <c r="BJ359" i="2"/>
  <c r="AL198" i="2"/>
  <c r="AM198" i="2" s="1"/>
  <c r="BN198" i="2" s="1"/>
  <c r="BD197" i="2"/>
  <c r="AJ199" i="2"/>
  <c r="AK199" i="2" s="1"/>
  <c r="BE90" i="2"/>
  <c r="BI90" i="2"/>
  <c r="BM90" i="2"/>
  <c r="AL383" i="2"/>
  <c r="AM383" i="2" s="1"/>
  <c r="BD382" i="2"/>
  <c r="AJ384" i="2"/>
  <c r="AK384" i="2" s="1"/>
  <c r="AL356" i="2"/>
  <c r="AM356" i="2" s="1"/>
  <c r="BD355" i="2"/>
  <c r="AJ357" i="2"/>
  <c r="AK357" i="2" s="1"/>
  <c r="Z350" i="2"/>
  <c r="AA349" i="2"/>
  <c r="AL346" i="2"/>
  <c r="AM346" i="2" s="1"/>
  <c r="BH346" i="2" s="1"/>
  <c r="BD345" i="2"/>
  <c r="AJ347" i="2"/>
  <c r="AK347" i="2" s="1"/>
  <c r="AJ333" i="2"/>
  <c r="AK333" i="2" s="1"/>
  <c r="AL332" i="2"/>
  <c r="AM332" i="2" s="1"/>
  <c r="BD331" i="2"/>
  <c r="Z297" i="2"/>
  <c r="AA296" i="2"/>
  <c r="Z292" i="2"/>
  <c r="AA291" i="2"/>
  <c r="Z302" i="2"/>
  <c r="AA301" i="2"/>
  <c r="Z288" i="2"/>
  <c r="AA287" i="2"/>
  <c r="Z283" i="2"/>
  <c r="AA282" i="2"/>
  <c r="Z254" i="2"/>
  <c r="AA253" i="2"/>
  <c r="Z237" i="2"/>
  <c r="AA236" i="2"/>
  <c r="Z230" i="2"/>
  <c r="AA229" i="2"/>
  <c r="Z216" i="2"/>
  <c r="AA215" i="2"/>
  <c r="AL201" i="2"/>
  <c r="AM201" i="2" s="1"/>
  <c r="BD200" i="2"/>
  <c r="AJ202" i="2"/>
  <c r="AK202" i="2" s="1"/>
  <c r="AL172" i="2"/>
  <c r="AM172" i="2" s="1"/>
  <c r="BD171" i="2"/>
  <c r="AJ173" i="2"/>
  <c r="AK173" i="2" s="1"/>
  <c r="Z209" i="2"/>
  <c r="AA208" i="2"/>
  <c r="Z142" i="2"/>
  <c r="AA141" i="2"/>
  <c r="AJ154" i="2"/>
  <c r="AK154" i="2" s="1"/>
  <c r="AL153" i="2"/>
  <c r="AM153" i="2" s="1"/>
  <c r="BD152" i="2"/>
  <c r="AL159" i="2"/>
  <c r="AM159" i="2" s="1"/>
  <c r="BD158" i="2"/>
  <c r="AJ160" i="2"/>
  <c r="AK160" i="2" s="1"/>
  <c r="AL136" i="2"/>
  <c r="AM136" i="2" s="1"/>
  <c r="BD135" i="2"/>
  <c r="AJ137" i="2"/>
  <c r="AK137" i="2" s="1"/>
  <c r="Z113" i="2"/>
  <c r="AA112" i="2"/>
  <c r="AL131" i="2"/>
  <c r="AM131" i="2" s="1"/>
  <c r="BD130" i="2"/>
  <c r="AJ132" i="2"/>
  <c r="AK132" i="2" s="1"/>
  <c r="Z90" i="2"/>
  <c r="AA89" i="2"/>
  <c r="AJ75" i="2"/>
  <c r="AK75" i="2" s="1"/>
  <c r="AL74" i="2"/>
  <c r="AM74" i="2" s="1"/>
  <c r="BF74" i="2" s="1"/>
  <c r="BD73" i="2"/>
  <c r="Z102" i="2"/>
  <c r="AA101" i="2"/>
  <c r="AL79" i="2"/>
  <c r="AM79" i="2" s="1"/>
  <c r="BJ79" i="2" s="1"/>
  <c r="BD78" i="2"/>
  <c r="AJ80" i="2"/>
  <c r="AK80" i="2" s="1"/>
  <c r="Z66" i="2"/>
  <c r="AA65" i="2"/>
  <c r="AA22" i="2"/>
  <c r="Z23" i="2"/>
  <c r="AL30" i="2"/>
  <c r="AM30" i="2" s="1"/>
  <c r="BD29" i="2"/>
  <c r="AJ31" i="2"/>
  <c r="AK31" i="2" s="1"/>
  <c r="BD11" i="2"/>
  <c r="AJ13" i="2"/>
  <c r="AK13" i="2" s="1"/>
  <c r="AL12" i="2"/>
  <c r="AM12" i="2" s="1"/>
  <c r="Z19" i="2"/>
  <c r="AA18" i="2"/>
  <c r="AL387" i="2"/>
  <c r="AM387" i="2" s="1"/>
  <c r="BD386" i="2"/>
  <c r="Z372" i="2"/>
  <c r="AA371" i="2"/>
  <c r="AL370" i="2"/>
  <c r="AM370" i="2" s="1"/>
  <c r="BG370" i="2" s="1"/>
  <c r="BD369" i="2"/>
  <c r="AJ371" i="2"/>
  <c r="AK371" i="2" s="1"/>
  <c r="AL360" i="2"/>
  <c r="AM360" i="2" s="1"/>
  <c r="BO360" i="2" s="1"/>
  <c r="BD359" i="2"/>
  <c r="AJ361" i="2"/>
  <c r="AK361" i="2" s="1"/>
  <c r="Z343" i="2"/>
  <c r="AA342" i="2"/>
  <c r="Z347" i="2"/>
  <c r="AA346" i="2"/>
  <c r="AJ324" i="2"/>
  <c r="AK324" i="2" s="1"/>
  <c r="AL323" i="2"/>
  <c r="AM323" i="2" s="1"/>
  <c r="BD322" i="2"/>
  <c r="Z309" i="2"/>
  <c r="AA308" i="2"/>
  <c r="AJ314" i="2"/>
  <c r="AK314" i="2" s="1"/>
  <c r="AL313" i="2"/>
  <c r="AM313" i="2" s="1"/>
  <c r="BO313" i="2" s="1"/>
  <c r="BQ313" i="2" s="1"/>
  <c r="BT313" i="2" s="1"/>
  <c r="BU313" i="2" s="1"/>
  <c r="BV313" i="2" s="1"/>
  <c r="BW313" i="2" s="1"/>
  <c r="BD312" i="2"/>
  <c r="Z314" i="2"/>
  <c r="AA313" i="2"/>
  <c r="AL285" i="2"/>
  <c r="AM285" i="2" s="1"/>
  <c r="BD284" i="2"/>
  <c r="AJ286" i="2"/>
  <c r="AK286" i="2" s="1"/>
  <c r="Z269" i="2"/>
  <c r="AA268" i="2"/>
  <c r="Z250" i="2"/>
  <c r="AA249" i="2"/>
  <c r="Z247" i="2"/>
  <c r="AA246" i="2"/>
  <c r="AL247" i="2"/>
  <c r="AM247" i="2" s="1"/>
  <c r="BD246" i="2"/>
  <c r="AJ248" i="2"/>
  <c r="AK248" i="2" s="1"/>
  <c r="AL240" i="2"/>
  <c r="AM240" i="2" s="1"/>
  <c r="BD239" i="2"/>
  <c r="AJ241" i="2"/>
  <c r="AK241" i="2" s="1"/>
  <c r="Z212" i="2"/>
  <c r="AA211" i="2"/>
  <c r="AL220" i="2"/>
  <c r="AM220" i="2" s="1"/>
  <c r="BD219" i="2"/>
  <c r="AJ221" i="2"/>
  <c r="AK221" i="2" s="1"/>
  <c r="Z213" i="2"/>
  <c r="AA212" i="2"/>
  <c r="Z197" i="2"/>
  <c r="AA196" i="2"/>
  <c r="Z217" i="2"/>
  <c r="AA216" i="2"/>
  <c r="Z199" i="2"/>
  <c r="AA198" i="2"/>
  <c r="Z138" i="2"/>
  <c r="AA137" i="2"/>
  <c r="AJ138" i="2"/>
  <c r="AK138" i="2" s="1"/>
  <c r="AL137" i="2"/>
  <c r="AM137" i="2" s="1"/>
  <c r="BD136" i="2"/>
  <c r="Z115" i="2"/>
  <c r="AA114" i="2"/>
  <c r="AJ142" i="2"/>
  <c r="AK142" i="2" s="1"/>
  <c r="AL141" i="2"/>
  <c r="AM141" i="2" s="1"/>
  <c r="BD140" i="2"/>
  <c r="AL166" i="2"/>
  <c r="AM166" i="2" s="1"/>
  <c r="BD165" i="2"/>
  <c r="AJ167" i="2"/>
  <c r="AK167" i="2" s="1"/>
  <c r="Z63" i="2"/>
  <c r="AA62" i="2"/>
  <c r="Z88" i="2"/>
  <c r="AA87" i="2"/>
  <c r="AL55" i="2"/>
  <c r="AM55" i="2" s="1"/>
  <c r="BD54" i="2"/>
  <c r="AJ56" i="2"/>
  <c r="AK56" i="2" s="1"/>
  <c r="AL51" i="2"/>
  <c r="AM51" i="2" s="1"/>
  <c r="BD50" i="2"/>
  <c r="AJ52" i="2"/>
  <c r="AK52" i="2" s="1"/>
  <c r="AL95" i="2"/>
  <c r="AM95" i="2" s="1"/>
  <c r="BD94" i="2"/>
  <c r="AJ96" i="2"/>
  <c r="AK96" i="2" s="1"/>
  <c r="AL56" i="2"/>
  <c r="AM56" i="2" s="1"/>
  <c r="BD55" i="2"/>
  <c r="AJ57" i="2"/>
  <c r="AK57" i="2" s="1"/>
  <c r="AJ63" i="2"/>
  <c r="AK63" i="2" s="1"/>
  <c r="AL62" i="2"/>
  <c r="AM62" i="2" s="1"/>
  <c r="BD61" i="2"/>
  <c r="AL45" i="2"/>
  <c r="AM45" i="2" s="1"/>
  <c r="BD44" i="2"/>
  <c r="AJ46" i="2"/>
  <c r="AK46" i="2" s="1"/>
  <c r="AJ23" i="2"/>
  <c r="AK23" i="2" s="1"/>
  <c r="AL22" i="2"/>
  <c r="AM22" i="2" s="1"/>
  <c r="BD21" i="2"/>
  <c r="AL28" i="2"/>
  <c r="AM28" i="2" s="1"/>
  <c r="BD27" i="2"/>
  <c r="AJ29" i="2"/>
  <c r="AK29" i="2" s="1"/>
  <c r="AL381" i="2"/>
  <c r="AM381" i="2" s="1"/>
  <c r="BD380" i="2"/>
  <c r="AJ382" i="2"/>
  <c r="AK382" i="2" s="1"/>
  <c r="AL361" i="2"/>
  <c r="AM361" i="2" s="1"/>
  <c r="BD360" i="2"/>
  <c r="AJ362" i="2"/>
  <c r="AK362" i="2" s="1"/>
  <c r="AL338" i="2"/>
  <c r="AM338" i="2" s="1"/>
  <c r="BD337" i="2"/>
  <c r="AJ339" i="2"/>
  <c r="AK339" i="2" s="1"/>
  <c r="AJ332" i="2"/>
  <c r="AK332" i="2" s="1"/>
  <c r="AL331" i="2"/>
  <c r="AM331" i="2" s="1"/>
  <c r="BD330" i="2"/>
  <c r="AJ318" i="2"/>
  <c r="AK318" i="2" s="1"/>
  <c r="AL317" i="2"/>
  <c r="AM317" i="2" s="1"/>
  <c r="BJ317" i="2" s="1"/>
  <c r="BD316" i="2"/>
  <c r="Z313" i="2"/>
  <c r="AA312" i="2"/>
  <c r="Z280" i="2"/>
  <c r="AA279" i="2"/>
  <c r="AJ272" i="2"/>
  <c r="AK272" i="2" s="1"/>
  <c r="AL271" i="2"/>
  <c r="AM271" i="2" s="1"/>
  <c r="BD270" i="2"/>
  <c r="AL264" i="2"/>
  <c r="AM264" i="2" s="1"/>
  <c r="BD263" i="2"/>
  <c r="AJ265" i="2"/>
  <c r="AK265" i="2" s="1"/>
  <c r="Z261" i="2"/>
  <c r="AA260" i="2"/>
  <c r="AL252" i="2"/>
  <c r="AM252" i="2" s="1"/>
  <c r="BD251" i="2"/>
  <c r="AJ253" i="2"/>
  <c r="AK253" i="2" s="1"/>
  <c r="AL234" i="2"/>
  <c r="AM234" i="2" s="1"/>
  <c r="BD233" i="2"/>
  <c r="AJ235" i="2"/>
  <c r="AK235" i="2" s="1"/>
  <c r="Z224" i="2"/>
  <c r="AA223" i="2"/>
  <c r="AL193" i="2"/>
  <c r="AM193" i="2" s="1"/>
  <c r="BD192" i="2"/>
  <c r="AJ194" i="2"/>
  <c r="AK194" i="2" s="1"/>
  <c r="AJ200" i="2"/>
  <c r="AK200" i="2" s="1"/>
  <c r="AL199" i="2"/>
  <c r="AM199" i="2" s="1"/>
  <c r="BK199" i="2" s="1"/>
  <c r="BD198" i="2"/>
  <c r="AL213" i="2"/>
  <c r="AM213" i="2" s="1"/>
  <c r="BD212" i="2"/>
  <c r="AJ214" i="2"/>
  <c r="AK214" i="2" s="1"/>
  <c r="AL222" i="2"/>
  <c r="AM222" i="2" s="1"/>
  <c r="BD221" i="2"/>
  <c r="AJ223" i="2"/>
  <c r="AK223" i="2" s="1"/>
  <c r="Z191" i="2"/>
  <c r="AA190" i="2"/>
  <c r="Z134" i="2"/>
  <c r="AA133" i="2"/>
  <c r="AL148" i="2"/>
  <c r="AM148" i="2" s="1"/>
  <c r="BD147" i="2"/>
  <c r="AJ149" i="2"/>
  <c r="AK149" i="2" s="1"/>
  <c r="AL167" i="2"/>
  <c r="AM167" i="2" s="1"/>
  <c r="BD166" i="2"/>
  <c r="AJ168" i="2"/>
  <c r="AK168" i="2" s="1"/>
  <c r="Z114" i="2"/>
  <c r="AA113" i="2"/>
  <c r="AL123" i="2"/>
  <c r="AM123" i="2" s="1"/>
  <c r="BD122" i="2"/>
  <c r="AJ124" i="2"/>
  <c r="AK124" i="2" s="1"/>
  <c r="AJ99" i="2"/>
  <c r="AK99" i="2" s="1"/>
  <c r="AL98" i="2"/>
  <c r="AM98" i="2" s="1"/>
  <c r="BP98" i="2" s="1"/>
  <c r="BQ98" i="2" s="1"/>
  <c r="BT98" i="2" s="1"/>
  <c r="BU98" i="2" s="1"/>
  <c r="BV98" i="2" s="1"/>
  <c r="BW98" i="2" s="1"/>
  <c r="BD97" i="2"/>
  <c r="AL80" i="2"/>
  <c r="AM80" i="2" s="1"/>
  <c r="BD79" i="2"/>
  <c r="AJ81" i="2"/>
  <c r="AK81" i="2" s="1"/>
  <c r="Z82" i="2"/>
  <c r="AA81" i="2"/>
  <c r="AL96" i="2"/>
  <c r="AM96" i="2" s="1"/>
  <c r="BD95" i="2"/>
  <c r="AJ97" i="2"/>
  <c r="AK97" i="2" s="1"/>
  <c r="Z103" i="2"/>
  <c r="AA102" i="2"/>
  <c r="Z36" i="2"/>
  <c r="AA35" i="2"/>
  <c r="AJ25" i="2"/>
  <c r="AK25" i="2" s="1"/>
  <c r="AL24" i="2"/>
  <c r="AM24" i="2" s="1"/>
  <c r="BD23" i="2"/>
  <c r="BD13" i="2"/>
  <c r="AJ15" i="2"/>
  <c r="AK15" i="2" s="1"/>
  <c r="AL14" i="2"/>
  <c r="AM14" i="2" s="1"/>
  <c r="AL41" i="2"/>
  <c r="AM41" i="2" s="1"/>
  <c r="BD40" i="2"/>
  <c r="AJ42" i="2"/>
  <c r="AK42" i="2" s="1"/>
  <c r="AJ380" i="2"/>
  <c r="AK380" i="2" s="1"/>
  <c r="AL379" i="2"/>
  <c r="AM379" i="2" s="1"/>
  <c r="BF379" i="2" s="1"/>
  <c r="BD378" i="2"/>
  <c r="AA375" i="2"/>
  <c r="Z376" i="2"/>
  <c r="AL362" i="2"/>
  <c r="AM362" i="2" s="1"/>
  <c r="BD361" i="2"/>
  <c r="AJ363" i="2"/>
  <c r="AK363" i="2" s="1"/>
  <c r="Z353" i="2"/>
  <c r="AA352" i="2"/>
  <c r="Z335" i="2"/>
  <c r="AA334" i="2"/>
  <c r="AJ342" i="2"/>
  <c r="AK342" i="2" s="1"/>
  <c r="AL341" i="2"/>
  <c r="AM341" i="2" s="1"/>
  <c r="BH341" i="2" s="1"/>
  <c r="BD340" i="2"/>
  <c r="AJ331" i="2"/>
  <c r="AK331" i="2" s="1"/>
  <c r="AL330" i="2"/>
  <c r="AM330" i="2" s="1"/>
  <c r="BD329" i="2"/>
  <c r="Z316" i="2"/>
  <c r="AA315" i="2"/>
  <c r="AL295" i="2"/>
  <c r="AM295" i="2" s="1"/>
  <c r="BD294" i="2"/>
  <c r="AJ296" i="2"/>
  <c r="AK296" i="2" s="1"/>
  <c r="Z294" i="2"/>
  <c r="AA293" i="2"/>
  <c r="AL292" i="2"/>
  <c r="AM292" i="2" s="1"/>
  <c r="BD291" i="2"/>
  <c r="AJ293" i="2"/>
  <c r="AK293" i="2" s="1"/>
  <c r="AJ264" i="2"/>
  <c r="AK264" i="2" s="1"/>
  <c r="AL263" i="2"/>
  <c r="AM263" i="2" s="1"/>
  <c r="BD262" i="2"/>
  <c r="AJ276" i="2"/>
  <c r="AK276" i="2" s="1"/>
  <c r="AL275" i="2"/>
  <c r="AM275" i="2" s="1"/>
  <c r="BM275" i="2" s="1"/>
  <c r="BD274" i="2"/>
  <c r="Z242" i="2"/>
  <c r="AA241" i="2"/>
  <c r="AL239" i="2"/>
  <c r="AM239" i="2" s="1"/>
  <c r="BD238" i="2"/>
  <c r="AJ240" i="2"/>
  <c r="AK240" i="2" s="1"/>
  <c r="AL225" i="2"/>
  <c r="AM225" i="2" s="1"/>
  <c r="BD224" i="2"/>
  <c r="AJ226" i="2"/>
  <c r="AK226" i="2" s="1"/>
  <c r="AA171" i="2"/>
  <c r="Z172" i="2"/>
  <c r="AJ225" i="2"/>
  <c r="AK225" i="2" s="1"/>
  <c r="AL224" i="2"/>
  <c r="AM224" i="2" s="1"/>
  <c r="BD223" i="2"/>
  <c r="AJ188" i="2"/>
  <c r="AK188" i="2" s="1"/>
  <c r="AL187" i="2"/>
  <c r="AM187" i="2" s="1"/>
  <c r="BD186" i="2"/>
  <c r="Z146" i="2"/>
  <c r="AA145" i="2"/>
  <c r="Z125" i="2"/>
  <c r="AA124" i="2"/>
  <c r="AL122" i="2"/>
  <c r="AM122" i="2" s="1"/>
  <c r="BH122" i="2" s="1"/>
  <c r="BD121" i="2"/>
  <c r="AJ123" i="2"/>
  <c r="AK123" i="2" s="1"/>
  <c r="AJ150" i="2"/>
  <c r="AK150" i="2" s="1"/>
  <c r="AL149" i="2"/>
  <c r="AM149" i="2" s="1"/>
  <c r="BD148" i="2"/>
  <c r="AL126" i="2"/>
  <c r="AM126" i="2" s="1"/>
  <c r="BP126" i="2" s="1"/>
  <c r="BD125" i="2"/>
  <c r="AJ127" i="2"/>
  <c r="AK127" i="2" s="1"/>
  <c r="AJ107" i="2"/>
  <c r="AK107" i="2" s="1"/>
  <c r="AL106" i="2"/>
  <c r="AM106" i="2" s="1"/>
  <c r="BI106" i="2" s="1"/>
  <c r="BD105" i="2"/>
  <c r="AL63" i="2"/>
  <c r="AM63" i="2" s="1"/>
  <c r="BE63" i="2" s="1"/>
  <c r="BD62" i="2"/>
  <c r="AJ64" i="2"/>
  <c r="AK64" i="2" s="1"/>
  <c r="Z64" i="2"/>
  <c r="AA63" i="2"/>
  <c r="AJ87" i="2"/>
  <c r="AK87" i="2" s="1"/>
  <c r="AL86" i="2"/>
  <c r="AM86" i="2" s="1"/>
  <c r="BD85" i="2"/>
  <c r="Z76" i="2"/>
  <c r="AA75" i="2"/>
  <c r="AA26" i="2"/>
  <c r="Z27" i="2"/>
  <c r="AL37" i="2"/>
  <c r="AM37" i="2" s="1"/>
  <c r="BD36" i="2"/>
  <c r="AJ38" i="2"/>
  <c r="AK38" i="2" s="1"/>
  <c r="AL18" i="2"/>
  <c r="AM18" i="2" s="1"/>
  <c r="BD17" i="2"/>
  <c r="AJ19" i="2"/>
  <c r="AK19" i="2" s="1"/>
  <c r="AL32" i="2"/>
  <c r="AM32" i="2" s="1"/>
  <c r="BD31" i="2"/>
  <c r="AJ33" i="2"/>
  <c r="AK33" i="2" s="1"/>
  <c r="Z41" i="2"/>
  <c r="AA40" i="2"/>
  <c r="AA9" i="2"/>
  <c r="Z10" i="2"/>
  <c r="Z28" i="2"/>
  <c r="AA27" i="2"/>
  <c r="Z42" i="2"/>
  <c r="AA41" i="2"/>
  <c r="AA14" i="2"/>
  <c r="Z15" i="2"/>
  <c r="AJ28" i="2"/>
  <c r="AK28" i="2" s="1"/>
  <c r="BD26" i="2"/>
  <c r="AL27" i="2"/>
  <c r="AM27" i="2" s="1"/>
  <c r="Z43" i="2"/>
  <c r="AA42" i="2"/>
  <c r="AL52" i="2"/>
  <c r="AM52" i="2" s="1"/>
  <c r="AJ53" i="2"/>
  <c r="AK53" i="2" s="1"/>
  <c r="BD51" i="2"/>
  <c r="Z57" i="2"/>
  <c r="AA56" i="2"/>
  <c r="Z73" i="2"/>
  <c r="AA72" i="2"/>
  <c r="Z89" i="2"/>
  <c r="AA88" i="2"/>
  <c r="Z105" i="2"/>
  <c r="AA104" i="2"/>
  <c r="Z135" i="2"/>
  <c r="AA134" i="2"/>
  <c r="Z159" i="2"/>
  <c r="AA158" i="2"/>
  <c r="Z175" i="2"/>
  <c r="AA174" i="2"/>
  <c r="Z132" i="2"/>
  <c r="AA131" i="2"/>
  <c r="Z148" i="2"/>
  <c r="AA147" i="2"/>
  <c r="Z164" i="2"/>
  <c r="AA163" i="2"/>
  <c r="Z141" i="2"/>
  <c r="AA140" i="2"/>
  <c r="Z157" i="2"/>
  <c r="AA156" i="2"/>
  <c r="Z174" i="2"/>
  <c r="AA173" i="2"/>
  <c r="Z221" i="2"/>
  <c r="AA220" i="2"/>
  <c r="Z182" i="2"/>
  <c r="AA181" i="2"/>
  <c r="Z198" i="2"/>
  <c r="AA197" i="2"/>
  <c r="Z214" i="2"/>
  <c r="AA213" i="2"/>
  <c r="Z211" i="2"/>
  <c r="AA210" i="2"/>
  <c r="Z228" i="2"/>
  <c r="AA227" i="2"/>
  <c r="Z255" i="2"/>
  <c r="AA254" i="2"/>
  <c r="Z236" i="2"/>
  <c r="AA235" i="2"/>
  <c r="Z252" i="2"/>
  <c r="AA251" i="2"/>
  <c r="Z245" i="2"/>
  <c r="AA244" i="2"/>
  <c r="Z262" i="2"/>
  <c r="AA261" i="2"/>
  <c r="Z270" i="2"/>
  <c r="AA269" i="2"/>
  <c r="Z286" i="2"/>
  <c r="AA285" i="2"/>
  <c r="Z290" i="2"/>
  <c r="AA289" i="2"/>
  <c r="Z311" i="2"/>
  <c r="AA310" i="2"/>
  <c r="Z322" i="2"/>
  <c r="AA321" i="2"/>
  <c r="Z336" i="2"/>
  <c r="AA335" i="2"/>
  <c r="Z340" i="2"/>
  <c r="AA339" i="2"/>
  <c r="Z354" i="2"/>
  <c r="AA353" i="2"/>
  <c r="Z364" i="2"/>
  <c r="AA363" i="2"/>
  <c r="Z371" i="2"/>
  <c r="AA370" i="2"/>
  <c r="Z377" i="2"/>
  <c r="AA376" i="2"/>
  <c r="BI280" i="2"/>
  <c r="BM280" i="2"/>
  <c r="BE280" i="2"/>
  <c r="AL236" i="2"/>
  <c r="AM236" i="2" s="1"/>
  <c r="BN236" i="2" s="1"/>
  <c r="BD235" i="2"/>
  <c r="AJ237" i="2"/>
  <c r="AK237" i="2" s="1"/>
  <c r="BF275" i="2"/>
  <c r="BJ275" i="2"/>
  <c r="BN275" i="2"/>
  <c r="AJ176" i="2"/>
  <c r="AK176" i="2" s="1"/>
  <c r="AL175" i="2"/>
  <c r="AM175" i="2" s="1"/>
  <c r="BM175" i="2" s="1"/>
  <c r="BD174" i="2"/>
  <c r="BK184" i="2"/>
  <c r="BO184" i="2"/>
  <c r="BQ184" i="2" s="1"/>
  <c r="BT184" i="2" s="1"/>
  <c r="BU184" i="2" s="1"/>
  <c r="BV184" i="2" s="1"/>
  <c r="BW184" i="2" s="1"/>
  <c r="BG184" i="2"/>
  <c r="AL105" i="2"/>
  <c r="AM105" i="2" s="1"/>
  <c r="BN105" i="2" s="1"/>
  <c r="BD104" i="2"/>
  <c r="AJ106" i="2"/>
  <c r="AK106" i="2" s="1"/>
  <c r="BE126" i="2"/>
  <c r="BI126" i="2"/>
  <c r="BM126" i="2"/>
  <c r="BE346" i="2"/>
  <c r="BQ346" i="2" s="1"/>
  <c r="BT346" i="2" s="1"/>
  <c r="BU346" i="2" s="1"/>
  <c r="BV346" i="2" s="1"/>
  <c r="BW346" i="2" s="1"/>
  <c r="BI346" i="2"/>
  <c r="BM346" i="2"/>
  <c r="AL69" i="2"/>
  <c r="AM69" i="2" s="1"/>
  <c r="BN69" i="2" s="1"/>
  <c r="BD68" i="2"/>
  <c r="AJ70" i="2"/>
  <c r="AK70" i="2" s="1"/>
  <c r="BG74" i="2"/>
  <c r="BK74" i="2"/>
  <c r="BO74" i="2"/>
  <c r="BQ74" i="2" s="1"/>
  <c r="BT74" i="2" s="1"/>
  <c r="BU74" i="2" s="1"/>
  <c r="BV74" i="2" s="1"/>
  <c r="BW74" i="2" s="1"/>
  <c r="BG79" i="2"/>
  <c r="BK79" i="2"/>
  <c r="BO79" i="2"/>
  <c r="AL266" i="2"/>
  <c r="AM266" i="2" s="1"/>
  <c r="BF266" i="2" s="1"/>
  <c r="BD265" i="2"/>
  <c r="AJ267" i="2"/>
  <c r="AK267" i="2" s="1"/>
  <c r="BP198" i="2"/>
  <c r="BQ198" i="2" s="1"/>
  <c r="BT198" i="2" s="1"/>
  <c r="BU198" i="2" s="1"/>
  <c r="BV198" i="2" s="1"/>
  <c r="BW198" i="2" s="1"/>
  <c r="AJ320" i="2"/>
  <c r="AK320" i="2" s="1"/>
  <c r="AL319" i="2"/>
  <c r="AM319" i="2" s="1"/>
  <c r="BD318" i="2"/>
  <c r="BM236" i="2"/>
  <c r="AL77" i="2"/>
  <c r="AM77" i="2" s="1"/>
  <c r="BF77" i="2" s="1"/>
  <c r="BD76" i="2"/>
  <c r="AJ78" i="2"/>
  <c r="AK78" i="2" s="1"/>
  <c r="BO61" i="2"/>
  <c r="BQ61" i="2" s="1"/>
  <c r="BT61" i="2" s="1"/>
  <c r="BU61" i="2" s="1"/>
  <c r="BV61" i="2" s="1"/>
  <c r="BW61" i="2" s="1"/>
  <c r="BP360" i="2"/>
  <c r="BQ360" i="2" s="1"/>
  <c r="BT360" i="2" s="1"/>
  <c r="BU360" i="2" s="1"/>
  <c r="BV360" i="2" s="1"/>
  <c r="BW360" i="2" s="1"/>
  <c r="BG360" i="2"/>
  <c r="BJ360" i="2"/>
  <c r="BK180" i="2"/>
  <c r="BO180" i="2"/>
  <c r="BQ180" i="2" s="1"/>
  <c r="BT180" i="2" s="1"/>
  <c r="BU180" i="2" s="1"/>
  <c r="BV180" i="2" s="1"/>
  <c r="BW180" i="2" s="1"/>
  <c r="BG180" i="2"/>
  <c r="BO105" i="2"/>
  <c r="BF106" i="2"/>
  <c r="BQ106" i="2" s="1"/>
  <c r="BT106" i="2" s="1"/>
  <c r="BU106" i="2" s="1"/>
  <c r="BV106" i="2" s="1"/>
  <c r="BW106" i="2" s="1"/>
  <c r="BJ106" i="2"/>
  <c r="BN106" i="2"/>
  <c r="BJ355" i="2"/>
  <c r="BG324" i="2"/>
  <c r="BK324" i="2"/>
  <c r="BQ324" i="2" s="1"/>
  <c r="BT324" i="2" s="1"/>
  <c r="BU324" i="2" s="1"/>
  <c r="BV324" i="2" s="1"/>
  <c r="BW324" i="2" s="1"/>
  <c r="BO324" i="2"/>
  <c r="BN266" i="2"/>
  <c r="BJ198" i="2"/>
  <c r="BG130" i="2"/>
  <c r="BK130" i="2"/>
  <c r="BO130" i="2"/>
  <c r="BG81" i="2"/>
  <c r="BM71" i="2"/>
  <c r="BE71" i="2"/>
  <c r="BI71" i="2"/>
  <c r="BH311" i="2"/>
  <c r="BK236" i="2"/>
  <c r="BE124" i="2"/>
  <c r="BJ195" i="2"/>
  <c r="BN195" i="2"/>
  <c r="BF195" i="2"/>
  <c r="AL93" i="2"/>
  <c r="AM93" i="2" s="1"/>
  <c r="BD92" i="2"/>
  <c r="AJ94" i="2"/>
  <c r="AK94" i="2" s="1"/>
  <c r="BP77" i="2"/>
  <c r="BQ77" i="2" s="1"/>
  <c r="BT77" i="2" s="1"/>
  <c r="BU77" i="2" s="1"/>
  <c r="BV77" i="2" s="1"/>
  <c r="BW77" i="2" s="1"/>
  <c r="BL61" i="2"/>
  <c r="BM98" i="2"/>
  <c r="BE98" i="2"/>
  <c r="BI98" i="2"/>
  <c r="AL368" i="2"/>
  <c r="AM368" i="2" s="1"/>
  <c r="BD367" i="2"/>
  <c r="AJ369" i="2"/>
  <c r="AK369" i="2" s="1"/>
  <c r="BI370" i="2"/>
  <c r="BM370" i="2"/>
  <c r="BO370" i="2"/>
  <c r="BI341" i="2"/>
  <c r="BM341" i="2"/>
  <c r="BE341" i="2"/>
  <c r="BF313" i="2"/>
  <c r="BP313" i="2"/>
  <c r="BK313" i="2"/>
  <c r="BE122" i="2"/>
  <c r="BI122" i="2"/>
  <c r="BM122" i="2"/>
  <c r="BJ105" i="2"/>
  <c r="BF355" i="2"/>
  <c r="BQ355" i="2" s="1"/>
  <c r="BT355" i="2" s="1"/>
  <c r="BU355" i="2" s="1"/>
  <c r="BV355" i="2" s="1"/>
  <c r="BW355" i="2" s="1"/>
  <c r="BE321" i="2"/>
  <c r="BI321" i="2"/>
  <c r="BM321" i="2"/>
  <c r="AL303" i="2"/>
  <c r="AM303" i="2" s="1"/>
  <c r="BD302" i="2"/>
  <c r="AJ304" i="2"/>
  <c r="AK304" i="2" s="1"/>
  <c r="BE286" i="2"/>
  <c r="BF268" i="2"/>
  <c r="BJ268" i="2"/>
  <c r="BN268" i="2"/>
  <c r="BF267" i="2"/>
  <c r="BJ267" i="2"/>
  <c r="BN267" i="2"/>
  <c r="BH202" i="2"/>
  <c r="BK69" i="2"/>
  <c r="AL344" i="2"/>
  <c r="AM344" i="2" s="1"/>
  <c r="BD343" i="2"/>
  <c r="AJ345" i="2"/>
  <c r="AK345" i="2" s="1"/>
  <c r="BK266" i="2"/>
  <c r="BG198" i="2"/>
  <c r="BH58" i="2"/>
  <c r="BL58" i="2"/>
  <c r="BP58" i="2"/>
  <c r="AL322" i="2"/>
  <c r="AM322" i="2" s="1"/>
  <c r="BD321" i="2"/>
  <c r="AJ323" i="2"/>
  <c r="AK323" i="2" s="1"/>
  <c r="BN317" i="2"/>
  <c r="BH317" i="2"/>
  <c r="BG317" i="2"/>
  <c r="AL311" i="2"/>
  <c r="AM311" i="2" s="1"/>
  <c r="BD310" i="2"/>
  <c r="AJ312" i="2"/>
  <c r="AK312" i="2" s="1"/>
  <c r="BE236" i="2"/>
  <c r="BJ238" i="2"/>
  <c r="BN238" i="2"/>
  <c r="BF238" i="2"/>
  <c r="BP199" i="2"/>
  <c r="BH199" i="2"/>
  <c r="BL199" i="2"/>
  <c r="BO93" i="2"/>
  <c r="BK77" i="2"/>
  <c r="BG61" i="2"/>
  <c r="BK379" i="2"/>
  <c r="BO379" i="2"/>
  <c r="BG379" i="2"/>
  <c r="BM368" i="2"/>
  <c r="BL175" i="2"/>
  <c r="BL129" i="2"/>
  <c r="BP129" i="2"/>
  <c r="BH129" i="2"/>
  <c r="BQ129" i="2" s="1"/>
  <c r="BT129" i="2" s="1"/>
  <c r="BU129" i="2" s="1"/>
  <c r="BV129" i="2" s="1"/>
  <c r="BW129" i="2" s="1"/>
  <c r="BH105" i="2"/>
  <c r="BM73" i="2"/>
  <c r="BF63" i="2"/>
  <c r="BJ63" i="2"/>
  <c r="BN63" i="2"/>
  <c r="BQ63" i="2" s="1"/>
  <c r="BT63" i="2" s="1"/>
  <c r="BU63" i="2" s="1"/>
  <c r="BV63" i="2" s="1"/>
  <c r="BW63" i="2" s="1"/>
  <c r="BE355" i="2"/>
  <c r="BM303" i="2"/>
  <c r="AL202" i="2"/>
  <c r="AM202" i="2" s="1"/>
  <c r="BE202" i="2" s="1"/>
  <c r="BD201" i="2"/>
  <c r="AJ203" i="2"/>
  <c r="AK203" i="2" s="1"/>
  <c r="BH111" i="2"/>
  <c r="BK111" i="2"/>
  <c r="BJ111" i="2"/>
  <c r="BE87" i="2"/>
  <c r="BI87" i="2"/>
  <c r="BM87" i="2"/>
  <c r="BN7" i="2"/>
  <c r="BG359" i="2"/>
  <c r="BK359" i="2"/>
  <c r="BO359" i="2"/>
  <c r="BQ359" i="2" s="1"/>
  <c r="BT359" i="2" s="1"/>
  <c r="BU359" i="2" s="1"/>
  <c r="BV359" i="2" s="1"/>
  <c r="BW359" i="2" s="1"/>
  <c r="BG266" i="2"/>
  <c r="BN90" i="2"/>
  <c r="BF90" i="2"/>
  <c r="BJ90" i="2"/>
  <c r="Z384" i="2"/>
  <c r="AA383" i="2"/>
  <c r="AA351" i="2"/>
  <c r="Z352" i="2"/>
  <c r="AA348" i="2"/>
  <c r="Z349" i="2"/>
  <c r="Z324" i="2"/>
  <c r="AA323" i="2"/>
  <c r="AJ337" i="2"/>
  <c r="AK337" i="2" s="1"/>
  <c r="AL336" i="2"/>
  <c r="AM336" i="2" s="1"/>
  <c r="BD335" i="2"/>
  <c r="AJ319" i="2"/>
  <c r="AK319" i="2" s="1"/>
  <c r="AL318" i="2"/>
  <c r="AM318" i="2" s="1"/>
  <c r="BD317" i="2"/>
  <c r="AL309" i="2"/>
  <c r="AM309" i="2" s="1"/>
  <c r="BK309" i="2" s="1"/>
  <c r="BD308" i="2"/>
  <c r="AJ310" i="2"/>
  <c r="AK310" i="2" s="1"/>
  <c r="AL299" i="2"/>
  <c r="AM299" i="2" s="1"/>
  <c r="BD298" i="2"/>
  <c r="AJ300" i="2"/>
  <c r="AK300" i="2" s="1"/>
  <c r="Z272" i="2"/>
  <c r="AA271" i="2"/>
  <c r="Z277" i="2"/>
  <c r="AA276" i="2"/>
  <c r="Z238" i="2"/>
  <c r="AA237" i="2"/>
  <c r="Z231" i="2"/>
  <c r="AA230" i="2"/>
  <c r="AL256" i="2"/>
  <c r="AM256" i="2" s="1"/>
  <c r="BD255" i="2"/>
  <c r="AJ257" i="2"/>
  <c r="AK257" i="2" s="1"/>
  <c r="Z200" i="2"/>
  <c r="AA199" i="2"/>
  <c r="AL185" i="2"/>
  <c r="AM185" i="2" s="1"/>
  <c r="BD184" i="2"/>
  <c r="AJ186" i="2"/>
  <c r="AK186" i="2" s="1"/>
  <c r="AL221" i="2"/>
  <c r="AM221" i="2" s="1"/>
  <c r="BD220" i="2"/>
  <c r="AJ222" i="2"/>
  <c r="AK222" i="2" s="1"/>
  <c r="AJ180" i="2"/>
  <c r="AK180" i="2" s="1"/>
  <c r="AL179" i="2"/>
  <c r="AM179" i="2" s="1"/>
  <c r="BE179" i="2" s="1"/>
  <c r="BD178" i="2"/>
  <c r="Z126" i="2"/>
  <c r="AA125" i="2"/>
  <c r="AJ122" i="2"/>
  <c r="AK122" i="2" s="1"/>
  <c r="AL121" i="2"/>
  <c r="AM121" i="2" s="1"/>
  <c r="BI121" i="2" s="1"/>
  <c r="BD120" i="2"/>
  <c r="AL143" i="2"/>
  <c r="AM143" i="2" s="1"/>
  <c r="BD142" i="2"/>
  <c r="AJ144" i="2"/>
  <c r="AK144" i="2" s="1"/>
  <c r="AJ134" i="2"/>
  <c r="AK134" i="2" s="1"/>
  <c r="AL133" i="2"/>
  <c r="AM133" i="2" s="1"/>
  <c r="BD132" i="2"/>
  <c r="AJ175" i="2"/>
  <c r="AK175" i="2" s="1"/>
  <c r="AL174" i="2"/>
  <c r="AM174" i="2" s="1"/>
  <c r="BD173" i="2"/>
  <c r="Z67" i="2"/>
  <c r="AA66" i="2"/>
  <c r="AL68" i="2"/>
  <c r="AM68" i="2" s="1"/>
  <c r="BD67" i="2"/>
  <c r="AJ69" i="2"/>
  <c r="AK69" i="2" s="1"/>
  <c r="AJ67" i="2"/>
  <c r="AK67" i="2" s="1"/>
  <c r="AL66" i="2"/>
  <c r="AM66" i="2" s="1"/>
  <c r="BL66" i="2" s="1"/>
  <c r="BD65" i="2"/>
  <c r="AJ95" i="2"/>
  <c r="AK95" i="2" s="1"/>
  <c r="AL94" i="2"/>
  <c r="AM94" i="2" s="1"/>
  <c r="BO94" i="2" s="1"/>
  <c r="BD93" i="2"/>
  <c r="AL67" i="2"/>
  <c r="AM67" i="2" s="1"/>
  <c r="BN67" i="2" s="1"/>
  <c r="BD66" i="2"/>
  <c r="AJ68" i="2"/>
  <c r="AK68" i="2" s="1"/>
  <c r="Z60" i="2"/>
  <c r="AA59" i="2"/>
  <c r="AJ48" i="2"/>
  <c r="AK48" i="2" s="1"/>
  <c r="AL47" i="2"/>
  <c r="AM47" i="2" s="1"/>
  <c r="BD46" i="2"/>
  <c r="AJ18" i="2"/>
  <c r="AK18" i="2" s="1"/>
  <c r="BD16" i="2"/>
  <c r="AL17" i="2"/>
  <c r="AM17" i="2" s="1"/>
  <c r="AL10" i="2"/>
  <c r="AM10" i="2" s="1"/>
  <c r="BD9" i="2"/>
  <c r="AJ11" i="2"/>
  <c r="AK11" i="2" s="1"/>
  <c r="BD8" i="2"/>
  <c r="AJ10" i="2"/>
  <c r="AK10" i="2" s="1"/>
  <c r="AL9" i="2"/>
  <c r="AM9" i="2" s="1"/>
  <c r="Z386" i="2"/>
  <c r="AA385" i="2"/>
  <c r="AJ373" i="2"/>
  <c r="AK373" i="2" s="1"/>
  <c r="BD371" i="2"/>
  <c r="AL372" i="2"/>
  <c r="AM372" i="2" s="1"/>
  <c r="Z366" i="2"/>
  <c r="AA365" i="2"/>
  <c r="Z356" i="2"/>
  <c r="AA355" i="2"/>
  <c r="AL347" i="2"/>
  <c r="AM347" i="2" s="1"/>
  <c r="BD346" i="2"/>
  <c r="AJ348" i="2"/>
  <c r="AK348" i="2" s="1"/>
  <c r="Z337" i="2"/>
  <c r="AA336" i="2"/>
  <c r="AL316" i="2"/>
  <c r="AM316" i="2" s="1"/>
  <c r="BD315" i="2"/>
  <c r="AJ317" i="2"/>
  <c r="AK317" i="2" s="1"/>
  <c r="AJ309" i="2"/>
  <c r="AK309" i="2" s="1"/>
  <c r="AL308" i="2"/>
  <c r="AM308" i="2" s="1"/>
  <c r="BD307" i="2"/>
  <c r="AJ313" i="2"/>
  <c r="AK313" i="2" s="1"/>
  <c r="AL312" i="2"/>
  <c r="AM312" i="2" s="1"/>
  <c r="BD311" i="2"/>
  <c r="AL305" i="2"/>
  <c r="AM305" i="2" s="1"/>
  <c r="BD304" i="2"/>
  <c r="AJ306" i="2"/>
  <c r="AK306" i="2" s="1"/>
  <c r="AL273" i="2"/>
  <c r="AM273" i="2" s="1"/>
  <c r="BD272" i="2"/>
  <c r="AJ274" i="2"/>
  <c r="AK274" i="2" s="1"/>
  <c r="Z287" i="2"/>
  <c r="AA286" i="2"/>
  <c r="Z234" i="2"/>
  <c r="AA233" i="2"/>
  <c r="AL244" i="2"/>
  <c r="AM244" i="2" s="1"/>
  <c r="BD243" i="2"/>
  <c r="AJ245" i="2"/>
  <c r="AK245" i="2" s="1"/>
  <c r="AL231" i="2"/>
  <c r="AM231" i="2" s="1"/>
  <c r="BD230" i="2"/>
  <c r="AJ232" i="2"/>
  <c r="AK232" i="2" s="1"/>
  <c r="AJ238" i="2"/>
  <c r="AK238" i="2" s="1"/>
  <c r="AL237" i="2"/>
  <c r="AM237" i="2" s="1"/>
  <c r="BD236" i="2"/>
  <c r="Z196" i="2"/>
  <c r="AA195" i="2"/>
  <c r="AL204" i="2"/>
  <c r="AM204" i="2" s="1"/>
  <c r="BD203" i="2"/>
  <c r="AJ205" i="2"/>
  <c r="AK205" i="2" s="1"/>
  <c r="AL210" i="2"/>
  <c r="AM210" i="2" s="1"/>
  <c r="BD209" i="2"/>
  <c r="AJ211" i="2"/>
  <c r="AK211" i="2" s="1"/>
  <c r="AL208" i="2"/>
  <c r="AM208" i="2" s="1"/>
  <c r="BD207" i="2"/>
  <c r="AJ209" i="2"/>
  <c r="AK209" i="2" s="1"/>
  <c r="AL214" i="2"/>
  <c r="AM214" i="2" s="1"/>
  <c r="BD213" i="2"/>
  <c r="AJ215" i="2"/>
  <c r="AK215" i="2" s="1"/>
  <c r="Z193" i="2"/>
  <c r="AA192" i="2"/>
  <c r="Z122" i="2"/>
  <c r="AA121" i="2"/>
  <c r="AL162" i="2"/>
  <c r="AM162" i="2" s="1"/>
  <c r="BD161" i="2"/>
  <c r="AJ163" i="2"/>
  <c r="AK163" i="2" s="1"/>
  <c r="AL160" i="2"/>
  <c r="AM160" i="2" s="1"/>
  <c r="BD159" i="2"/>
  <c r="AJ161" i="2"/>
  <c r="AK161" i="2" s="1"/>
  <c r="AJ126" i="2"/>
  <c r="AK126" i="2" s="1"/>
  <c r="AL125" i="2"/>
  <c r="AM125" i="2" s="1"/>
  <c r="BD124" i="2"/>
  <c r="AL150" i="2"/>
  <c r="AM150" i="2" s="1"/>
  <c r="BD149" i="2"/>
  <c r="AJ151" i="2"/>
  <c r="AK151" i="2" s="1"/>
  <c r="AL108" i="2"/>
  <c r="AM108" i="2" s="1"/>
  <c r="BD107" i="2"/>
  <c r="AJ109" i="2"/>
  <c r="AK109" i="2" s="1"/>
  <c r="Z84" i="2"/>
  <c r="AA83" i="2"/>
  <c r="AJ113" i="2"/>
  <c r="AK113" i="2" s="1"/>
  <c r="AL112" i="2"/>
  <c r="AM112" i="2" s="1"/>
  <c r="BD111" i="2"/>
  <c r="Z110" i="2"/>
  <c r="AA109" i="2"/>
  <c r="AL88" i="2"/>
  <c r="AM88" i="2" s="1"/>
  <c r="BD87" i="2"/>
  <c r="AJ89" i="2"/>
  <c r="AK89" i="2" s="1"/>
  <c r="Z111" i="2"/>
  <c r="AA110" i="2"/>
  <c r="Z58" i="2"/>
  <c r="AA57" i="2"/>
  <c r="AL34" i="2"/>
  <c r="AM34" i="2" s="1"/>
  <c r="BD33" i="2"/>
  <c r="AJ35" i="2"/>
  <c r="AK35" i="2" s="1"/>
  <c r="Z11" i="2"/>
  <c r="AA10" i="2"/>
  <c r="AL19" i="2"/>
  <c r="AM19" i="2" s="1"/>
  <c r="BD18" i="2"/>
  <c r="AJ20" i="2"/>
  <c r="AK20" i="2" s="1"/>
  <c r="AL384" i="2"/>
  <c r="AM384" i="2" s="1"/>
  <c r="BD383" i="2"/>
  <c r="AJ385" i="2"/>
  <c r="AK385" i="2" s="1"/>
  <c r="AJ376" i="2"/>
  <c r="AK376" i="2" s="1"/>
  <c r="AL375" i="2"/>
  <c r="AM375" i="2" s="1"/>
  <c r="BD374" i="2"/>
  <c r="Z342" i="2"/>
  <c r="AA341" i="2"/>
  <c r="Z345" i="2"/>
  <c r="AA344" i="2"/>
  <c r="Z320" i="2"/>
  <c r="AA319" i="2"/>
  <c r="Z305" i="2"/>
  <c r="AA304" i="2"/>
  <c r="AJ291" i="2"/>
  <c r="AK291" i="2" s="1"/>
  <c r="BD289" i="2"/>
  <c r="AL290" i="2"/>
  <c r="AM290" i="2" s="1"/>
  <c r="Z264" i="2"/>
  <c r="AA263" i="2"/>
  <c r="Z267" i="2"/>
  <c r="AA266" i="2"/>
  <c r="AJ284" i="2"/>
  <c r="AK284" i="2" s="1"/>
  <c r="AL283" i="2"/>
  <c r="AM283" i="2" s="1"/>
  <c r="BF283" i="2" s="1"/>
  <c r="BD282" i="2"/>
  <c r="Z246" i="2"/>
  <c r="AA245" i="2"/>
  <c r="AJ250" i="2"/>
  <c r="AK250" i="2" s="1"/>
  <c r="AL249" i="2"/>
  <c r="AM249" i="2" s="1"/>
  <c r="BD248" i="2"/>
  <c r="AL248" i="2"/>
  <c r="AM248" i="2" s="1"/>
  <c r="BD247" i="2"/>
  <c r="AJ249" i="2"/>
  <c r="AK249" i="2" s="1"/>
  <c r="Z208" i="2"/>
  <c r="AA207" i="2"/>
  <c r="AL177" i="2"/>
  <c r="AM177" i="2" s="1"/>
  <c r="BD176" i="2"/>
  <c r="AJ178" i="2"/>
  <c r="AK178" i="2" s="1"/>
  <c r="Z195" i="2"/>
  <c r="AA194" i="2"/>
  <c r="AL197" i="2"/>
  <c r="AM197" i="2" s="1"/>
  <c r="BD196" i="2"/>
  <c r="AJ198" i="2"/>
  <c r="AK198" i="2" s="1"/>
  <c r="AJ220" i="2"/>
  <c r="AK220" i="2" s="1"/>
  <c r="AL219" i="2"/>
  <c r="AM219" i="2" s="1"/>
  <c r="BD218" i="2"/>
  <c r="Z185" i="2"/>
  <c r="AA184" i="2"/>
  <c r="Z118" i="2"/>
  <c r="AA117" i="2"/>
  <c r="AJ146" i="2"/>
  <c r="AK146" i="2" s="1"/>
  <c r="AL145" i="2"/>
  <c r="AM145" i="2" s="1"/>
  <c r="BD144" i="2"/>
  <c r="AL151" i="2"/>
  <c r="AM151" i="2" s="1"/>
  <c r="BD150" i="2"/>
  <c r="AJ152" i="2"/>
  <c r="AK152" i="2" s="1"/>
  <c r="AL171" i="2"/>
  <c r="AM171" i="2" s="1"/>
  <c r="BD170" i="2"/>
  <c r="AJ172" i="2"/>
  <c r="AK172" i="2" s="1"/>
  <c r="Z75" i="2"/>
  <c r="AA74" i="2"/>
  <c r="Z96" i="2"/>
  <c r="AA95" i="2"/>
  <c r="AL76" i="2"/>
  <c r="AM76" i="2" s="1"/>
  <c r="BD75" i="2"/>
  <c r="AJ77" i="2"/>
  <c r="AK77" i="2" s="1"/>
  <c r="AL110" i="2"/>
  <c r="AM110" i="2" s="1"/>
  <c r="BL110" i="2" s="1"/>
  <c r="BD109" i="2"/>
  <c r="AJ111" i="2"/>
  <c r="AK111" i="2" s="1"/>
  <c r="AL83" i="2"/>
  <c r="AM83" i="2" s="1"/>
  <c r="BI83" i="2" s="1"/>
  <c r="BD82" i="2"/>
  <c r="AJ84" i="2"/>
  <c r="AK84" i="2" s="1"/>
  <c r="Z79" i="2"/>
  <c r="AA78" i="2"/>
  <c r="AL42" i="2"/>
  <c r="AM42" i="2" s="1"/>
  <c r="BD41" i="2"/>
  <c r="AJ43" i="2"/>
  <c r="AK43" i="2" s="1"/>
  <c r="AJ32" i="2"/>
  <c r="AK32" i="2" s="1"/>
  <c r="AL31" i="2"/>
  <c r="AM31" i="2" s="1"/>
  <c r="BD30" i="2"/>
  <c r="AJ9" i="2"/>
  <c r="AK9" i="2" s="1"/>
  <c r="BD7" i="2"/>
  <c r="AL8" i="2"/>
  <c r="AM8" i="2" s="1"/>
  <c r="BG8" i="2" s="1"/>
  <c r="BQ8" i="2" s="1"/>
  <c r="BT8" i="2" s="1"/>
  <c r="BU8" i="2" s="1"/>
  <c r="BV8" i="2" s="1"/>
  <c r="BW8" i="2" s="1"/>
  <c r="AL29" i="2"/>
  <c r="AM29" i="2" s="1"/>
  <c r="BD28" i="2"/>
  <c r="AJ30" i="2"/>
  <c r="AK30" i="2" s="1"/>
  <c r="AJ378" i="2"/>
  <c r="AK378" i="2" s="1"/>
  <c r="AL377" i="2"/>
  <c r="AM377" i="2" s="1"/>
  <c r="BD376" i="2"/>
  <c r="AL371" i="2"/>
  <c r="AM371" i="2" s="1"/>
  <c r="BD370" i="2"/>
  <c r="AJ372" i="2"/>
  <c r="AK372" i="2" s="1"/>
  <c r="AA361" i="2"/>
  <c r="Z362" i="2"/>
  <c r="AL352" i="2"/>
  <c r="AM352" i="2" s="1"/>
  <c r="BN352" i="2" s="1"/>
  <c r="BD351" i="2"/>
  <c r="AJ353" i="2"/>
  <c r="AK353" i="2" s="1"/>
  <c r="AJ350" i="2"/>
  <c r="AK350" i="2" s="1"/>
  <c r="AL349" i="2"/>
  <c r="AM349" i="2" s="1"/>
  <c r="BD348" i="2"/>
  <c r="Z338" i="2"/>
  <c r="AA337" i="2"/>
  <c r="AJ328" i="2"/>
  <c r="AK328" i="2" s="1"/>
  <c r="AL327" i="2"/>
  <c r="AM327" i="2" s="1"/>
  <c r="BD326" i="2"/>
  <c r="Z301" i="2"/>
  <c r="AA300" i="2"/>
  <c r="AL293" i="2"/>
  <c r="AM293" i="2" s="1"/>
  <c r="BD292" i="2"/>
  <c r="AJ294" i="2"/>
  <c r="AK294" i="2" s="1"/>
  <c r="AL289" i="2"/>
  <c r="AM289" i="2" s="1"/>
  <c r="BD288" i="2"/>
  <c r="AJ290" i="2"/>
  <c r="AK290" i="2" s="1"/>
  <c r="AL281" i="2"/>
  <c r="AM281" i="2" s="1"/>
  <c r="BD280" i="2"/>
  <c r="AJ282" i="2"/>
  <c r="AK282" i="2" s="1"/>
  <c r="AJ292" i="2"/>
  <c r="AK292" i="2" s="1"/>
  <c r="AL291" i="2"/>
  <c r="AM291" i="2" s="1"/>
  <c r="BD290" i="2"/>
  <c r="Z271" i="2"/>
  <c r="AA270" i="2"/>
  <c r="AL259" i="2"/>
  <c r="AM259" i="2" s="1"/>
  <c r="BD258" i="2"/>
  <c r="AJ260" i="2"/>
  <c r="AK260" i="2" s="1"/>
  <c r="Z220" i="2"/>
  <c r="AA219" i="2"/>
  <c r="AL212" i="2"/>
  <c r="AM212" i="2" s="1"/>
  <c r="BD211" i="2"/>
  <c r="AJ213" i="2"/>
  <c r="AK213" i="2" s="1"/>
  <c r="AJ192" i="2"/>
  <c r="AK192" i="2" s="1"/>
  <c r="AL191" i="2"/>
  <c r="AM191" i="2" s="1"/>
  <c r="BK191" i="2" s="1"/>
  <c r="BD190" i="2"/>
  <c r="AL216" i="2"/>
  <c r="AM216" i="2" s="1"/>
  <c r="BD215" i="2"/>
  <c r="AJ217" i="2"/>
  <c r="AK217" i="2" s="1"/>
  <c r="Z183" i="2"/>
  <c r="AA182" i="2"/>
  <c r="Z130" i="2"/>
  <c r="AA129" i="2"/>
  <c r="Z119" i="2"/>
  <c r="AA118" i="2"/>
  <c r="AJ169" i="2"/>
  <c r="AK169" i="2" s="1"/>
  <c r="AL168" i="2"/>
  <c r="AM168" i="2" s="1"/>
  <c r="BD167" i="2"/>
  <c r="Z131" i="2"/>
  <c r="AA130" i="2"/>
  <c r="AL114" i="2"/>
  <c r="AM114" i="2" s="1"/>
  <c r="BD113" i="2"/>
  <c r="AJ115" i="2"/>
  <c r="AK115" i="2" s="1"/>
  <c r="Z104" i="2"/>
  <c r="AA103" i="2"/>
  <c r="Z99" i="2"/>
  <c r="AA98" i="2"/>
  <c r="AL113" i="2"/>
  <c r="AM113" i="2" s="1"/>
  <c r="BD112" i="2"/>
  <c r="AJ114" i="2"/>
  <c r="AK114" i="2" s="1"/>
  <c r="AJ79" i="2"/>
  <c r="AK79" i="2" s="1"/>
  <c r="AL78" i="2"/>
  <c r="AM78" i="2" s="1"/>
  <c r="BK78" i="2" s="1"/>
  <c r="BD77" i="2"/>
  <c r="AA47" i="2"/>
  <c r="Z48" i="2"/>
  <c r="AA24" i="2"/>
  <c r="Z25" i="2"/>
  <c r="Z14" i="2"/>
  <c r="AA13" i="2"/>
  <c r="Z20" i="2"/>
  <c r="AA19" i="2"/>
  <c r="AJ17" i="2"/>
  <c r="AK17" i="2" s="1"/>
  <c r="BD15" i="2"/>
  <c r="AL16" i="2"/>
  <c r="AM16" i="2" s="1"/>
  <c r="Z45" i="2"/>
  <c r="AA44" i="2"/>
  <c r="Z21" i="2"/>
  <c r="AA20" i="2"/>
  <c r="Z30" i="2"/>
  <c r="AA29" i="2"/>
  <c r="Z46" i="2"/>
  <c r="AA45" i="2"/>
  <c r="Z22" i="2"/>
  <c r="AA21" i="2"/>
  <c r="Z31" i="2"/>
  <c r="AA30" i="2"/>
  <c r="Z47" i="2"/>
  <c r="AA46" i="2"/>
  <c r="Z68" i="2"/>
  <c r="AA67" i="2"/>
  <c r="Z61" i="2"/>
  <c r="AA60" i="2"/>
  <c r="Z77" i="2"/>
  <c r="AA76" i="2"/>
  <c r="Z93" i="2"/>
  <c r="AA92" i="2"/>
  <c r="Z109" i="2"/>
  <c r="AA108" i="2"/>
  <c r="Z147" i="2"/>
  <c r="AA146" i="2"/>
  <c r="Z163" i="2"/>
  <c r="AA162" i="2"/>
  <c r="Z120" i="2"/>
  <c r="AA119" i="2"/>
  <c r="Z136" i="2"/>
  <c r="AA135" i="2"/>
  <c r="Z152" i="2"/>
  <c r="AA151" i="2"/>
  <c r="Z168" i="2"/>
  <c r="AA167" i="2"/>
  <c r="Z145" i="2"/>
  <c r="AA144" i="2"/>
  <c r="Z161" i="2"/>
  <c r="AA160" i="2"/>
  <c r="AJ174" i="2"/>
  <c r="AK174" i="2" s="1"/>
  <c r="AL173" i="2"/>
  <c r="AM173" i="2" s="1"/>
  <c r="BD172" i="2"/>
  <c r="Z225" i="2"/>
  <c r="AA224" i="2"/>
  <c r="Z186" i="2"/>
  <c r="AA185" i="2"/>
  <c r="Z202" i="2"/>
  <c r="AA201" i="2"/>
  <c r="Z218" i="2"/>
  <c r="AA217" i="2"/>
  <c r="Z215" i="2"/>
  <c r="AA214" i="2"/>
  <c r="AJ228" i="2"/>
  <c r="AK228" i="2" s="1"/>
  <c r="AL227" i="2"/>
  <c r="AM227" i="2" s="1"/>
  <c r="BD226" i="2"/>
  <c r="Z259" i="2"/>
  <c r="AA258" i="2"/>
  <c r="Z240" i="2"/>
  <c r="AA239" i="2"/>
  <c r="Z256" i="2"/>
  <c r="AA255" i="2"/>
  <c r="Z249" i="2"/>
  <c r="AA248" i="2"/>
  <c r="AL261" i="2"/>
  <c r="AM261" i="2" s="1"/>
  <c r="AJ262" i="2"/>
  <c r="AK262" i="2" s="1"/>
  <c r="BD260" i="2"/>
  <c r="Z274" i="2"/>
  <c r="AA273" i="2"/>
  <c r="Z295" i="2"/>
  <c r="AA294" i="2"/>
  <c r="Z299" i="2"/>
  <c r="AA298" i="2"/>
  <c r="Z319" i="2"/>
  <c r="AA318" i="2"/>
  <c r="Z326" i="2"/>
  <c r="AA325" i="2"/>
  <c r="AJ336" i="2"/>
  <c r="AK336" i="2" s="1"/>
  <c r="AL335" i="2"/>
  <c r="AM335" i="2" s="1"/>
  <c r="BD334" i="2"/>
  <c r="Z344" i="2"/>
  <c r="AA343" i="2"/>
  <c r="AJ354" i="2"/>
  <c r="AK354" i="2" s="1"/>
  <c r="AL353" i="2"/>
  <c r="AM353" i="2" s="1"/>
  <c r="BF353" i="2" s="1"/>
  <c r="BD352" i="2"/>
  <c r="AJ364" i="2"/>
  <c r="AK364" i="2" s="1"/>
  <c r="AL363" i="2"/>
  <c r="AM363" i="2" s="1"/>
  <c r="BD362" i="2"/>
  <c r="Z373" i="2"/>
  <c r="AA372" i="2"/>
  <c r="Z380" i="2"/>
  <c r="AA379" i="2"/>
  <c r="BJ280" i="2"/>
  <c r="BN280" i="2"/>
  <c r="BF280" i="2"/>
  <c r="AL194" i="2"/>
  <c r="AM194" i="2" s="1"/>
  <c r="BN194" i="2" s="1"/>
  <c r="BD193" i="2"/>
  <c r="AJ195" i="2"/>
  <c r="AK195" i="2" s="1"/>
  <c r="BH77" i="2"/>
  <c r="BO83" i="2"/>
  <c r="BG83" i="2"/>
  <c r="BK83" i="2"/>
  <c r="BK275" i="2"/>
  <c r="BO275" i="2"/>
  <c r="BG275" i="2"/>
  <c r="BL184" i="2"/>
  <c r="BP184" i="2"/>
  <c r="BH184" i="2"/>
  <c r="BF126" i="2"/>
  <c r="BJ126" i="2"/>
  <c r="BN126" i="2"/>
  <c r="BN110" i="2"/>
  <c r="BF110" i="2"/>
  <c r="BJ110" i="2"/>
  <c r="BI353" i="2"/>
  <c r="BO353" i="2"/>
  <c r="BF346" i="2"/>
  <c r="BJ346" i="2"/>
  <c r="BN346" i="2"/>
  <c r="BH74" i="2"/>
  <c r="BL74" i="2"/>
  <c r="BP74" i="2"/>
  <c r="BH79" i="2"/>
  <c r="BL79" i="2"/>
  <c r="BP79" i="2"/>
  <c r="BH67" i="2"/>
  <c r="BL67" i="2"/>
  <c r="BP67" i="2"/>
  <c r="BI8" i="2"/>
  <c r="BJ8" i="2"/>
  <c r="BN8" i="2"/>
  <c r="BO198" i="2"/>
  <c r="BP236" i="2"/>
  <c r="BP283" i="2"/>
  <c r="BH283" i="2"/>
  <c r="BL283" i="2"/>
  <c r="BH360" i="2"/>
  <c r="BE360" i="2"/>
  <c r="BL360" i="2"/>
  <c r="BL180" i="2"/>
  <c r="BP180" i="2"/>
  <c r="BH180" i="2"/>
  <c r="BL191" i="2"/>
  <c r="BP191" i="2"/>
  <c r="BH191" i="2"/>
  <c r="AL57" i="2"/>
  <c r="AM57" i="2" s="1"/>
  <c r="BF57" i="2" s="1"/>
  <c r="BD56" i="2"/>
  <c r="AJ58" i="2"/>
  <c r="AK58" i="2" s="1"/>
  <c r="BK106" i="2"/>
  <c r="BO106" i="2"/>
  <c r="BG106" i="2"/>
  <c r="BE78" i="2"/>
  <c r="AL385" i="2"/>
  <c r="AM385" i="2" s="1"/>
  <c r="BK385" i="2" s="1"/>
  <c r="BD384" i="2"/>
  <c r="AJ386" i="2"/>
  <c r="AK386" i="2" s="1"/>
  <c r="BH324" i="2"/>
  <c r="BL324" i="2"/>
  <c r="BP324" i="2"/>
  <c r="BE309" i="2"/>
  <c r="BI309" i="2"/>
  <c r="BM309" i="2"/>
  <c r="AL85" i="2"/>
  <c r="AM85" i="2" s="1"/>
  <c r="BF85" i="2" s="1"/>
  <c r="BD84" i="2"/>
  <c r="AJ86" i="2"/>
  <c r="AK86" i="2" s="1"/>
  <c r="BO69" i="2"/>
  <c r="BE344" i="2"/>
  <c r="BM266" i="2"/>
  <c r="BI198" i="2"/>
  <c r="BK128" i="2"/>
  <c r="BH130" i="2"/>
  <c r="BQ130" i="2" s="1"/>
  <c r="BT130" i="2" s="1"/>
  <c r="BU130" i="2" s="1"/>
  <c r="BV130" i="2" s="1"/>
  <c r="BW130" i="2" s="1"/>
  <c r="BL130" i="2"/>
  <c r="BP130" i="2"/>
  <c r="AL65" i="2"/>
  <c r="AM65" i="2" s="1"/>
  <c r="BO65" i="2" s="1"/>
  <c r="BQ65" i="2" s="1"/>
  <c r="BT65" i="2" s="1"/>
  <c r="BU65" i="2" s="1"/>
  <c r="BV65" i="2" s="1"/>
  <c r="BW65" i="2" s="1"/>
  <c r="BD64" i="2"/>
  <c r="AJ66" i="2"/>
  <c r="AK66" i="2" s="1"/>
  <c r="BN71" i="2"/>
  <c r="BF71" i="2"/>
  <c r="BJ71" i="2"/>
  <c r="BH322" i="2"/>
  <c r="BG311" i="2"/>
  <c r="BJ236" i="2"/>
  <c r="BJ194" i="2"/>
  <c r="BH124" i="2"/>
  <c r="BO195" i="2"/>
  <c r="BG195" i="2"/>
  <c r="BK195" i="2"/>
  <c r="BQ195" i="2" s="1"/>
  <c r="BT195" i="2" s="1"/>
  <c r="BU195" i="2" s="1"/>
  <c r="BV195" i="2" s="1"/>
  <c r="BW195" i="2" s="1"/>
  <c r="BO77" i="2"/>
  <c r="BK61" i="2"/>
  <c r="BJ98" i="2"/>
  <c r="BN98" i="2"/>
  <c r="BF98" i="2"/>
  <c r="BE370" i="2"/>
  <c r="BF370" i="2"/>
  <c r="BL370" i="2"/>
  <c r="BF352" i="2"/>
  <c r="BJ352" i="2"/>
  <c r="BO352" i="2"/>
  <c r="BF341" i="2"/>
  <c r="BJ341" i="2"/>
  <c r="BN341" i="2"/>
  <c r="BL313" i="2"/>
  <c r="BJ313" i="2"/>
  <c r="BH313" i="2"/>
  <c r="AL206" i="2"/>
  <c r="AM206" i="2" s="1"/>
  <c r="BD205" i="2"/>
  <c r="AJ207" i="2"/>
  <c r="AK207" i="2" s="1"/>
  <c r="BP175" i="2"/>
  <c r="BF122" i="2"/>
  <c r="BJ122" i="2"/>
  <c r="BN122" i="2"/>
  <c r="BI105" i="2"/>
  <c r="BN57" i="2"/>
  <c r="AJ366" i="2"/>
  <c r="AK366" i="2" s="1"/>
  <c r="AL365" i="2"/>
  <c r="AM365" i="2" s="1"/>
  <c r="BD364" i="2"/>
  <c r="BI355" i="2"/>
  <c r="BF321" i="2"/>
  <c r="BJ321" i="2"/>
  <c r="BN321" i="2"/>
  <c r="BH286" i="2"/>
  <c r="BG268" i="2"/>
  <c r="BK268" i="2"/>
  <c r="BO268" i="2"/>
  <c r="BG267" i="2"/>
  <c r="BK267" i="2"/>
  <c r="BO267" i="2"/>
  <c r="BG202" i="2"/>
  <c r="BG179" i="2"/>
  <c r="BK179" i="2"/>
  <c r="BO179" i="2"/>
  <c r="BG121" i="2"/>
  <c r="BK121" i="2"/>
  <c r="BO121" i="2"/>
  <c r="BJ69" i="2"/>
  <c r="BF66" i="2"/>
  <c r="BJ66" i="2"/>
  <c r="BN66" i="2"/>
  <c r="BE94" i="2"/>
  <c r="BQ94" i="2" s="1"/>
  <c r="BT94" i="2" s="1"/>
  <c r="BU94" i="2" s="1"/>
  <c r="BV94" i="2" s="1"/>
  <c r="BW94" i="2" s="1"/>
  <c r="BI94" i="2"/>
  <c r="BM94" i="2"/>
  <c r="AL351" i="2"/>
  <c r="AM351" i="2" s="1"/>
  <c r="BD350" i="2"/>
  <c r="AJ352" i="2"/>
  <c r="AK352" i="2" s="1"/>
  <c r="BJ266" i="2"/>
  <c r="BF198" i="2"/>
  <c r="AL182" i="2"/>
  <c r="AM182" i="2" s="1"/>
  <c r="BD181" i="2"/>
  <c r="AJ183" i="2"/>
  <c r="AK183" i="2" s="1"/>
  <c r="BH97" i="2"/>
  <c r="BM65" i="2"/>
  <c r="BE58" i="2"/>
  <c r="BI58" i="2"/>
  <c r="BM58" i="2"/>
  <c r="AL340" i="2"/>
  <c r="AM340" i="2" s="1"/>
  <c r="BD339" i="2"/>
  <c r="AJ341" i="2"/>
  <c r="AK341" i="2" s="1"/>
  <c r="BF317" i="2"/>
  <c r="BE317" i="2"/>
  <c r="BK317" i="2"/>
  <c r="BH236" i="2"/>
  <c r="BO238" i="2"/>
  <c r="BG238" i="2"/>
  <c r="BK238" i="2"/>
  <c r="BM199" i="2"/>
  <c r="BE199" i="2"/>
  <c r="BI199" i="2"/>
  <c r="BJ77" i="2"/>
  <c r="BF61" i="2"/>
  <c r="BL379" i="2"/>
  <c r="BP379" i="2"/>
  <c r="BH379" i="2"/>
  <c r="BQ379" i="2" s="1"/>
  <c r="BT379" i="2" s="1"/>
  <c r="BU379" i="2" s="1"/>
  <c r="BV379" i="2" s="1"/>
  <c r="BW379" i="2" s="1"/>
  <c r="BP368" i="2"/>
  <c r="BK175" i="2"/>
  <c r="BI129" i="2"/>
  <c r="BM129" i="2"/>
  <c r="BE129" i="2"/>
  <c r="BG105" i="2"/>
  <c r="BP73" i="2"/>
  <c r="BL57" i="2"/>
  <c r="BK63" i="2"/>
  <c r="BO63" i="2"/>
  <c r="BG63" i="2"/>
  <c r="BH355" i="2"/>
  <c r="BP303" i="2"/>
  <c r="BL320" i="2"/>
  <c r="BP320" i="2"/>
  <c r="BQ320" i="2" s="1"/>
  <c r="BT320" i="2" s="1"/>
  <c r="BU320" i="2" s="1"/>
  <c r="BV320" i="2" s="1"/>
  <c r="BW320" i="2" s="1"/>
  <c r="BM270" i="2"/>
  <c r="BE111" i="2"/>
  <c r="BL111" i="2"/>
  <c r="BP111" i="2"/>
  <c r="BQ111" i="2" s="1"/>
  <c r="BT111" i="2" s="1"/>
  <c r="BU111" i="2" s="1"/>
  <c r="BV111" i="2" s="1"/>
  <c r="BW111" i="2" s="1"/>
  <c r="BE69" i="2"/>
  <c r="BF87" i="2"/>
  <c r="BJ87" i="2"/>
  <c r="BN87" i="2"/>
  <c r="BH7" i="2"/>
  <c r="BH359" i="2"/>
  <c r="BL359" i="2"/>
  <c r="BP359" i="2"/>
  <c r="AL128" i="2"/>
  <c r="AM128" i="2" s="1"/>
  <c r="BN128" i="2" s="1"/>
  <c r="BD127" i="2"/>
  <c r="AJ129" i="2"/>
  <c r="AK129" i="2" s="1"/>
  <c r="AL97" i="2"/>
  <c r="AM97" i="2" s="1"/>
  <c r="BN97" i="2" s="1"/>
  <c r="BD96" i="2"/>
  <c r="AJ98" i="2"/>
  <c r="AK98" i="2" s="1"/>
  <c r="BG90" i="2"/>
  <c r="BK90" i="2"/>
  <c r="BQ90" i="2" s="1"/>
  <c r="BT90" i="2" s="1"/>
  <c r="BU90" i="2" s="1"/>
  <c r="BV90" i="2" s="1"/>
  <c r="BW90" i="2" s="1"/>
  <c r="BO90" i="2"/>
  <c r="Z374" i="2"/>
  <c r="AA373" i="2"/>
  <c r="AL357" i="2"/>
  <c r="AM357" i="2" s="1"/>
  <c r="BD356" i="2"/>
  <c r="AJ358" i="2"/>
  <c r="AK358" i="2" s="1"/>
  <c r="AL339" i="2"/>
  <c r="AM339" i="2" s="1"/>
  <c r="BD338" i="2"/>
  <c r="AJ340" i="2"/>
  <c r="AK340" i="2" s="1"/>
  <c r="Z321" i="2"/>
  <c r="AA320" i="2"/>
  <c r="AL320" i="2"/>
  <c r="AM320" i="2" s="1"/>
  <c r="BF320" i="2" s="1"/>
  <c r="BD319" i="2"/>
  <c r="AJ321" i="2"/>
  <c r="AK321" i="2" s="1"/>
  <c r="Z312" i="2"/>
  <c r="AA311" i="2"/>
  <c r="AL294" i="2"/>
  <c r="AM294" i="2" s="1"/>
  <c r="BD293" i="2"/>
  <c r="AJ295" i="2"/>
  <c r="AK295" i="2" s="1"/>
  <c r="AJ297" i="2"/>
  <c r="AK297" i="2" s="1"/>
  <c r="AL296" i="2"/>
  <c r="AM296" i="2" s="1"/>
  <c r="BD295" i="2"/>
  <c r="AL284" i="2"/>
  <c r="AM284" i="2" s="1"/>
  <c r="BN284" i="2" s="1"/>
  <c r="BD283" i="2"/>
  <c r="AJ285" i="2"/>
  <c r="AK285" i="2" s="1"/>
  <c r="AL272" i="2"/>
  <c r="AM272" i="2" s="1"/>
  <c r="BJ272" i="2" s="1"/>
  <c r="BD271" i="2"/>
  <c r="AJ273" i="2"/>
  <c r="AK273" i="2" s="1"/>
  <c r="AL246" i="2"/>
  <c r="AM246" i="2" s="1"/>
  <c r="BD245" i="2"/>
  <c r="AJ247" i="2"/>
  <c r="AK247" i="2" s="1"/>
  <c r="AL226" i="2"/>
  <c r="AM226" i="2" s="1"/>
  <c r="BD225" i="2"/>
  <c r="AJ227" i="2"/>
  <c r="AK227" i="2" s="1"/>
  <c r="AJ254" i="2"/>
  <c r="AK254" i="2" s="1"/>
  <c r="AL253" i="2"/>
  <c r="AM253" i="2" s="1"/>
  <c r="BD252" i="2"/>
  <c r="Z184" i="2"/>
  <c r="AA183" i="2"/>
  <c r="AJ224" i="2"/>
  <c r="AK224" i="2" s="1"/>
  <c r="AL223" i="2"/>
  <c r="AM223" i="2" s="1"/>
  <c r="BD222" i="2"/>
  <c r="AL205" i="2"/>
  <c r="AM205" i="2" s="1"/>
  <c r="BD204" i="2"/>
  <c r="AJ206" i="2"/>
  <c r="AK206" i="2" s="1"/>
  <c r="Z173" i="2"/>
  <c r="AA172" i="2"/>
  <c r="AJ170" i="2"/>
  <c r="AK170" i="2" s="1"/>
  <c r="AL169" i="2"/>
  <c r="AM169" i="2" s="1"/>
  <c r="BD168" i="2"/>
  <c r="Z117" i="2"/>
  <c r="AA116" i="2"/>
  <c r="AL127" i="2"/>
  <c r="AM127" i="2" s="1"/>
  <c r="BD126" i="2"/>
  <c r="AJ128" i="2"/>
  <c r="AK128" i="2" s="1"/>
  <c r="Z129" i="2"/>
  <c r="AA128" i="2"/>
  <c r="AL163" i="2"/>
  <c r="AM163" i="2" s="1"/>
  <c r="BD162" i="2"/>
  <c r="AJ164" i="2"/>
  <c r="AK164" i="2" s="1"/>
  <c r="AL107" i="2"/>
  <c r="AM107" i="2" s="1"/>
  <c r="BE107" i="2" s="1"/>
  <c r="BD106" i="2"/>
  <c r="AJ108" i="2"/>
  <c r="AK108" i="2" s="1"/>
  <c r="AA50" i="2"/>
  <c r="Z51" i="2"/>
  <c r="Z62" i="2"/>
  <c r="AA61" i="2"/>
  <c r="Z92" i="2"/>
  <c r="AA91" i="2"/>
  <c r="Z87" i="2"/>
  <c r="AA86" i="2"/>
  <c r="AL53" i="2"/>
  <c r="AM53" i="2" s="1"/>
  <c r="BD52" i="2"/>
  <c r="AJ54" i="2"/>
  <c r="AK54" i="2" s="1"/>
  <c r="AJ49" i="2"/>
  <c r="AK49" i="2" s="1"/>
  <c r="BD47" i="2"/>
  <c r="AL48" i="2"/>
  <c r="AM48" i="2" s="1"/>
  <c r="BD5" i="2"/>
  <c r="AJ7" i="2"/>
  <c r="AK7" i="2" s="1"/>
  <c r="AA15" i="2"/>
  <c r="Z16" i="2"/>
  <c r="AL20" i="2"/>
  <c r="AM20" i="2" s="1"/>
  <c r="BD19" i="2"/>
  <c r="AJ21" i="2"/>
  <c r="AK21" i="2" s="1"/>
  <c r="AJ383" i="2"/>
  <c r="AK383" i="2" s="1"/>
  <c r="AL382" i="2"/>
  <c r="AM382" i="2" s="1"/>
  <c r="BD381" i="2"/>
  <c r="AJ374" i="2"/>
  <c r="AK374" i="2" s="1"/>
  <c r="AL373" i="2"/>
  <c r="AM373" i="2" s="1"/>
  <c r="BD372" i="2"/>
  <c r="AJ365" i="2"/>
  <c r="AK365" i="2" s="1"/>
  <c r="AL364" i="2"/>
  <c r="AM364" i="2" s="1"/>
  <c r="BD363" i="2"/>
  <c r="Z346" i="2"/>
  <c r="AA345" i="2"/>
  <c r="AL334" i="2"/>
  <c r="AM334" i="2" s="1"/>
  <c r="BD333" i="2"/>
  <c r="AJ335" i="2"/>
  <c r="AK335" i="2" s="1"/>
  <c r="Z329" i="2"/>
  <c r="AA328" i="2"/>
  <c r="AL329" i="2"/>
  <c r="AM329" i="2" s="1"/>
  <c r="BD328" i="2"/>
  <c r="AJ330" i="2"/>
  <c r="AK330" i="2" s="1"/>
  <c r="Z304" i="2"/>
  <c r="AA303" i="2"/>
  <c r="AL298" i="2"/>
  <c r="AM298" i="2" s="1"/>
  <c r="BD297" i="2"/>
  <c r="AJ299" i="2"/>
  <c r="AK299" i="2" s="1"/>
  <c r="Z284" i="2"/>
  <c r="AA283" i="2"/>
  <c r="AJ280" i="2"/>
  <c r="AK280" i="2" s="1"/>
  <c r="AL279" i="2"/>
  <c r="AM279" i="2" s="1"/>
  <c r="BD278" i="2"/>
  <c r="AL277" i="2"/>
  <c r="AM277" i="2" s="1"/>
  <c r="BD276" i="2"/>
  <c r="AJ278" i="2"/>
  <c r="AK278" i="2" s="1"/>
  <c r="AL251" i="2"/>
  <c r="AM251" i="2" s="1"/>
  <c r="BD250" i="2"/>
  <c r="AJ252" i="2"/>
  <c r="AK252" i="2" s="1"/>
  <c r="AJ242" i="2"/>
  <c r="AK242" i="2" s="1"/>
  <c r="AL241" i="2"/>
  <c r="AM241" i="2" s="1"/>
  <c r="BD240" i="2"/>
  <c r="AL262" i="2"/>
  <c r="AM262" i="2" s="1"/>
  <c r="BD261" i="2"/>
  <c r="AJ263" i="2"/>
  <c r="AK263" i="2" s="1"/>
  <c r="Z233" i="2"/>
  <c r="AA232" i="2"/>
  <c r="Z180" i="2"/>
  <c r="AA179" i="2"/>
  <c r="AL188" i="2"/>
  <c r="AM188" i="2" s="1"/>
  <c r="BD187" i="2"/>
  <c r="AJ189" i="2"/>
  <c r="AK189" i="2" s="1"/>
  <c r="AJ208" i="2"/>
  <c r="AK208" i="2" s="1"/>
  <c r="AL207" i="2"/>
  <c r="AM207" i="2" s="1"/>
  <c r="BD206" i="2"/>
  <c r="AL192" i="2"/>
  <c r="AM192" i="2" s="1"/>
  <c r="BD191" i="2"/>
  <c r="AJ193" i="2"/>
  <c r="AK193" i="2" s="1"/>
  <c r="AJ212" i="2"/>
  <c r="AK212" i="2" s="1"/>
  <c r="AL211" i="2"/>
  <c r="AM211" i="2" s="1"/>
  <c r="BD210" i="2"/>
  <c r="Z170" i="2"/>
  <c r="AA169" i="2"/>
  <c r="Z143" i="2"/>
  <c r="AA142" i="2"/>
  <c r="AL146" i="2"/>
  <c r="AM146" i="2" s="1"/>
  <c r="BD145" i="2"/>
  <c r="AJ147" i="2"/>
  <c r="AK147" i="2" s="1"/>
  <c r="AJ158" i="2"/>
  <c r="AK158" i="2" s="1"/>
  <c r="AL157" i="2"/>
  <c r="AM157" i="2" s="1"/>
  <c r="BD156" i="2"/>
  <c r="AJ118" i="2"/>
  <c r="AK118" i="2" s="1"/>
  <c r="AL117" i="2"/>
  <c r="AM117" i="2" s="1"/>
  <c r="BG117" i="2" s="1"/>
  <c r="BD116" i="2"/>
  <c r="AL134" i="2"/>
  <c r="AM134" i="2" s="1"/>
  <c r="BD133" i="2"/>
  <c r="AJ135" i="2"/>
  <c r="AK135" i="2" s="1"/>
  <c r="Z98" i="2"/>
  <c r="AA97" i="2"/>
  <c r="Z80" i="2"/>
  <c r="AA79" i="2"/>
  <c r="Z86" i="2"/>
  <c r="AA85" i="2"/>
  <c r="AJ103" i="2"/>
  <c r="AK103" i="2" s="1"/>
  <c r="AL102" i="2"/>
  <c r="AM102" i="2" s="1"/>
  <c r="BF102" i="2" s="1"/>
  <c r="BD101" i="2"/>
  <c r="AJ83" i="2"/>
  <c r="AK83" i="2" s="1"/>
  <c r="AL82" i="2"/>
  <c r="AM82" i="2" s="1"/>
  <c r="BF82" i="2" s="1"/>
  <c r="BD81" i="2"/>
  <c r="Z83" i="2"/>
  <c r="AA82" i="2"/>
  <c r="Z40" i="2"/>
  <c r="AA39" i="2"/>
  <c r="AL46" i="2"/>
  <c r="AM46" i="2" s="1"/>
  <c r="BD45" i="2"/>
  <c r="AJ47" i="2"/>
  <c r="AK47" i="2" s="1"/>
  <c r="AJ50" i="2"/>
  <c r="AK50" i="2" s="1"/>
  <c r="AL49" i="2"/>
  <c r="AM49" i="2" s="1"/>
  <c r="BD48" i="2"/>
  <c r="AJ16" i="2"/>
  <c r="AK16" i="2" s="1"/>
  <c r="BD14" i="2"/>
  <c r="AL15" i="2"/>
  <c r="AM15" i="2" s="1"/>
  <c r="AA380" i="2"/>
  <c r="Z381" i="2"/>
  <c r="Z369" i="2"/>
  <c r="AA368" i="2"/>
  <c r="AJ346" i="2"/>
  <c r="AK346" i="2" s="1"/>
  <c r="AL345" i="2"/>
  <c r="AM345" i="2" s="1"/>
  <c r="BL345" i="2" s="1"/>
  <c r="BD344" i="2"/>
  <c r="Z339" i="2"/>
  <c r="AA338" i="2"/>
  <c r="Z325" i="2"/>
  <c r="AA324" i="2"/>
  <c r="AJ301" i="2"/>
  <c r="AK301" i="2" s="1"/>
  <c r="AL300" i="2"/>
  <c r="AM300" i="2" s="1"/>
  <c r="BD299" i="2"/>
  <c r="AJ315" i="2"/>
  <c r="AK315" i="2" s="1"/>
  <c r="AL314" i="2"/>
  <c r="AM314" i="2" s="1"/>
  <c r="BD313" i="2"/>
  <c r="AL288" i="2"/>
  <c r="AM288" i="2" s="1"/>
  <c r="BK288" i="2" s="1"/>
  <c r="BD287" i="2"/>
  <c r="AJ289" i="2"/>
  <c r="AK289" i="2" s="1"/>
  <c r="AL260" i="2"/>
  <c r="AM260" i="2" s="1"/>
  <c r="BD259" i="2"/>
  <c r="AJ261" i="2"/>
  <c r="AK261" i="2" s="1"/>
  <c r="Z279" i="2"/>
  <c r="AA278" i="2"/>
  <c r="AL254" i="2"/>
  <c r="AM254" i="2" s="1"/>
  <c r="BD253" i="2"/>
  <c r="AJ255" i="2"/>
  <c r="AK255" i="2" s="1"/>
  <c r="AJ259" i="2"/>
  <c r="AK259" i="2" s="1"/>
  <c r="AL258" i="2"/>
  <c r="AM258" i="2" s="1"/>
  <c r="BD257" i="2"/>
  <c r="AJ246" i="2"/>
  <c r="AK246" i="2" s="1"/>
  <c r="AL245" i="2"/>
  <c r="AM245" i="2" s="1"/>
  <c r="BD244" i="2"/>
  <c r="Z192" i="2"/>
  <c r="AA191" i="2"/>
  <c r="AL218" i="2"/>
  <c r="AM218" i="2" s="1"/>
  <c r="BD217" i="2"/>
  <c r="AJ219" i="2"/>
  <c r="AK219" i="2" s="1"/>
  <c r="Z187" i="2"/>
  <c r="AA186" i="2"/>
  <c r="AL181" i="2"/>
  <c r="AM181" i="2" s="1"/>
  <c r="BD180" i="2"/>
  <c r="AJ182" i="2"/>
  <c r="AK182" i="2" s="1"/>
  <c r="AJ204" i="2"/>
  <c r="AK204" i="2" s="1"/>
  <c r="AL203" i="2"/>
  <c r="AM203" i="2" s="1"/>
  <c r="BD202" i="2"/>
  <c r="Z166" i="2"/>
  <c r="AA165" i="2"/>
  <c r="AL164" i="2"/>
  <c r="AM164" i="2" s="1"/>
  <c r="BD163" i="2"/>
  <c r="AJ165" i="2"/>
  <c r="AK165" i="2" s="1"/>
  <c r="Z127" i="2"/>
  <c r="AA126" i="2"/>
  <c r="AL135" i="2"/>
  <c r="AM135" i="2" s="1"/>
  <c r="BD134" i="2"/>
  <c r="AJ136" i="2"/>
  <c r="AK136" i="2" s="1"/>
  <c r="AL155" i="2"/>
  <c r="AM155" i="2" s="1"/>
  <c r="BD154" i="2"/>
  <c r="AJ156" i="2"/>
  <c r="AK156" i="2" s="1"/>
  <c r="Z59" i="2"/>
  <c r="AA58" i="2"/>
  <c r="AL91" i="2"/>
  <c r="AM91" i="2" s="1"/>
  <c r="BD90" i="2"/>
  <c r="AJ92" i="2"/>
  <c r="AK92" i="2" s="1"/>
  <c r="AL60" i="2"/>
  <c r="AM60" i="2" s="1"/>
  <c r="BD59" i="2"/>
  <c r="AJ61" i="2"/>
  <c r="AK61" i="2" s="1"/>
  <c r="Z108" i="2"/>
  <c r="AA107" i="2"/>
  <c r="AL75" i="2"/>
  <c r="AM75" i="2" s="1"/>
  <c r="BD74" i="2"/>
  <c r="AJ76" i="2"/>
  <c r="AK76" i="2" s="1"/>
  <c r="AJ55" i="2"/>
  <c r="AK55" i="2" s="1"/>
  <c r="AL54" i="2"/>
  <c r="AM54" i="2" s="1"/>
  <c r="BD53" i="2"/>
  <c r="AJ40" i="2"/>
  <c r="AK40" i="2" s="1"/>
  <c r="AL39" i="2"/>
  <c r="AM39" i="2" s="1"/>
  <c r="BD38" i="2"/>
  <c r="AJ27" i="2"/>
  <c r="AK27" i="2" s="1"/>
  <c r="AL26" i="2"/>
  <c r="AM26" i="2" s="1"/>
  <c r="BD25" i="2"/>
  <c r="Z385" i="2"/>
  <c r="AA384" i="2"/>
  <c r="AL376" i="2"/>
  <c r="AM376" i="2" s="1"/>
  <c r="BD375" i="2"/>
  <c r="AJ377" i="2"/>
  <c r="AK377" i="2" s="1"/>
  <c r="Z370" i="2"/>
  <c r="AA369" i="2"/>
  <c r="AJ370" i="2"/>
  <c r="AK370" i="2" s="1"/>
  <c r="AL369" i="2"/>
  <c r="AM369" i="2" s="1"/>
  <c r="BF369" i="2" s="1"/>
  <c r="BD368" i="2"/>
  <c r="Z361" i="2"/>
  <c r="AA360" i="2"/>
  <c r="AA333" i="2"/>
  <c r="Z334" i="2"/>
  <c r="Z328" i="2"/>
  <c r="AA327" i="2"/>
  <c r="Z323" i="2"/>
  <c r="AA322" i="2"/>
  <c r="AA292" i="2"/>
  <c r="Z293" i="2"/>
  <c r="Z310" i="2"/>
  <c r="AA309" i="2"/>
  <c r="Z289" i="2"/>
  <c r="AA288" i="2"/>
  <c r="AL265" i="2"/>
  <c r="AM265" i="2" s="1"/>
  <c r="BD264" i="2"/>
  <c r="AJ266" i="2"/>
  <c r="AK266" i="2" s="1"/>
  <c r="AL269" i="2"/>
  <c r="AM269" i="2" s="1"/>
  <c r="BD268" i="2"/>
  <c r="AJ270" i="2"/>
  <c r="AK270" i="2" s="1"/>
  <c r="Z265" i="2"/>
  <c r="AA264" i="2"/>
  <c r="AL243" i="2"/>
  <c r="AM243" i="2" s="1"/>
  <c r="BD242" i="2"/>
  <c r="AJ244" i="2"/>
  <c r="AK244" i="2" s="1"/>
  <c r="Z204" i="2"/>
  <c r="AA203" i="2"/>
  <c r="AL196" i="2"/>
  <c r="AM196" i="2" s="1"/>
  <c r="BG196" i="2" s="1"/>
  <c r="BD195" i="2"/>
  <c r="AJ197" i="2"/>
  <c r="AK197" i="2" s="1"/>
  <c r="AJ184" i="2"/>
  <c r="AK184" i="2" s="1"/>
  <c r="AL183" i="2"/>
  <c r="AM183" i="2" s="1"/>
  <c r="BN183" i="2" s="1"/>
  <c r="BD182" i="2"/>
  <c r="AL200" i="2"/>
  <c r="AM200" i="2" s="1"/>
  <c r="BO200" i="2" s="1"/>
  <c r="BD199" i="2"/>
  <c r="AJ201" i="2"/>
  <c r="AK201" i="2" s="1"/>
  <c r="Z177" i="2"/>
  <c r="AA176" i="2"/>
  <c r="AL132" i="2"/>
  <c r="AM132" i="2" s="1"/>
  <c r="BD131" i="2"/>
  <c r="AJ133" i="2"/>
  <c r="AK133" i="2" s="1"/>
  <c r="AL154" i="2"/>
  <c r="AM154" i="2" s="1"/>
  <c r="BD153" i="2"/>
  <c r="AJ155" i="2"/>
  <c r="AK155" i="2" s="1"/>
  <c r="AJ166" i="2"/>
  <c r="AK166" i="2" s="1"/>
  <c r="AL165" i="2"/>
  <c r="AM165" i="2" s="1"/>
  <c r="BD164" i="2"/>
  <c r="AL158" i="2"/>
  <c r="AM158" i="2" s="1"/>
  <c r="BD157" i="2"/>
  <c r="AJ159" i="2"/>
  <c r="AK159" i="2" s="1"/>
  <c r="Z71" i="2"/>
  <c r="AA70" i="2"/>
  <c r="AL99" i="2"/>
  <c r="AM99" i="2" s="1"/>
  <c r="BN99" i="2" s="1"/>
  <c r="BQ99" i="2" s="1"/>
  <c r="BT99" i="2" s="1"/>
  <c r="BU99" i="2" s="1"/>
  <c r="BV99" i="2" s="1"/>
  <c r="BW99" i="2" s="1"/>
  <c r="BD98" i="2"/>
  <c r="AJ100" i="2"/>
  <c r="AK100" i="2" s="1"/>
  <c r="Z78" i="2"/>
  <c r="AA77" i="2"/>
  <c r="AL104" i="2"/>
  <c r="AM104" i="2" s="1"/>
  <c r="BD103" i="2"/>
  <c r="AJ105" i="2"/>
  <c r="AK105" i="2" s="1"/>
  <c r="AL64" i="2"/>
  <c r="AM64" i="2" s="1"/>
  <c r="BD63" i="2"/>
  <c r="AJ65" i="2"/>
  <c r="AK65" i="2" s="1"/>
  <c r="Z32" i="2"/>
  <c r="AA31" i="2"/>
  <c r="Z12" i="2"/>
  <c r="AA11" i="2"/>
  <c r="AL38" i="2"/>
  <c r="AM38" i="2" s="1"/>
  <c r="BD37" i="2"/>
  <c r="AJ39" i="2"/>
  <c r="AK39" i="2" s="1"/>
  <c r="AJ14" i="2"/>
  <c r="AK14" i="2" s="1"/>
  <c r="AL13" i="2"/>
  <c r="AM13" i="2" s="1"/>
  <c r="BD12" i="2"/>
  <c r="Z49" i="2"/>
  <c r="AA48" i="2"/>
  <c r="Z24" i="2"/>
  <c r="AA23" i="2"/>
  <c r="Z34" i="2"/>
  <c r="AA33" i="2"/>
  <c r="Z9" i="2"/>
  <c r="AA8" i="2"/>
  <c r="BD22" i="2"/>
  <c r="AJ24" i="2"/>
  <c r="AK24" i="2" s="1"/>
  <c r="AL23" i="2"/>
  <c r="AM23" i="2" s="1"/>
  <c r="Z35" i="2"/>
  <c r="AA34" i="2"/>
  <c r="Z50" i="2"/>
  <c r="AA49" i="2"/>
  <c r="Z72" i="2"/>
  <c r="AA71" i="2"/>
  <c r="Z65" i="2"/>
  <c r="AA64" i="2"/>
  <c r="Z81" i="2"/>
  <c r="AA80" i="2"/>
  <c r="Z97" i="2"/>
  <c r="AA96" i="2"/>
  <c r="Z112" i="2"/>
  <c r="AA111" i="2"/>
  <c r="Z151" i="2"/>
  <c r="AA150" i="2"/>
  <c r="Z167" i="2"/>
  <c r="AA166" i="2"/>
  <c r="Z124" i="2"/>
  <c r="AA123" i="2"/>
  <c r="Z140" i="2"/>
  <c r="AA139" i="2"/>
  <c r="Z156" i="2"/>
  <c r="AA155" i="2"/>
  <c r="Z133" i="2"/>
  <c r="AA132" i="2"/>
  <c r="Z149" i="2"/>
  <c r="AA148" i="2"/>
  <c r="Z165" i="2"/>
  <c r="AA164" i="2"/>
  <c r="Z189" i="2"/>
  <c r="AA188" i="2"/>
  <c r="Z229" i="2"/>
  <c r="AA228" i="2"/>
  <c r="Z190" i="2"/>
  <c r="AA189" i="2"/>
  <c r="Z206" i="2"/>
  <c r="AA205" i="2"/>
  <c r="Z222" i="2"/>
  <c r="AA221" i="2"/>
  <c r="Z219" i="2"/>
  <c r="AA218" i="2"/>
  <c r="Z239" i="2"/>
  <c r="AA238" i="2"/>
  <c r="Z263" i="2"/>
  <c r="AA262" i="2"/>
  <c r="Z244" i="2"/>
  <c r="AA243" i="2"/>
  <c r="AA259" i="2"/>
  <c r="Z260" i="2"/>
  <c r="Z253" i="2"/>
  <c r="AA252" i="2"/>
  <c r="Z291" i="2"/>
  <c r="AA290" i="2"/>
  <c r="Z278" i="2"/>
  <c r="AA277" i="2"/>
  <c r="Z296" i="2"/>
  <c r="AA295" i="2"/>
  <c r="Z303" i="2"/>
  <c r="AA302" i="2"/>
  <c r="Z300" i="2"/>
  <c r="AA299" i="2"/>
  <c r="Z330" i="2"/>
  <c r="AA329" i="2"/>
  <c r="Z327" i="2"/>
  <c r="AA326" i="2"/>
  <c r="Z348" i="2"/>
  <c r="AA347" i="2"/>
  <c r="Z357" i="2"/>
  <c r="AA356" i="2"/>
  <c r="Z363" i="2"/>
  <c r="AA362" i="2"/>
  <c r="Z368" i="2"/>
  <c r="AA367" i="2"/>
  <c r="AA381" i="2"/>
  <c r="Z382" i="2"/>
  <c r="BO280" i="2"/>
  <c r="BG280" i="2"/>
  <c r="BK280" i="2"/>
  <c r="AL109" i="2"/>
  <c r="AM109" i="2" s="1"/>
  <c r="BN109" i="2" s="1"/>
  <c r="BD108" i="2"/>
  <c r="AJ110" i="2"/>
  <c r="AK110" i="2" s="1"/>
  <c r="BG77" i="2"/>
  <c r="BP83" i="2"/>
  <c r="BH83" i="2"/>
  <c r="BL83" i="2"/>
  <c r="BM369" i="2"/>
  <c r="BN369" i="2"/>
  <c r="BI369" i="2"/>
  <c r="AL274" i="2"/>
  <c r="AM274" i="2" s="1"/>
  <c r="BN274" i="2" s="1"/>
  <c r="BD273" i="2"/>
  <c r="AJ275" i="2"/>
  <c r="AK275" i="2" s="1"/>
  <c r="BL275" i="2"/>
  <c r="BP275" i="2"/>
  <c r="BH275" i="2"/>
  <c r="BQ275" i="2" s="1"/>
  <c r="BT275" i="2" s="1"/>
  <c r="BU275" i="2" s="1"/>
  <c r="BV275" i="2" s="1"/>
  <c r="BW275" i="2" s="1"/>
  <c r="BG190" i="2"/>
  <c r="BH175" i="2"/>
  <c r="BE184" i="2"/>
  <c r="BI184" i="2"/>
  <c r="BM184" i="2"/>
  <c r="BE57" i="2"/>
  <c r="BK126" i="2"/>
  <c r="BO126" i="2"/>
  <c r="BQ126" i="2" s="1"/>
  <c r="BT126" i="2" s="1"/>
  <c r="BU126" i="2" s="1"/>
  <c r="BV126" i="2" s="1"/>
  <c r="BW126" i="2" s="1"/>
  <c r="BG126" i="2"/>
  <c r="BP110" i="2"/>
  <c r="BK110" i="2"/>
  <c r="BH110" i="2"/>
  <c r="BF385" i="2"/>
  <c r="BH353" i="2"/>
  <c r="BP353" i="2"/>
  <c r="BK353" i="2"/>
  <c r="BG346" i="2"/>
  <c r="BK346" i="2"/>
  <c r="BO346" i="2"/>
  <c r="BH85" i="2"/>
  <c r="BF107" i="2"/>
  <c r="BJ107" i="2"/>
  <c r="BN107" i="2"/>
  <c r="BE74" i="2"/>
  <c r="BI74" i="2"/>
  <c r="BM74" i="2"/>
  <c r="BE79" i="2"/>
  <c r="BQ79" i="2" s="1"/>
  <c r="BT79" i="2" s="1"/>
  <c r="BU79" i="2" s="1"/>
  <c r="BV79" i="2" s="1"/>
  <c r="BW79" i="2" s="1"/>
  <c r="BI79" i="2"/>
  <c r="BM79" i="2"/>
  <c r="BE67" i="2"/>
  <c r="BI67" i="2"/>
  <c r="BM67" i="2"/>
  <c r="BE8" i="2"/>
  <c r="BF8" i="2"/>
  <c r="BO8" i="2"/>
  <c r="BM128" i="2"/>
  <c r="BE102" i="2"/>
  <c r="BI102" i="2"/>
  <c r="BM102" i="2"/>
  <c r="AJ338" i="2"/>
  <c r="AK338" i="2" s="1"/>
  <c r="AL337" i="2"/>
  <c r="AM337" i="2" s="1"/>
  <c r="BD336" i="2"/>
  <c r="BO236" i="2"/>
  <c r="BQ236" i="2" s="1"/>
  <c r="BT236" i="2" s="1"/>
  <c r="BU236" i="2" s="1"/>
  <c r="BV236" i="2" s="1"/>
  <c r="BW236" i="2" s="1"/>
  <c r="BM283" i="2"/>
  <c r="BE283" i="2"/>
  <c r="BI283" i="2"/>
  <c r="BO194" i="2"/>
  <c r="BQ194" i="2" s="1"/>
  <c r="BT194" i="2" s="1"/>
  <c r="BU194" i="2" s="1"/>
  <c r="BV194" i="2" s="1"/>
  <c r="BW194" i="2" s="1"/>
  <c r="BM61" i="2"/>
  <c r="AL378" i="2"/>
  <c r="AM378" i="2" s="1"/>
  <c r="BM378" i="2" s="1"/>
  <c r="BD377" i="2"/>
  <c r="AJ379" i="2"/>
  <c r="AK379" i="2" s="1"/>
  <c r="BN360" i="2"/>
  <c r="BF360" i="2"/>
  <c r="BI360" i="2"/>
  <c r="BM274" i="2"/>
  <c r="AL190" i="2"/>
  <c r="AM190" i="2" s="1"/>
  <c r="BF190" i="2" s="1"/>
  <c r="BD189" i="2"/>
  <c r="AJ191" i="2"/>
  <c r="AK191" i="2" s="1"/>
  <c r="BE180" i="2"/>
  <c r="BI180" i="2"/>
  <c r="BM180" i="2"/>
  <c r="BE175" i="2"/>
  <c r="BI191" i="2"/>
  <c r="BM191" i="2"/>
  <c r="BQ191" i="2" s="1"/>
  <c r="BT191" i="2" s="1"/>
  <c r="BU191" i="2" s="1"/>
  <c r="BV191" i="2" s="1"/>
  <c r="BW191" i="2" s="1"/>
  <c r="BE191" i="2"/>
  <c r="BM105" i="2"/>
  <c r="BL106" i="2"/>
  <c r="BP106" i="2"/>
  <c r="BH106" i="2"/>
  <c r="BF78" i="2"/>
  <c r="BJ78" i="2"/>
  <c r="BN78" i="2"/>
  <c r="BP355" i="2"/>
  <c r="BE324" i="2"/>
  <c r="BI324" i="2"/>
  <c r="BM324" i="2"/>
  <c r="BF309" i="2"/>
  <c r="BJ309" i="2"/>
  <c r="BN309" i="2"/>
  <c r="BJ288" i="2"/>
  <c r="BN288" i="2"/>
  <c r="BF288" i="2"/>
  <c r="BG272" i="2"/>
  <c r="BK272" i="2"/>
  <c r="BO272" i="2"/>
  <c r="BF351" i="2"/>
  <c r="BH344" i="2"/>
  <c r="AL282" i="2"/>
  <c r="AM282" i="2" s="1"/>
  <c r="BP282" i="2" s="1"/>
  <c r="BQ282" i="2" s="1"/>
  <c r="BT282" i="2" s="1"/>
  <c r="BU282" i="2" s="1"/>
  <c r="BV282" i="2" s="1"/>
  <c r="BW282" i="2" s="1"/>
  <c r="BD281" i="2"/>
  <c r="AJ283" i="2"/>
  <c r="AK283" i="2" s="1"/>
  <c r="BP266" i="2"/>
  <c r="BQ266" i="2" s="1"/>
  <c r="BT266" i="2" s="1"/>
  <c r="BU266" i="2" s="1"/>
  <c r="BV266" i="2" s="1"/>
  <c r="BW266" i="2" s="1"/>
  <c r="BL198" i="2"/>
  <c r="BG182" i="2"/>
  <c r="BJ128" i="2"/>
  <c r="BM130" i="2"/>
  <c r="BE130" i="2"/>
  <c r="BI130" i="2"/>
  <c r="BN117" i="2"/>
  <c r="BF117" i="2"/>
  <c r="BJ117" i="2"/>
  <c r="BJ97" i="2"/>
  <c r="BE81" i="2"/>
  <c r="BG71" i="2"/>
  <c r="BK71" i="2"/>
  <c r="BO71" i="2"/>
  <c r="BE340" i="2"/>
  <c r="BJ345" i="2"/>
  <c r="BN345" i="2"/>
  <c r="BF345" i="2"/>
  <c r="BG322" i="2"/>
  <c r="BI236" i="2"/>
  <c r="BI194" i="2"/>
  <c r="BP195" i="2"/>
  <c r="BH195" i="2"/>
  <c r="BL195" i="2"/>
  <c r="BN77" i="2"/>
  <c r="BJ61" i="2"/>
  <c r="BO98" i="2"/>
  <c r="BG98" i="2"/>
  <c r="BK98" i="2"/>
  <c r="BP370" i="2"/>
  <c r="BK370" i="2"/>
  <c r="BQ370" i="2" s="1"/>
  <c r="BT370" i="2" s="1"/>
  <c r="BU370" i="2" s="1"/>
  <c r="BV370" i="2" s="1"/>
  <c r="BW370" i="2" s="1"/>
  <c r="BH370" i="2"/>
  <c r="BK352" i="2"/>
  <c r="BM352" i="2"/>
  <c r="BH352" i="2"/>
  <c r="BQ352" i="2" s="1"/>
  <c r="BT352" i="2" s="1"/>
  <c r="BU352" i="2" s="1"/>
  <c r="BV352" i="2" s="1"/>
  <c r="BW352" i="2" s="1"/>
  <c r="BK341" i="2"/>
  <c r="BO341" i="2"/>
  <c r="BG341" i="2"/>
  <c r="BM313" i="2"/>
  <c r="BE313" i="2"/>
  <c r="BI313" i="2"/>
  <c r="BI274" i="2"/>
  <c r="BO190" i="2"/>
  <c r="BO175" i="2"/>
  <c r="BQ175" i="2" s="1"/>
  <c r="BT175" i="2" s="1"/>
  <c r="BU175" i="2" s="1"/>
  <c r="BV175" i="2" s="1"/>
  <c r="BW175" i="2" s="1"/>
  <c r="BF200" i="2"/>
  <c r="BJ200" i="2"/>
  <c r="BN200" i="2"/>
  <c r="BK122" i="2"/>
  <c r="BO122" i="2"/>
  <c r="BG122" i="2"/>
  <c r="BL105" i="2"/>
  <c r="BM57" i="2"/>
  <c r="BP385" i="2"/>
  <c r="BQ385" i="2" s="1"/>
  <c r="BT385" i="2" s="1"/>
  <c r="BU385" i="2" s="1"/>
  <c r="BV385" i="2" s="1"/>
  <c r="BW385" i="2" s="1"/>
  <c r="BL355" i="2"/>
  <c r="BK321" i="2"/>
  <c r="BO321" i="2"/>
  <c r="BQ321" i="2" s="1"/>
  <c r="BT321" i="2" s="1"/>
  <c r="BU321" i="2" s="1"/>
  <c r="BV321" i="2" s="1"/>
  <c r="BW321" i="2" s="1"/>
  <c r="BG321" i="2"/>
  <c r="BG286" i="2"/>
  <c r="BE284" i="2"/>
  <c r="BI284" i="2"/>
  <c r="BM284" i="2"/>
  <c r="BH268" i="2"/>
  <c r="BL268" i="2"/>
  <c r="BP268" i="2"/>
  <c r="BQ268" i="2" s="1"/>
  <c r="BT268" i="2" s="1"/>
  <c r="BU268" i="2" s="1"/>
  <c r="BV268" i="2" s="1"/>
  <c r="BW268" i="2" s="1"/>
  <c r="BH267" i="2"/>
  <c r="BL267" i="2"/>
  <c r="BP267" i="2"/>
  <c r="BQ267" i="2" s="1"/>
  <c r="BT267" i="2" s="1"/>
  <c r="BU267" i="2" s="1"/>
  <c r="BV267" i="2" s="1"/>
  <c r="BW267" i="2" s="1"/>
  <c r="AL186" i="2"/>
  <c r="AM186" i="2" s="1"/>
  <c r="BP186" i="2" s="1"/>
  <c r="BD185" i="2"/>
  <c r="AJ187" i="2"/>
  <c r="AK187" i="2" s="1"/>
  <c r="BH179" i="2"/>
  <c r="BL179" i="2"/>
  <c r="BP179" i="2"/>
  <c r="BH121" i="2"/>
  <c r="BL121" i="2"/>
  <c r="BP121" i="2"/>
  <c r="BM85" i="2"/>
  <c r="BI69" i="2"/>
  <c r="BG66" i="2"/>
  <c r="BK66" i="2"/>
  <c r="BQ66" i="2" s="1"/>
  <c r="BT66" i="2" s="1"/>
  <c r="BU66" i="2" s="1"/>
  <c r="BV66" i="2" s="1"/>
  <c r="BW66" i="2" s="1"/>
  <c r="BO66" i="2"/>
  <c r="BF94" i="2"/>
  <c r="BJ94" i="2"/>
  <c r="BN94" i="2"/>
  <c r="BM282" i="2"/>
  <c r="BI266" i="2"/>
  <c r="BE198" i="2"/>
  <c r="BG128" i="2"/>
  <c r="BG97" i="2"/>
  <c r="BP65" i="2"/>
  <c r="BN58" i="2"/>
  <c r="BF58" i="2"/>
  <c r="BJ58" i="2"/>
  <c r="BE82" i="2"/>
  <c r="BI82" i="2"/>
  <c r="BM82" i="2"/>
  <c r="BJ337" i="2"/>
  <c r="BP317" i="2"/>
  <c r="BQ317" i="2" s="1"/>
  <c r="BT317" i="2" s="1"/>
  <c r="BU317" i="2" s="1"/>
  <c r="BV317" i="2" s="1"/>
  <c r="BW317" i="2" s="1"/>
  <c r="BO317" i="2"/>
  <c r="BL317" i="2"/>
  <c r="BG236" i="2"/>
  <c r="BP238" i="2"/>
  <c r="BQ238" i="2" s="1"/>
  <c r="BT238" i="2" s="1"/>
  <c r="BU238" i="2" s="1"/>
  <c r="BV238" i="2" s="1"/>
  <c r="BW238" i="2" s="1"/>
  <c r="BH238" i="2"/>
  <c r="BL238" i="2"/>
  <c r="BG194" i="2"/>
  <c r="BJ199" i="2"/>
  <c r="BN199" i="2"/>
  <c r="BF199" i="2"/>
  <c r="BM93" i="2"/>
  <c r="BI77" i="2"/>
  <c r="BE61" i="2"/>
  <c r="BI378" i="2"/>
  <c r="BI379" i="2"/>
  <c r="BM379" i="2"/>
  <c r="BE379" i="2"/>
  <c r="BO368" i="2"/>
  <c r="BQ368" i="2" s="1"/>
  <c r="BT368" i="2" s="1"/>
  <c r="BU368" i="2" s="1"/>
  <c r="BV368" i="2" s="1"/>
  <c r="BW368" i="2" s="1"/>
  <c r="BH274" i="2"/>
  <c r="BQ274" i="2" s="1"/>
  <c r="BT274" i="2" s="1"/>
  <c r="BU274" i="2" s="1"/>
  <c r="BV274" i="2" s="1"/>
  <c r="BW274" i="2" s="1"/>
  <c r="BM206" i="2"/>
  <c r="BI190" i="2"/>
  <c r="BF196" i="2"/>
  <c r="BJ196" i="2"/>
  <c r="BN196" i="2"/>
  <c r="BF175" i="2"/>
  <c r="BI183" i="2"/>
  <c r="BM183" i="2"/>
  <c r="BE183" i="2"/>
  <c r="BF129" i="2"/>
  <c r="BJ129" i="2"/>
  <c r="BN129" i="2"/>
  <c r="BF105" i="2"/>
  <c r="AL89" i="2"/>
  <c r="AM89" i="2" s="1"/>
  <c r="BD88" i="2"/>
  <c r="AJ90" i="2"/>
  <c r="AK90" i="2" s="1"/>
  <c r="BO73" i="2"/>
  <c r="BQ73" i="2" s="1"/>
  <c r="BT73" i="2" s="1"/>
  <c r="BU73" i="2" s="1"/>
  <c r="BV73" i="2" s="1"/>
  <c r="BW73" i="2" s="1"/>
  <c r="BK57" i="2"/>
  <c r="BE99" i="2"/>
  <c r="BI99" i="2"/>
  <c r="BM99" i="2"/>
  <c r="BL63" i="2"/>
  <c r="BP63" i="2"/>
  <c r="BH63" i="2"/>
  <c r="BL385" i="2"/>
  <c r="BE365" i="2"/>
  <c r="BG355" i="2"/>
  <c r="AL348" i="2"/>
  <c r="AM348" i="2" s="1"/>
  <c r="BI348" i="2" s="1"/>
  <c r="AJ349" i="2"/>
  <c r="AK349" i="2" s="1"/>
  <c r="BD347" i="2"/>
  <c r="BO303" i="2"/>
  <c r="BQ303" i="2" s="1"/>
  <c r="BT303" i="2" s="1"/>
  <c r="BU303" i="2" s="1"/>
  <c r="BV303" i="2" s="1"/>
  <c r="BW303" i="2" s="1"/>
  <c r="BE320" i="2"/>
  <c r="BI320" i="2"/>
  <c r="BM320" i="2"/>
  <c r="BP270" i="2"/>
  <c r="BM186" i="2"/>
  <c r="BN111" i="2"/>
  <c r="BI111" i="2"/>
  <c r="BM111" i="2"/>
  <c r="BL85" i="2"/>
  <c r="BH69" i="2"/>
  <c r="BG87" i="2"/>
  <c r="BK87" i="2"/>
  <c r="BO87" i="2"/>
  <c r="BQ87" i="2" s="1"/>
  <c r="BT87" i="2" s="1"/>
  <c r="BU87" i="2" s="1"/>
  <c r="BV87" i="2" s="1"/>
  <c r="BW87" i="2" s="1"/>
  <c r="BE7" i="2"/>
  <c r="AJ380" i="3" l="1"/>
  <c r="AK380" i="3" s="1"/>
  <c r="AL379" i="3"/>
  <c r="AM379" i="3" s="1"/>
  <c r="BA380" i="3" s="1"/>
  <c r="BD380" i="3" s="1"/>
  <c r="BE380" i="3" s="1"/>
  <c r="BF380" i="3" s="1"/>
  <c r="BG380" i="3" s="1"/>
  <c r="AJ373" i="3"/>
  <c r="AK373" i="3" s="1"/>
  <c r="AL372" i="3"/>
  <c r="AM372" i="3" s="1"/>
  <c r="BA373" i="3" s="1"/>
  <c r="BD373" i="3" s="1"/>
  <c r="BE373" i="3" s="1"/>
  <c r="BF373" i="3" s="1"/>
  <c r="BG373" i="3" s="1"/>
  <c r="AJ352" i="3"/>
  <c r="AK352" i="3" s="1"/>
  <c r="AL351" i="3"/>
  <c r="AM351" i="3" s="1"/>
  <c r="BA352" i="3" s="1"/>
  <c r="BD352" i="3" s="1"/>
  <c r="BE352" i="3" s="1"/>
  <c r="BF352" i="3" s="1"/>
  <c r="BG352" i="3" s="1"/>
  <c r="AJ331" i="3"/>
  <c r="AK331" i="3" s="1"/>
  <c r="AL330" i="3"/>
  <c r="AM330" i="3" s="1"/>
  <c r="BA331" i="3" s="1"/>
  <c r="BD331" i="3" s="1"/>
  <c r="BE331" i="3" s="1"/>
  <c r="BF331" i="3" s="1"/>
  <c r="BG331" i="3" s="1"/>
  <c r="AJ328" i="3"/>
  <c r="AK328" i="3" s="1"/>
  <c r="AL327" i="3"/>
  <c r="AM327" i="3" s="1"/>
  <c r="BA328" i="3" s="1"/>
  <c r="BD328" i="3" s="1"/>
  <c r="BE328" i="3" s="1"/>
  <c r="BF328" i="3" s="1"/>
  <c r="BG328" i="3" s="1"/>
  <c r="AJ273" i="3"/>
  <c r="AK273" i="3" s="1"/>
  <c r="AL272" i="3"/>
  <c r="AM272" i="3" s="1"/>
  <c r="BA273" i="3" s="1"/>
  <c r="BD273" i="3" s="1"/>
  <c r="BE273" i="3" s="1"/>
  <c r="BF273" i="3" s="1"/>
  <c r="BG273" i="3" s="1"/>
  <c r="AJ280" i="3"/>
  <c r="AK280" i="3" s="1"/>
  <c r="AL279" i="3"/>
  <c r="AM279" i="3" s="1"/>
  <c r="BA280" i="3" s="1"/>
  <c r="BD280" i="3" s="1"/>
  <c r="BE280" i="3" s="1"/>
  <c r="BF280" i="3" s="1"/>
  <c r="BG280" i="3" s="1"/>
  <c r="AJ262" i="3"/>
  <c r="AK262" i="3" s="1"/>
  <c r="AL261" i="3"/>
  <c r="AM261" i="3" s="1"/>
  <c r="BA262" i="3" s="1"/>
  <c r="BD262" i="3" s="1"/>
  <c r="BE262" i="3" s="1"/>
  <c r="BF262" i="3" s="1"/>
  <c r="BG262" i="3" s="1"/>
  <c r="AJ217" i="3"/>
  <c r="AK217" i="3" s="1"/>
  <c r="AL216" i="3"/>
  <c r="AM216" i="3" s="1"/>
  <c r="BA217" i="3" s="1"/>
  <c r="BD217" i="3" s="1"/>
  <c r="BE217" i="3" s="1"/>
  <c r="BF217" i="3" s="1"/>
  <c r="BG217" i="3" s="1"/>
  <c r="AJ185" i="3"/>
  <c r="AK185" i="3" s="1"/>
  <c r="AL184" i="3"/>
  <c r="AM184" i="3" s="1"/>
  <c r="BA185" i="3" s="1"/>
  <c r="BD185" i="3" s="1"/>
  <c r="BE185" i="3" s="1"/>
  <c r="BF185" i="3" s="1"/>
  <c r="BG185" i="3" s="1"/>
  <c r="AJ214" i="3"/>
  <c r="AK214" i="3" s="1"/>
  <c r="AL213" i="3"/>
  <c r="AM213" i="3" s="1"/>
  <c r="BA214" i="3" s="1"/>
  <c r="BD214" i="3" s="1"/>
  <c r="BE214" i="3" s="1"/>
  <c r="BF214" i="3" s="1"/>
  <c r="BG214" i="3" s="1"/>
  <c r="AJ160" i="3"/>
  <c r="AK160" i="3" s="1"/>
  <c r="AL159" i="3"/>
  <c r="AM159" i="3" s="1"/>
  <c r="BA160" i="3" s="1"/>
  <c r="BD160" i="3" s="1"/>
  <c r="BE160" i="3" s="1"/>
  <c r="BF160" i="3" s="1"/>
  <c r="BG160" i="3" s="1"/>
  <c r="AJ64" i="3"/>
  <c r="AK64" i="3" s="1"/>
  <c r="AL63" i="3"/>
  <c r="AM63" i="3" s="1"/>
  <c r="BA64" i="3" s="1"/>
  <c r="BD64" i="3" s="1"/>
  <c r="BE64" i="3" s="1"/>
  <c r="BF64" i="3" s="1"/>
  <c r="BG64" i="3" s="1"/>
  <c r="AJ184" i="3"/>
  <c r="AK184" i="3" s="1"/>
  <c r="AL183" i="3"/>
  <c r="AM183" i="3" s="1"/>
  <c r="BA184" i="3" s="1"/>
  <c r="BD184" i="3" s="1"/>
  <c r="BE184" i="3" s="1"/>
  <c r="BF184" i="3" s="1"/>
  <c r="BG184" i="3" s="1"/>
  <c r="AL10" i="3"/>
  <c r="AM10" i="3" s="1"/>
  <c r="BA11" i="3" s="1"/>
  <c r="BD11" i="3" s="1"/>
  <c r="BE11" i="3" s="1"/>
  <c r="BF11" i="3" s="1"/>
  <c r="BG11" i="3" s="1"/>
  <c r="AJ11" i="3"/>
  <c r="AK11" i="3" s="1"/>
  <c r="AJ21" i="3"/>
  <c r="AK21" i="3" s="1"/>
  <c r="AL20" i="3"/>
  <c r="AM20" i="3" s="1"/>
  <c r="BA21" i="3" s="1"/>
  <c r="BD21" i="3" s="1"/>
  <c r="BE21" i="3" s="1"/>
  <c r="BF21" i="3" s="1"/>
  <c r="BG21" i="3" s="1"/>
  <c r="AJ234" i="3"/>
  <c r="AK234" i="3" s="1"/>
  <c r="AL233" i="3"/>
  <c r="AM233" i="3" s="1"/>
  <c r="BA234" i="3" s="1"/>
  <c r="BD234" i="3" s="1"/>
  <c r="BE234" i="3" s="1"/>
  <c r="BF234" i="3" s="1"/>
  <c r="BG234" i="3" s="1"/>
  <c r="AJ103" i="3"/>
  <c r="AK103" i="3" s="1"/>
  <c r="AL102" i="3"/>
  <c r="AM102" i="3" s="1"/>
  <c r="BA103" i="3" s="1"/>
  <c r="BD103" i="3" s="1"/>
  <c r="BE103" i="3" s="1"/>
  <c r="BF103" i="3" s="1"/>
  <c r="BG103" i="3" s="1"/>
  <c r="AJ138" i="3"/>
  <c r="AK138" i="3" s="1"/>
  <c r="AL137" i="3"/>
  <c r="AM137" i="3" s="1"/>
  <c r="BA138" i="3" s="1"/>
  <c r="BD138" i="3" s="1"/>
  <c r="BE138" i="3" s="1"/>
  <c r="BF138" i="3" s="1"/>
  <c r="BG138" i="3" s="1"/>
  <c r="AJ305" i="3"/>
  <c r="AK305" i="3" s="1"/>
  <c r="AL304" i="3"/>
  <c r="AM304" i="3" s="1"/>
  <c r="BA305" i="3" s="1"/>
  <c r="BD305" i="3" s="1"/>
  <c r="BE305" i="3" s="1"/>
  <c r="BF305" i="3" s="1"/>
  <c r="BG305" i="3" s="1"/>
  <c r="AJ36" i="3"/>
  <c r="AK36" i="3" s="1"/>
  <c r="AL35" i="3"/>
  <c r="AM35" i="3" s="1"/>
  <c r="BA36" i="3" s="1"/>
  <c r="BD36" i="3" s="1"/>
  <c r="BE36" i="3" s="1"/>
  <c r="BF36" i="3" s="1"/>
  <c r="BG36" i="3" s="1"/>
  <c r="AJ96" i="3"/>
  <c r="AK96" i="3" s="1"/>
  <c r="AL95" i="3"/>
  <c r="AM95" i="3" s="1"/>
  <c r="BA96" i="3" s="1"/>
  <c r="BD96" i="3" s="1"/>
  <c r="BE96" i="3" s="1"/>
  <c r="BF96" i="3" s="1"/>
  <c r="BG96" i="3" s="1"/>
  <c r="AJ308" i="3"/>
  <c r="AK308" i="3" s="1"/>
  <c r="AL307" i="3"/>
  <c r="AM307" i="3" s="1"/>
  <c r="BA308" i="3" s="1"/>
  <c r="BD308" i="3" s="1"/>
  <c r="BE308" i="3" s="1"/>
  <c r="BF308" i="3" s="1"/>
  <c r="BG308" i="3" s="1"/>
  <c r="AJ263" i="3"/>
  <c r="AK263" i="3" s="1"/>
  <c r="AL262" i="3"/>
  <c r="AM262" i="3" s="1"/>
  <c r="BA263" i="3" s="1"/>
  <c r="BD263" i="3" s="1"/>
  <c r="BE263" i="3" s="1"/>
  <c r="BF263" i="3" s="1"/>
  <c r="BG263" i="3" s="1"/>
  <c r="AJ257" i="3"/>
  <c r="AK257" i="3" s="1"/>
  <c r="AL256" i="3"/>
  <c r="AM256" i="3" s="1"/>
  <c r="BA257" i="3" s="1"/>
  <c r="BD257" i="3" s="1"/>
  <c r="BE257" i="3" s="1"/>
  <c r="BF257" i="3" s="1"/>
  <c r="BG257" i="3" s="1"/>
  <c r="AJ207" i="3"/>
  <c r="AK207" i="3" s="1"/>
  <c r="AL206" i="3"/>
  <c r="AM206" i="3" s="1"/>
  <c r="BA207" i="3" s="1"/>
  <c r="BD207" i="3" s="1"/>
  <c r="BE207" i="3" s="1"/>
  <c r="BF207" i="3" s="1"/>
  <c r="BG207" i="3" s="1"/>
  <c r="AJ175" i="3"/>
  <c r="AK175" i="3" s="1"/>
  <c r="AL174" i="3"/>
  <c r="AM174" i="3" s="1"/>
  <c r="BA175" i="3" s="1"/>
  <c r="BD175" i="3" s="1"/>
  <c r="BE175" i="3" s="1"/>
  <c r="BF175" i="3" s="1"/>
  <c r="BG175" i="3" s="1"/>
  <c r="AJ174" i="3"/>
  <c r="AK174" i="3" s="1"/>
  <c r="AL173" i="3"/>
  <c r="AM173" i="3" s="1"/>
  <c r="BA174" i="3" s="1"/>
  <c r="BD174" i="3" s="1"/>
  <c r="BE174" i="3" s="1"/>
  <c r="BF174" i="3" s="1"/>
  <c r="BG174" i="3" s="1"/>
  <c r="AJ218" i="3"/>
  <c r="AK218" i="3" s="1"/>
  <c r="AL217" i="3"/>
  <c r="AM217" i="3" s="1"/>
  <c r="BA218" i="3" s="1"/>
  <c r="BD218" i="3" s="1"/>
  <c r="BE218" i="3" s="1"/>
  <c r="BF218" i="3" s="1"/>
  <c r="BG218" i="3" s="1"/>
  <c r="AJ159" i="3"/>
  <c r="AK159" i="3" s="1"/>
  <c r="AL158" i="3"/>
  <c r="AM158" i="3" s="1"/>
  <c r="BA159" i="3" s="1"/>
  <c r="BD159" i="3" s="1"/>
  <c r="BE159" i="3" s="1"/>
  <c r="BF159" i="3" s="1"/>
  <c r="BG159" i="3" s="1"/>
  <c r="AJ86" i="3"/>
  <c r="AK86" i="3" s="1"/>
  <c r="AL85" i="3"/>
  <c r="AM85" i="3" s="1"/>
  <c r="BA86" i="3" s="1"/>
  <c r="BD86" i="3" s="1"/>
  <c r="BE86" i="3" s="1"/>
  <c r="BF86" i="3" s="1"/>
  <c r="BG86" i="3" s="1"/>
  <c r="AJ54" i="3"/>
  <c r="AK54" i="3" s="1"/>
  <c r="AL53" i="3"/>
  <c r="AM53" i="3" s="1"/>
  <c r="BA54" i="3" s="1"/>
  <c r="BD54" i="3" s="1"/>
  <c r="BE54" i="3" s="1"/>
  <c r="BF54" i="3" s="1"/>
  <c r="BG54" i="3" s="1"/>
  <c r="AJ18" i="3"/>
  <c r="AK18" i="3" s="1"/>
  <c r="AL17" i="3"/>
  <c r="AM17" i="3" s="1"/>
  <c r="BA18" i="3" s="1"/>
  <c r="BD18" i="3" s="1"/>
  <c r="BE18" i="3" s="1"/>
  <c r="BF18" i="3" s="1"/>
  <c r="BG18" i="3" s="1"/>
  <c r="AJ41" i="3"/>
  <c r="AK41" i="3" s="1"/>
  <c r="AL40" i="3"/>
  <c r="AM40" i="3" s="1"/>
  <c r="BA41" i="3" s="1"/>
  <c r="BD41" i="3" s="1"/>
  <c r="BE41" i="3" s="1"/>
  <c r="BF41" i="3" s="1"/>
  <c r="BG41" i="3" s="1"/>
  <c r="AJ38" i="3"/>
  <c r="AK38" i="3" s="1"/>
  <c r="AL37" i="3"/>
  <c r="AM37" i="3" s="1"/>
  <c r="BA38" i="3" s="1"/>
  <c r="BD38" i="3" s="1"/>
  <c r="BE38" i="3" s="1"/>
  <c r="BF38" i="3" s="1"/>
  <c r="BG38" i="3" s="1"/>
  <c r="AJ248" i="3"/>
  <c r="AK248" i="3" s="1"/>
  <c r="AL247" i="3"/>
  <c r="AM247" i="3" s="1"/>
  <c r="BA248" i="3" s="1"/>
  <c r="BD248" i="3" s="1"/>
  <c r="BE248" i="3" s="1"/>
  <c r="BF248" i="3" s="1"/>
  <c r="BG248" i="3" s="1"/>
  <c r="AJ361" i="3"/>
  <c r="AK361" i="3" s="1"/>
  <c r="AL360" i="3"/>
  <c r="AM360" i="3" s="1"/>
  <c r="BA361" i="3" s="1"/>
  <c r="BD361" i="3" s="1"/>
  <c r="BE361" i="3" s="1"/>
  <c r="BF361" i="3" s="1"/>
  <c r="BG361" i="3" s="1"/>
  <c r="AJ108" i="3"/>
  <c r="AK108" i="3" s="1"/>
  <c r="AL107" i="3"/>
  <c r="AM107" i="3" s="1"/>
  <c r="BA108" i="3" s="1"/>
  <c r="BD108" i="3" s="1"/>
  <c r="BE108" i="3" s="1"/>
  <c r="BF108" i="3" s="1"/>
  <c r="BG108" i="3" s="1"/>
  <c r="AJ240" i="3"/>
  <c r="AK240" i="3" s="1"/>
  <c r="AL239" i="3"/>
  <c r="AM239" i="3" s="1"/>
  <c r="BA240" i="3" s="1"/>
  <c r="BD240" i="3" s="1"/>
  <c r="BE240" i="3" s="1"/>
  <c r="BF240" i="3" s="1"/>
  <c r="BG240" i="3" s="1"/>
  <c r="AL319" i="3"/>
  <c r="AM319" i="3" s="1"/>
  <c r="BA320" i="3" s="1"/>
  <c r="BD320" i="3" s="1"/>
  <c r="BE320" i="3" s="1"/>
  <c r="BF320" i="3" s="1"/>
  <c r="BG320" i="3" s="1"/>
  <c r="AJ320" i="3"/>
  <c r="AK320" i="3" s="1"/>
  <c r="AJ34" i="3"/>
  <c r="AK34" i="3" s="1"/>
  <c r="AL33" i="3"/>
  <c r="AM33" i="3" s="1"/>
  <c r="BA34" i="3" s="1"/>
  <c r="BD34" i="3" s="1"/>
  <c r="BE34" i="3" s="1"/>
  <c r="BF34" i="3" s="1"/>
  <c r="BG34" i="3" s="1"/>
  <c r="AL108" i="3"/>
  <c r="AM108" i="3" s="1"/>
  <c r="BA109" i="3" s="1"/>
  <c r="BD109" i="3" s="1"/>
  <c r="BE109" i="3" s="1"/>
  <c r="BF109" i="3" s="1"/>
  <c r="BG109" i="3" s="1"/>
  <c r="AJ109" i="3"/>
  <c r="AK109" i="3" s="1"/>
  <c r="AJ250" i="3"/>
  <c r="AK250" i="3" s="1"/>
  <c r="AL249" i="3"/>
  <c r="AM249" i="3" s="1"/>
  <c r="BA250" i="3" s="1"/>
  <c r="BD250" i="3" s="1"/>
  <c r="BE250" i="3" s="1"/>
  <c r="BF250" i="3" s="1"/>
  <c r="BG250" i="3" s="1"/>
  <c r="AJ383" i="3"/>
  <c r="AK383" i="3" s="1"/>
  <c r="AL382" i="3"/>
  <c r="AM382" i="3" s="1"/>
  <c r="BA383" i="3" s="1"/>
  <c r="BD383" i="3" s="1"/>
  <c r="BE383" i="3" s="1"/>
  <c r="BF383" i="3" s="1"/>
  <c r="BG383" i="3" s="1"/>
  <c r="AJ377" i="3"/>
  <c r="AK377" i="3" s="1"/>
  <c r="AL376" i="3"/>
  <c r="AM376" i="3" s="1"/>
  <c r="BA377" i="3" s="1"/>
  <c r="BD377" i="3" s="1"/>
  <c r="BE377" i="3" s="1"/>
  <c r="BF377" i="3" s="1"/>
  <c r="BG377" i="3" s="1"/>
  <c r="AJ353" i="3"/>
  <c r="AK353" i="3" s="1"/>
  <c r="AL352" i="3"/>
  <c r="AM352" i="3" s="1"/>
  <c r="BA353" i="3" s="1"/>
  <c r="BD353" i="3" s="1"/>
  <c r="BE353" i="3" s="1"/>
  <c r="BF353" i="3" s="1"/>
  <c r="BG353" i="3" s="1"/>
  <c r="AJ367" i="3"/>
  <c r="AK367" i="3" s="1"/>
  <c r="AL366" i="3"/>
  <c r="AM366" i="3" s="1"/>
  <c r="BA367" i="3" s="1"/>
  <c r="BD367" i="3" s="1"/>
  <c r="BE367" i="3" s="1"/>
  <c r="BF367" i="3" s="1"/>
  <c r="BG367" i="3" s="1"/>
  <c r="AJ364" i="3"/>
  <c r="AK364" i="3" s="1"/>
  <c r="AL363" i="3"/>
  <c r="AM363" i="3" s="1"/>
  <c r="BA364" i="3" s="1"/>
  <c r="BD364" i="3" s="1"/>
  <c r="BE364" i="3" s="1"/>
  <c r="BF364" i="3" s="1"/>
  <c r="BG364" i="3" s="1"/>
  <c r="AJ296" i="3"/>
  <c r="AK296" i="3" s="1"/>
  <c r="AL295" i="3"/>
  <c r="AM295" i="3" s="1"/>
  <c r="BA296" i="3" s="1"/>
  <c r="BD296" i="3" s="1"/>
  <c r="BE296" i="3" s="1"/>
  <c r="BF296" i="3" s="1"/>
  <c r="BG296" i="3" s="1"/>
  <c r="AJ302" i="3"/>
  <c r="AK302" i="3" s="1"/>
  <c r="AL301" i="3"/>
  <c r="AM301" i="3" s="1"/>
  <c r="BA302" i="3" s="1"/>
  <c r="BD302" i="3" s="1"/>
  <c r="BE302" i="3" s="1"/>
  <c r="BF302" i="3" s="1"/>
  <c r="BG302" i="3" s="1"/>
  <c r="AJ197" i="3"/>
  <c r="AK197" i="3" s="1"/>
  <c r="AL196" i="3"/>
  <c r="AM196" i="3" s="1"/>
  <c r="BA197" i="3" s="1"/>
  <c r="BD197" i="3" s="1"/>
  <c r="BE197" i="3" s="1"/>
  <c r="BF197" i="3" s="1"/>
  <c r="BG197" i="3" s="1"/>
  <c r="AJ188" i="3"/>
  <c r="AK188" i="3" s="1"/>
  <c r="AL187" i="3"/>
  <c r="AM187" i="3" s="1"/>
  <c r="BA188" i="3" s="1"/>
  <c r="BD188" i="3" s="1"/>
  <c r="BE188" i="3" s="1"/>
  <c r="BF188" i="3" s="1"/>
  <c r="BG188" i="3" s="1"/>
  <c r="AJ178" i="3"/>
  <c r="AK178" i="3" s="1"/>
  <c r="AL177" i="3"/>
  <c r="AM177" i="3" s="1"/>
  <c r="BA178" i="3" s="1"/>
  <c r="BD178" i="3" s="1"/>
  <c r="BE178" i="3" s="1"/>
  <c r="BF178" i="3" s="1"/>
  <c r="BG178" i="3" s="1"/>
  <c r="AJ76" i="3"/>
  <c r="AK76" i="3" s="1"/>
  <c r="AL75" i="3"/>
  <c r="AM75" i="3" s="1"/>
  <c r="BA76" i="3" s="1"/>
  <c r="BD76" i="3" s="1"/>
  <c r="BE76" i="3" s="1"/>
  <c r="BF76" i="3" s="1"/>
  <c r="BG76" i="3" s="1"/>
  <c r="AJ65" i="3"/>
  <c r="AK65" i="3" s="1"/>
  <c r="AL64" i="3"/>
  <c r="AM64" i="3" s="1"/>
  <c r="BA65" i="3" s="1"/>
  <c r="BD65" i="3" s="1"/>
  <c r="BE65" i="3" s="1"/>
  <c r="BF65" i="3" s="1"/>
  <c r="BG65" i="3" s="1"/>
  <c r="AJ63" i="3"/>
  <c r="AK63" i="3" s="1"/>
  <c r="AL62" i="3"/>
  <c r="AM62" i="3" s="1"/>
  <c r="BA63" i="3" s="1"/>
  <c r="BD63" i="3" s="1"/>
  <c r="BE63" i="3" s="1"/>
  <c r="BF63" i="3" s="1"/>
  <c r="BG63" i="3" s="1"/>
  <c r="AL11" i="3"/>
  <c r="AM11" i="3" s="1"/>
  <c r="BA12" i="3" s="1"/>
  <c r="BD12" i="3" s="1"/>
  <c r="BE12" i="3" s="1"/>
  <c r="BF12" i="3" s="1"/>
  <c r="BG12" i="3" s="1"/>
  <c r="AJ12" i="3"/>
  <c r="AK12" i="3" s="1"/>
  <c r="AJ51" i="3"/>
  <c r="AK51" i="3" s="1"/>
  <c r="AL50" i="3"/>
  <c r="AM50" i="3" s="1"/>
  <c r="BA51" i="3" s="1"/>
  <c r="BD51" i="3" s="1"/>
  <c r="BE51" i="3" s="1"/>
  <c r="BF51" i="3" s="1"/>
  <c r="BG51" i="3" s="1"/>
  <c r="AJ94" i="3"/>
  <c r="AK94" i="3" s="1"/>
  <c r="AL93" i="3"/>
  <c r="AM93" i="3" s="1"/>
  <c r="BA94" i="3" s="1"/>
  <c r="BD94" i="3" s="1"/>
  <c r="BE94" i="3" s="1"/>
  <c r="BF94" i="3" s="1"/>
  <c r="BG94" i="3" s="1"/>
  <c r="AJ127" i="3"/>
  <c r="AK127" i="3" s="1"/>
  <c r="AL126" i="3"/>
  <c r="AM126" i="3" s="1"/>
  <c r="BA127" i="3" s="1"/>
  <c r="BD127" i="3" s="1"/>
  <c r="BE127" i="3" s="1"/>
  <c r="BF127" i="3" s="1"/>
  <c r="BG127" i="3" s="1"/>
  <c r="AJ148" i="3"/>
  <c r="AK148" i="3" s="1"/>
  <c r="AL147" i="3"/>
  <c r="AM147" i="3" s="1"/>
  <c r="BA148" i="3" s="1"/>
  <c r="BD148" i="3" s="1"/>
  <c r="BE148" i="3" s="1"/>
  <c r="BF148" i="3" s="1"/>
  <c r="BG148" i="3" s="1"/>
  <c r="AJ224" i="3"/>
  <c r="AK224" i="3" s="1"/>
  <c r="AL223" i="3"/>
  <c r="AM223" i="3" s="1"/>
  <c r="BA224" i="3" s="1"/>
  <c r="BD224" i="3" s="1"/>
  <c r="BE224" i="3" s="1"/>
  <c r="BF224" i="3" s="1"/>
  <c r="BG224" i="3" s="1"/>
  <c r="AL341" i="3"/>
  <c r="AM341" i="3" s="1"/>
  <c r="BA342" i="3" s="1"/>
  <c r="BD342" i="3" s="1"/>
  <c r="BE342" i="3" s="1"/>
  <c r="BF342" i="3" s="1"/>
  <c r="BG342" i="3" s="1"/>
  <c r="AJ342" i="3"/>
  <c r="AK342" i="3" s="1"/>
  <c r="AL148" i="3"/>
  <c r="AM148" i="3" s="1"/>
  <c r="BA149" i="3" s="1"/>
  <c r="BD149" i="3" s="1"/>
  <c r="BE149" i="3" s="1"/>
  <c r="BF149" i="3" s="1"/>
  <c r="BG149" i="3" s="1"/>
  <c r="AJ149" i="3"/>
  <c r="AK149" i="3" s="1"/>
  <c r="AL226" i="3"/>
  <c r="AM226" i="3" s="1"/>
  <c r="BA227" i="3" s="1"/>
  <c r="BD227" i="3" s="1"/>
  <c r="BE227" i="3" s="1"/>
  <c r="BF227" i="3" s="1"/>
  <c r="BG227" i="3" s="1"/>
  <c r="AJ227" i="3"/>
  <c r="AK227" i="3" s="1"/>
  <c r="AL345" i="3"/>
  <c r="AM345" i="3" s="1"/>
  <c r="BA346" i="3" s="1"/>
  <c r="BD346" i="3" s="1"/>
  <c r="BE346" i="3" s="1"/>
  <c r="BF346" i="3" s="1"/>
  <c r="BG346" i="3" s="1"/>
  <c r="AJ346" i="3"/>
  <c r="AK346" i="3" s="1"/>
  <c r="AJ112" i="3"/>
  <c r="AK112" i="3" s="1"/>
  <c r="AL111" i="3"/>
  <c r="AM111" i="3" s="1"/>
  <c r="BA112" i="3" s="1"/>
  <c r="BD112" i="3" s="1"/>
  <c r="BE112" i="3" s="1"/>
  <c r="BF112" i="3" s="1"/>
  <c r="BG112" i="3" s="1"/>
  <c r="AJ375" i="3"/>
  <c r="AK375" i="3" s="1"/>
  <c r="AL374" i="3"/>
  <c r="AM374" i="3" s="1"/>
  <c r="BA375" i="3" s="1"/>
  <c r="BD375" i="3" s="1"/>
  <c r="BE375" i="3" s="1"/>
  <c r="BF375" i="3" s="1"/>
  <c r="BG375" i="3" s="1"/>
  <c r="AJ341" i="3"/>
  <c r="AK341" i="3" s="1"/>
  <c r="AL340" i="3"/>
  <c r="AM340" i="3" s="1"/>
  <c r="BA341" i="3" s="1"/>
  <c r="BD341" i="3" s="1"/>
  <c r="BE341" i="3" s="1"/>
  <c r="BF341" i="3" s="1"/>
  <c r="BG341" i="3" s="1"/>
  <c r="AJ354" i="3"/>
  <c r="AK354" i="3" s="1"/>
  <c r="AL353" i="3"/>
  <c r="AM353" i="3" s="1"/>
  <c r="BA354" i="3" s="1"/>
  <c r="BD354" i="3" s="1"/>
  <c r="BE354" i="3" s="1"/>
  <c r="BF354" i="3" s="1"/>
  <c r="BG354" i="3" s="1"/>
  <c r="AJ333" i="3"/>
  <c r="AK333" i="3" s="1"/>
  <c r="AL332" i="3"/>
  <c r="AM332" i="3" s="1"/>
  <c r="BA333" i="3" s="1"/>
  <c r="BD333" i="3" s="1"/>
  <c r="BE333" i="3" s="1"/>
  <c r="BF333" i="3" s="1"/>
  <c r="BG333" i="3" s="1"/>
  <c r="AJ330" i="3"/>
  <c r="AK330" i="3" s="1"/>
  <c r="AL329" i="3"/>
  <c r="AM329" i="3" s="1"/>
  <c r="BA330" i="3" s="1"/>
  <c r="BD330" i="3" s="1"/>
  <c r="BE330" i="3" s="1"/>
  <c r="BF330" i="3" s="1"/>
  <c r="BG330" i="3" s="1"/>
  <c r="AJ283" i="3"/>
  <c r="AK283" i="3" s="1"/>
  <c r="AL282" i="3"/>
  <c r="AM282" i="3" s="1"/>
  <c r="BA283" i="3" s="1"/>
  <c r="BD283" i="3" s="1"/>
  <c r="BE283" i="3" s="1"/>
  <c r="BF283" i="3" s="1"/>
  <c r="BG283" i="3" s="1"/>
  <c r="AJ275" i="3"/>
  <c r="AK275" i="3" s="1"/>
  <c r="AL274" i="3"/>
  <c r="AM274" i="3" s="1"/>
  <c r="BA275" i="3" s="1"/>
  <c r="BD275" i="3" s="1"/>
  <c r="BE275" i="3" s="1"/>
  <c r="BF275" i="3" s="1"/>
  <c r="BG275" i="3" s="1"/>
  <c r="AL281" i="3"/>
  <c r="AM281" i="3" s="1"/>
  <c r="BA282" i="3" s="1"/>
  <c r="BD282" i="3" s="1"/>
  <c r="BE282" i="3" s="1"/>
  <c r="BF282" i="3" s="1"/>
  <c r="BG282" i="3" s="1"/>
  <c r="AJ282" i="3"/>
  <c r="AK282" i="3" s="1"/>
  <c r="AJ270" i="3"/>
  <c r="AK270" i="3" s="1"/>
  <c r="AL269" i="3"/>
  <c r="AM269" i="3" s="1"/>
  <c r="BA270" i="3" s="1"/>
  <c r="BD270" i="3" s="1"/>
  <c r="BE270" i="3" s="1"/>
  <c r="BF270" i="3" s="1"/>
  <c r="BG270" i="3" s="1"/>
  <c r="AJ219" i="3"/>
  <c r="AK219" i="3" s="1"/>
  <c r="AL218" i="3"/>
  <c r="AM218" i="3" s="1"/>
  <c r="BA219" i="3" s="1"/>
  <c r="BD219" i="3" s="1"/>
  <c r="BE219" i="3" s="1"/>
  <c r="BF219" i="3" s="1"/>
  <c r="BG219" i="3" s="1"/>
  <c r="AJ187" i="3"/>
  <c r="AK187" i="3" s="1"/>
  <c r="AL186" i="3"/>
  <c r="AM186" i="3" s="1"/>
  <c r="BA187" i="3" s="1"/>
  <c r="BD187" i="3" s="1"/>
  <c r="BE187" i="3" s="1"/>
  <c r="BF187" i="3" s="1"/>
  <c r="BG187" i="3" s="1"/>
  <c r="AJ222" i="3"/>
  <c r="AK222" i="3" s="1"/>
  <c r="AL221" i="3"/>
  <c r="AM221" i="3" s="1"/>
  <c r="BA222" i="3" s="1"/>
  <c r="BD222" i="3" s="1"/>
  <c r="BE222" i="3" s="1"/>
  <c r="BF222" i="3" s="1"/>
  <c r="BG222" i="3" s="1"/>
  <c r="AJ162" i="3"/>
  <c r="AK162" i="3" s="1"/>
  <c r="AL161" i="3"/>
  <c r="AM161" i="3" s="1"/>
  <c r="BA162" i="3" s="1"/>
  <c r="BD162" i="3" s="1"/>
  <c r="BE162" i="3" s="1"/>
  <c r="BF162" i="3" s="1"/>
  <c r="BG162" i="3" s="1"/>
  <c r="AJ167" i="3"/>
  <c r="AK167" i="3" s="1"/>
  <c r="AL166" i="3"/>
  <c r="AM166" i="3" s="1"/>
  <c r="BA167" i="3" s="1"/>
  <c r="BD167" i="3" s="1"/>
  <c r="BE167" i="3" s="1"/>
  <c r="BF167" i="3" s="1"/>
  <c r="BG167" i="3" s="1"/>
  <c r="AJ58" i="3"/>
  <c r="AK58" i="3" s="1"/>
  <c r="AL57" i="3"/>
  <c r="AM57" i="3" s="1"/>
  <c r="BA58" i="3" s="1"/>
  <c r="BD58" i="3" s="1"/>
  <c r="BE58" i="3" s="1"/>
  <c r="BF58" i="3" s="1"/>
  <c r="BG58" i="3" s="1"/>
  <c r="AL88" i="3"/>
  <c r="AM88" i="3" s="1"/>
  <c r="BA89" i="3" s="1"/>
  <c r="BD89" i="3" s="1"/>
  <c r="BE89" i="3" s="1"/>
  <c r="BF89" i="3" s="1"/>
  <c r="BG89" i="3" s="1"/>
  <c r="AJ89" i="3"/>
  <c r="AK89" i="3" s="1"/>
  <c r="AJ59" i="3"/>
  <c r="AK59" i="3" s="1"/>
  <c r="AL58" i="3"/>
  <c r="AM58" i="3" s="1"/>
  <c r="BA59" i="3" s="1"/>
  <c r="BD59" i="3" s="1"/>
  <c r="BE59" i="3" s="1"/>
  <c r="BF59" i="3" s="1"/>
  <c r="BG59" i="3" s="1"/>
  <c r="AJ55" i="3"/>
  <c r="AK55" i="3" s="1"/>
  <c r="AL54" i="3"/>
  <c r="AM54" i="3" s="1"/>
  <c r="BA55" i="3" s="1"/>
  <c r="BD55" i="3" s="1"/>
  <c r="BE55" i="3" s="1"/>
  <c r="BF55" i="3" s="1"/>
  <c r="BG55" i="3" s="1"/>
  <c r="AJ105" i="3"/>
  <c r="AK105" i="3" s="1"/>
  <c r="AL104" i="3"/>
  <c r="AM104" i="3" s="1"/>
  <c r="BA105" i="3" s="1"/>
  <c r="BD105" i="3" s="1"/>
  <c r="BE105" i="3" s="1"/>
  <c r="BF105" i="3" s="1"/>
  <c r="BG105" i="3" s="1"/>
  <c r="AJ91" i="3"/>
  <c r="AK91" i="3" s="1"/>
  <c r="AL90" i="3"/>
  <c r="AM90" i="3" s="1"/>
  <c r="BA91" i="3" s="1"/>
  <c r="BD91" i="3" s="1"/>
  <c r="BE91" i="3" s="1"/>
  <c r="BF91" i="3" s="1"/>
  <c r="BG91" i="3" s="1"/>
  <c r="AJ118" i="3"/>
  <c r="AK118" i="3" s="1"/>
  <c r="AL117" i="3"/>
  <c r="AM117" i="3" s="1"/>
  <c r="BA118" i="3" s="1"/>
  <c r="BD118" i="3" s="1"/>
  <c r="BE118" i="3" s="1"/>
  <c r="BF118" i="3" s="1"/>
  <c r="BG118" i="3" s="1"/>
  <c r="AJ15" i="3"/>
  <c r="AK15" i="3" s="1"/>
  <c r="AL14" i="3"/>
  <c r="AM14" i="3" s="1"/>
  <c r="BA15" i="3" s="1"/>
  <c r="BD15" i="3" s="1"/>
  <c r="BE15" i="3" s="1"/>
  <c r="BF15" i="3" s="1"/>
  <c r="BG15" i="3" s="1"/>
  <c r="AJ244" i="3"/>
  <c r="AK244" i="3" s="1"/>
  <c r="AL243" i="3"/>
  <c r="AM243" i="3" s="1"/>
  <c r="BA244" i="3" s="1"/>
  <c r="BD244" i="3" s="1"/>
  <c r="BE244" i="3" s="1"/>
  <c r="BF244" i="3" s="1"/>
  <c r="BG244" i="3" s="1"/>
  <c r="AJ315" i="3"/>
  <c r="AK315" i="3" s="1"/>
  <c r="AL314" i="3"/>
  <c r="AM314" i="3" s="1"/>
  <c r="BA315" i="3" s="1"/>
  <c r="BD315" i="3" s="1"/>
  <c r="BE315" i="3" s="1"/>
  <c r="BF315" i="3" s="1"/>
  <c r="BG315" i="3" s="1"/>
  <c r="AL16" i="3"/>
  <c r="AM16" i="3" s="1"/>
  <c r="BA17" i="3" s="1"/>
  <c r="BD17" i="3" s="1"/>
  <c r="BE17" i="3" s="1"/>
  <c r="BF17" i="3" s="1"/>
  <c r="BG17" i="3" s="1"/>
  <c r="AJ17" i="3"/>
  <c r="AK17" i="3" s="1"/>
  <c r="AL39" i="3"/>
  <c r="AM39" i="3" s="1"/>
  <c r="BA40" i="3" s="1"/>
  <c r="BD40" i="3" s="1"/>
  <c r="BE40" i="3" s="1"/>
  <c r="BF40" i="3" s="1"/>
  <c r="BG40" i="3" s="1"/>
  <c r="AJ40" i="3"/>
  <c r="AK40" i="3" s="1"/>
  <c r="AJ303" i="3"/>
  <c r="AK303" i="3" s="1"/>
  <c r="AL302" i="3"/>
  <c r="AM302" i="3" s="1"/>
  <c r="BA303" i="3" s="1"/>
  <c r="BD303" i="3" s="1"/>
  <c r="BE303" i="3" s="1"/>
  <c r="BF303" i="3" s="1"/>
  <c r="BG303" i="3" s="1"/>
  <c r="AJ145" i="3"/>
  <c r="AK145" i="3" s="1"/>
  <c r="AL144" i="3"/>
  <c r="AM144" i="3" s="1"/>
  <c r="BA145" i="3" s="1"/>
  <c r="BD145" i="3" s="1"/>
  <c r="BE145" i="3" s="1"/>
  <c r="BF145" i="3" s="1"/>
  <c r="BG145" i="3" s="1"/>
  <c r="AJ379" i="3"/>
  <c r="AK379" i="3" s="1"/>
  <c r="AL378" i="3"/>
  <c r="AM378" i="3" s="1"/>
  <c r="BA379" i="3" s="1"/>
  <c r="BD379" i="3" s="1"/>
  <c r="BE379" i="3" s="1"/>
  <c r="BF379" i="3" s="1"/>
  <c r="BG379" i="3" s="1"/>
  <c r="AJ347" i="3"/>
  <c r="AK347" i="3" s="1"/>
  <c r="AL346" i="3"/>
  <c r="AM346" i="3" s="1"/>
  <c r="BA347" i="3" s="1"/>
  <c r="BD347" i="3" s="1"/>
  <c r="BE347" i="3" s="1"/>
  <c r="BF347" i="3" s="1"/>
  <c r="BG347" i="3" s="1"/>
  <c r="AJ360" i="3"/>
  <c r="AK360" i="3" s="1"/>
  <c r="AL359" i="3"/>
  <c r="AM359" i="3" s="1"/>
  <c r="BA360" i="3" s="1"/>
  <c r="BD360" i="3" s="1"/>
  <c r="BE360" i="3" s="1"/>
  <c r="BF360" i="3" s="1"/>
  <c r="BG360" i="3" s="1"/>
  <c r="AJ292" i="3"/>
  <c r="AK292" i="3" s="1"/>
  <c r="AL291" i="3"/>
  <c r="AM291" i="3" s="1"/>
  <c r="BA292" i="3" s="1"/>
  <c r="BD292" i="3" s="1"/>
  <c r="BE292" i="3" s="1"/>
  <c r="BF292" i="3" s="1"/>
  <c r="BG292" i="3" s="1"/>
  <c r="AJ281" i="3"/>
  <c r="AK281" i="3" s="1"/>
  <c r="AL280" i="3"/>
  <c r="AM280" i="3" s="1"/>
  <c r="BA281" i="3" s="1"/>
  <c r="BD281" i="3" s="1"/>
  <c r="BE281" i="3" s="1"/>
  <c r="BF281" i="3" s="1"/>
  <c r="BG281" i="3" s="1"/>
  <c r="AJ312" i="3"/>
  <c r="AK312" i="3" s="1"/>
  <c r="AL311" i="3"/>
  <c r="AM311" i="3" s="1"/>
  <c r="BA312" i="3" s="1"/>
  <c r="BD312" i="3" s="1"/>
  <c r="BE312" i="3" s="1"/>
  <c r="BF312" i="3" s="1"/>
  <c r="BG312" i="3" s="1"/>
  <c r="AJ272" i="3"/>
  <c r="AK272" i="3" s="1"/>
  <c r="AL271" i="3"/>
  <c r="AM271" i="3" s="1"/>
  <c r="BA272" i="3" s="1"/>
  <c r="BD272" i="3" s="1"/>
  <c r="BE272" i="3" s="1"/>
  <c r="BF272" i="3" s="1"/>
  <c r="BG272" i="3" s="1"/>
  <c r="AJ193" i="3"/>
  <c r="AK193" i="3" s="1"/>
  <c r="AL192" i="3"/>
  <c r="AM192" i="3" s="1"/>
  <c r="BA193" i="3" s="1"/>
  <c r="BD193" i="3" s="1"/>
  <c r="BE193" i="3" s="1"/>
  <c r="BF193" i="3" s="1"/>
  <c r="BG193" i="3" s="1"/>
  <c r="AJ172" i="3"/>
  <c r="AK172" i="3" s="1"/>
  <c r="AL171" i="3"/>
  <c r="AM171" i="3" s="1"/>
  <c r="BA172" i="3" s="1"/>
  <c r="BD172" i="3" s="1"/>
  <c r="BE172" i="3" s="1"/>
  <c r="BF172" i="3" s="1"/>
  <c r="BG172" i="3" s="1"/>
  <c r="AJ72" i="3"/>
  <c r="AK72" i="3" s="1"/>
  <c r="AL71" i="3"/>
  <c r="AM71" i="3" s="1"/>
  <c r="BA72" i="3" s="1"/>
  <c r="BD72" i="3" s="1"/>
  <c r="BE72" i="3" s="1"/>
  <c r="BF72" i="3" s="1"/>
  <c r="BG72" i="3" s="1"/>
  <c r="AJ216" i="3"/>
  <c r="AK216" i="3" s="1"/>
  <c r="AL215" i="3"/>
  <c r="AM215" i="3" s="1"/>
  <c r="BA216" i="3" s="1"/>
  <c r="BD216" i="3" s="1"/>
  <c r="BE216" i="3" s="1"/>
  <c r="BF216" i="3" s="1"/>
  <c r="BG216" i="3" s="1"/>
  <c r="AJ81" i="3"/>
  <c r="AK81" i="3" s="1"/>
  <c r="AL80" i="3"/>
  <c r="AM80" i="3" s="1"/>
  <c r="BA81" i="3" s="1"/>
  <c r="BD81" i="3" s="1"/>
  <c r="BE81" i="3" s="1"/>
  <c r="BF81" i="3" s="1"/>
  <c r="BG81" i="3" s="1"/>
  <c r="AJ25" i="3"/>
  <c r="AK25" i="3" s="1"/>
  <c r="AL24" i="3"/>
  <c r="AM24" i="3" s="1"/>
  <c r="BA25" i="3" s="1"/>
  <c r="BD25" i="3" s="1"/>
  <c r="BE25" i="3" s="1"/>
  <c r="BF25" i="3" s="1"/>
  <c r="BG25" i="3" s="1"/>
  <c r="AL47" i="3"/>
  <c r="AM47" i="3" s="1"/>
  <c r="BA48" i="3" s="1"/>
  <c r="BD48" i="3" s="1"/>
  <c r="BE48" i="3" s="1"/>
  <c r="BF48" i="3" s="1"/>
  <c r="BG48" i="3" s="1"/>
  <c r="AJ48" i="3"/>
  <c r="AK48" i="3" s="1"/>
  <c r="AJ75" i="3"/>
  <c r="AK75" i="3" s="1"/>
  <c r="AL74" i="3"/>
  <c r="AM74" i="3" s="1"/>
  <c r="BA75" i="3" s="1"/>
  <c r="BD75" i="3" s="1"/>
  <c r="BE75" i="3" s="1"/>
  <c r="BF75" i="3" s="1"/>
  <c r="BG75" i="3" s="1"/>
  <c r="AJ165" i="3"/>
  <c r="AK165" i="3" s="1"/>
  <c r="AL164" i="3"/>
  <c r="AM164" i="3" s="1"/>
  <c r="BA165" i="3" s="1"/>
  <c r="BD165" i="3" s="1"/>
  <c r="BE165" i="3" s="1"/>
  <c r="BF165" i="3" s="1"/>
  <c r="BG165" i="3" s="1"/>
  <c r="AJ116" i="3"/>
  <c r="AK116" i="3" s="1"/>
  <c r="AL115" i="3"/>
  <c r="AM115" i="3" s="1"/>
  <c r="BA116" i="3" s="1"/>
  <c r="BD116" i="3" s="1"/>
  <c r="BE116" i="3" s="1"/>
  <c r="BF116" i="3" s="1"/>
  <c r="BG116" i="3" s="1"/>
  <c r="AL138" i="3"/>
  <c r="AM138" i="3" s="1"/>
  <c r="BA139" i="3" s="1"/>
  <c r="BD139" i="3" s="1"/>
  <c r="BE139" i="3" s="1"/>
  <c r="BF139" i="3" s="1"/>
  <c r="BG139" i="3" s="1"/>
  <c r="AJ139" i="3"/>
  <c r="AK139" i="3" s="1"/>
  <c r="AJ242" i="3"/>
  <c r="AK242" i="3" s="1"/>
  <c r="AL241" i="3"/>
  <c r="AM241" i="3" s="1"/>
  <c r="BA242" i="3" s="1"/>
  <c r="BD242" i="3" s="1"/>
  <c r="BE242" i="3" s="1"/>
  <c r="BF242" i="3" s="1"/>
  <c r="BG242" i="3" s="1"/>
  <c r="AL228" i="3"/>
  <c r="AM228" i="3" s="1"/>
  <c r="BA229" i="3" s="1"/>
  <c r="BD229" i="3" s="1"/>
  <c r="BE229" i="3" s="1"/>
  <c r="BF229" i="3" s="1"/>
  <c r="BG229" i="3" s="1"/>
  <c r="AJ229" i="3"/>
  <c r="AK229" i="3" s="1"/>
  <c r="AJ299" i="3"/>
  <c r="AK299" i="3" s="1"/>
  <c r="AL298" i="3"/>
  <c r="AM298" i="3" s="1"/>
  <c r="BA299" i="3" s="1"/>
  <c r="BD299" i="3" s="1"/>
  <c r="BE299" i="3" s="1"/>
  <c r="BF299" i="3" s="1"/>
  <c r="BG299" i="3" s="1"/>
  <c r="AL230" i="3"/>
  <c r="AM230" i="3" s="1"/>
  <c r="BA231" i="3" s="1"/>
  <c r="BD231" i="3" s="1"/>
  <c r="BE231" i="3" s="1"/>
  <c r="BF231" i="3" s="1"/>
  <c r="BG231" i="3" s="1"/>
  <c r="AJ231" i="3"/>
  <c r="AK231" i="3" s="1"/>
  <c r="AJ230" i="3"/>
  <c r="AK230" i="3" s="1"/>
  <c r="AL229" i="3"/>
  <c r="AM229" i="3" s="1"/>
  <c r="BA230" i="3" s="1"/>
  <c r="BD230" i="3" s="1"/>
  <c r="BE230" i="3" s="1"/>
  <c r="BF230" i="3" s="1"/>
  <c r="BG230" i="3" s="1"/>
  <c r="AJ35" i="3"/>
  <c r="AK35" i="3" s="1"/>
  <c r="AL34" i="3"/>
  <c r="AM34" i="3" s="1"/>
  <c r="BA35" i="3" s="1"/>
  <c r="BD35" i="3" s="1"/>
  <c r="BE35" i="3" s="1"/>
  <c r="BF35" i="3" s="1"/>
  <c r="BG35" i="3" s="1"/>
  <c r="AJ378" i="3"/>
  <c r="AK378" i="3" s="1"/>
  <c r="AL377" i="3"/>
  <c r="AM377" i="3" s="1"/>
  <c r="BA378" i="3" s="1"/>
  <c r="BD378" i="3" s="1"/>
  <c r="BE378" i="3" s="1"/>
  <c r="BF378" i="3" s="1"/>
  <c r="BG378" i="3" s="1"/>
  <c r="AJ371" i="3"/>
  <c r="AK371" i="3" s="1"/>
  <c r="AL370" i="3"/>
  <c r="AM370" i="3" s="1"/>
  <c r="BA371" i="3" s="1"/>
  <c r="BD371" i="3" s="1"/>
  <c r="BE371" i="3" s="1"/>
  <c r="BF371" i="3" s="1"/>
  <c r="BG371" i="3" s="1"/>
  <c r="AJ369" i="3"/>
  <c r="AK369" i="3" s="1"/>
  <c r="AL368" i="3"/>
  <c r="AM368" i="3" s="1"/>
  <c r="BA369" i="3" s="1"/>
  <c r="BD369" i="3" s="1"/>
  <c r="BE369" i="3" s="1"/>
  <c r="BF369" i="3" s="1"/>
  <c r="BG369" i="3" s="1"/>
  <c r="AJ329" i="3"/>
  <c r="AK329" i="3" s="1"/>
  <c r="AL328" i="3"/>
  <c r="AM328" i="3" s="1"/>
  <c r="BA329" i="3" s="1"/>
  <c r="BD329" i="3" s="1"/>
  <c r="BE329" i="3" s="1"/>
  <c r="BF329" i="3" s="1"/>
  <c r="BG329" i="3" s="1"/>
  <c r="AJ321" i="3"/>
  <c r="AK321" i="3" s="1"/>
  <c r="AL320" i="3"/>
  <c r="AM320" i="3" s="1"/>
  <c r="BA321" i="3" s="1"/>
  <c r="BD321" i="3" s="1"/>
  <c r="BE321" i="3" s="1"/>
  <c r="BF321" i="3" s="1"/>
  <c r="BG321" i="3" s="1"/>
  <c r="AJ326" i="3"/>
  <c r="AK326" i="3" s="1"/>
  <c r="AL325" i="3"/>
  <c r="AM325" i="3" s="1"/>
  <c r="BA326" i="3" s="1"/>
  <c r="BD326" i="3" s="1"/>
  <c r="BE326" i="3" s="1"/>
  <c r="BF326" i="3" s="1"/>
  <c r="BG326" i="3" s="1"/>
  <c r="AJ271" i="3"/>
  <c r="AK271" i="3" s="1"/>
  <c r="AL270" i="3"/>
  <c r="AM270" i="3" s="1"/>
  <c r="BA271" i="3" s="1"/>
  <c r="BD271" i="3" s="1"/>
  <c r="BE271" i="3" s="1"/>
  <c r="BF271" i="3" s="1"/>
  <c r="BG271" i="3" s="1"/>
  <c r="AJ278" i="3"/>
  <c r="AK278" i="3" s="1"/>
  <c r="AL277" i="3"/>
  <c r="AM277" i="3" s="1"/>
  <c r="BA278" i="3" s="1"/>
  <c r="BD278" i="3" s="1"/>
  <c r="BE278" i="3" s="1"/>
  <c r="BF278" i="3" s="1"/>
  <c r="BG278" i="3" s="1"/>
  <c r="AL222" i="3"/>
  <c r="AM222" i="3" s="1"/>
  <c r="BA223" i="3" s="1"/>
  <c r="BD223" i="3" s="1"/>
  <c r="BE223" i="3" s="1"/>
  <c r="BF223" i="3" s="1"/>
  <c r="BG223" i="3" s="1"/>
  <c r="AJ223" i="3"/>
  <c r="AK223" i="3" s="1"/>
  <c r="AJ215" i="3"/>
  <c r="AK215" i="3" s="1"/>
  <c r="AL214" i="3"/>
  <c r="AM214" i="3" s="1"/>
  <c r="BA215" i="3" s="1"/>
  <c r="BD215" i="3" s="1"/>
  <c r="BE215" i="3" s="1"/>
  <c r="BF215" i="3" s="1"/>
  <c r="BG215" i="3" s="1"/>
  <c r="AJ183" i="3"/>
  <c r="AK183" i="3" s="1"/>
  <c r="AL182" i="3"/>
  <c r="AM182" i="3" s="1"/>
  <c r="BA183" i="3" s="1"/>
  <c r="BD183" i="3" s="1"/>
  <c r="BE183" i="3" s="1"/>
  <c r="BF183" i="3" s="1"/>
  <c r="BG183" i="3" s="1"/>
  <c r="AJ206" i="3"/>
  <c r="AK206" i="3" s="1"/>
  <c r="AL205" i="3"/>
  <c r="AM205" i="3" s="1"/>
  <c r="BA206" i="3" s="1"/>
  <c r="BD206" i="3" s="1"/>
  <c r="BE206" i="3" s="1"/>
  <c r="BF206" i="3" s="1"/>
  <c r="BG206" i="3" s="1"/>
  <c r="AJ158" i="3"/>
  <c r="AK158" i="3" s="1"/>
  <c r="AL157" i="3"/>
  <c r="AM157" i="3" s="1"/>
  <c r="BA158" i="3" s="1"/>
  <c r="BD158" i="3" s="1"/>
  <c r="BE158" i="3" s="1"/>
  <c r="BF158" i="3" s="1"/>
  <c r="BG158" i="3" s="1"/>
  <c r="AJ62" i="3"/>
  <c r="AK62" i="3" s="1"/>
  <c r="AL61" i="3"/>
  <c r="AM61" i="3" s="1"/>
  <c r="BA62" i="3" s="1"/>
  <c r="BD62" i="3" s="1"/>
  <c r="BE62" i="3" s="1"/>
  <c r="BF62" i="3" s="1"/>
  <c r="BG62" i="3" s="1"/>
  <c r="AJ176" i="3"/>
  <c r="AK176" i="3" s="1"/>
  <c r="AL175" i="3"/>
  <c r="AM175" i="3" s="1"/>
  <c r="BA176" i="3" s="1"/>
  <c r="BD176" i="3" s="1"/>
  <c r="BE176" i="3" s="1"/>
  <c r="BF176" i="3" s="1"/>
  <c r="BG176" i="3" s="1"/>
  <c r="AJ67" i="3"/>
  <c r="AK67" i="3" s="1"/>
  <c r="AL66" i="3"/>
  <c r="AM66" i="3" s="1"/>
  <c r="BA67" i="3" s="1"/>
  <c r="BD67" i="3" s="1"/>
  <c r="BE67" i="3" s="1"/>
  <c r="BF67" i="3" s="1"/>
  <c r="BG67" i="3" s="1"/>
  <c r="AJ100" i="3"/>
  <c r="AK100" i="3" s="1"/>
  <c r="AL99" i="3"/>
  <c r="AM99" i="3" s="1"/>
  <c r="BA100" i="3" s="1"/>
  <c r="BD100" i="3" s="1"/>
  <c r="BE100" i="3" s="1"/>
  <c r="BF100" i="3" s="1"/>
  <c r="BG100" i="3" s="1"/>
  <c r="AJ297" i="3"/>
  <c r="AK297" i="3" s="1"/>
  <c r="AL296" i="3"/>
  <c r="AM296" i="3" s="1"/>
  <c r="BA297" i="3" s="1"/>
  <c r="BD297" i="3" s="1"/>
  <c r="BE297" i="3" s="1"/>
  <c r="BF297" i="3" s="1"/>
  <c r="BG297" i="3" s="1"/>
  <c r="AJ311" i="3"/>
  <c r="AK311" i="3" s="1"/>
  <c r="AL310" i="3"/>
  <c r="AM310" i="3" s="1"/>
  <c r="BA311" i="3" s="1"/>
  <c r="BD311" i="3" s="1"/>
  <c r="BE311" i="3" s="1"/>
  <c r="BF311" i="3" s="1"/>
  <c r="BG311" i="3" s="1"/>
  <c r="AJ43" i="3"/>
  <c r="AK43" i="3" s="1"/>
  <c r="AL42" i="3"/>
  <c r="AM42" i="3" s="1"/>
  <c r="BA43" i="3" s="1"/>
  <c r="BD43" i="3" s="1"/>
  <c r="BE43" i="3" s="1"/>
  <c r="BF43" i="3" s="1"/>
  <c r="BG43" i="3" s="1"/>
  <c r="AL130" i="3"/>
  <c r="AM130" i="3" s="1"/>
  <c r="BA131" i="3" s="1"/>
  <c r="BD131" i="3" s="1"/>
  <c r="BE131" i="3" s="1"/>
  <c r="BF131" i="3" s="1"/>
  <c r="BG131" i="3" s="1"/>
  <c r="AJ131" i="3"/>
  <c r="AK131" i="3" s="1"/>
  <c r="AJ252" i="3"/>
  <c r="AK252" i="3" s="1"/>
  <c r="AL251" i="3"/>
  <c r="AM251" i="3" s="1"/>
  <c r="BA252" i="3" s="1"/>
  <c r="BD252" i="3" s="1"/>
  <c r="BE252" i="3" s="1"/>
  <c r="BF252" i="3" s="1"/>
  <c r="BG252" i="3" s="1"/>
  <c r="AJ7" i="3"/>
  <c r="AK7" i="3" s="1"/>
  <c r="AL6" i="3"/>
  <c r="AM6" i="3" s="1"/>
  <c r="AJ19" i="3"/>
  <c r="AK19" i="3" s="1"/>
  <c r="AL18" i="3"/>
  <c r="AM18" i="3" s="1"/>
  <c r="BA19" i="3" s="1"/>
  <c r="BD19" i="3" s="1"/>
  <c r="BE19" i="3" s="1"/>
  <c r="BF19" i="3" s="1"/>
  <c r="BG19" i="3" s="1"/>
  <c r="AL386" i="3"/>
  <c r="BN6" i="3"/>
  <c r="BO7" i="3" s="1"/>
  <c r="BP7" i="3" s="1"/>
  <c r="AJ339" i="3"/>
  <c r="AK339" i="3" s="1"/>
  <c r="AL338" i="3"/>
  <c r="AM338" i="3" s="1"/>
  <c r="BA339" i="3" s="1"/>
  <c r="BD339" i="3" s="1"/>
  <c r="BE339" i="3" s="1"/>
  <c r="BF339" i="3" s="1"/>
  <c r="BG339" i="3" s="1"/>
  <c r="AJ300" i="3"/>
  <c r="AK300" i="3" s="1"/>
  <c r="AL299" i="3"/>
  <c r="AM299" i="3" s="1"/>
  <c r="BA300" i="3" s="1"/>
  <c r="BD300" i="3" s="1"/>
  <c r="BE300" i="3" s="1"/>
  <c r="BF300" i="3" s="1"/>
  <c r="BG300" i="3" s="1"/>
  <c r="AJ261" i="3"/>
  <c r="AK261" i="3" s="1"/>
  <c r="AL260" i="3"/>
  <c r="AM260" i="3" s="1"/>
  <c r="BA261" i="3" s="1"/>
  <c r="BD261" i="3" s="1"/>
  <c r="BE261" i="3" s="1"/>
  <c r="BF261" i="3" s="1"/>
  <c r="BG261" i="3" s="1"/>
  <c r="AJ255" i="3"/>
  <c r="AK255" i="3" s="1"/>
  <c r="AL254" i="3"/>
  <c r="AM254" i="3" s="1"/>
  <c r="BA255" i="3" s="1"/>
  <c r="BD255" i="3" s="1"/>
  <c r="BE255" i="3" s="1"/>
  <c r="BF255" i="3" s="1"/>
  <c r="BG255" i="3" s="1"/>
  <c r="AJ205" i="3"/>
  <c r="AK205" i="3" s="1"/>
  <c r="AL204" i="3"/>
  <c r="AM204" i="3" s="1"/>
  <c r="BA205" i="3" s="1"/>
  <c r="BD205" i="3" s="1"/>
  <c r="BE205" i="3" s="1"/>
  <c r="BF205" i="3" s="1"/>
  <c r="BG205" i="3" s="1"/>
  <c r="AJ173" i="3"/>
  <c r="AK173" i="3" s="1"/>
  <c r="AL172" i="3"/>
  <c r="AM172" i="3" s="1"/>
  <c r="BA173" i="3" s="1"/>
  <c r="BD173" i="3" s="1"/>
  <c r="BE173" i="3" s="1"/>
  <c r="BF173" i="3" s="1"/>
  <c r="BG173" i="3" s="1"/>
  <c r="AJ220" i="3"/>
  <c r="AK220" i="3" s="1"/>
  <c r="AL219" i="3"/>
  <c r="AM219" i="3" s="1"/>
  <c r="BA220" i="3" s="1"/>
  <c r="BD220" i="3" s="1"/>
  <c r="BE220" i="3" s="1"/>
  <c r="BF220" i="3" s="1"/>
  <c r="BG220" i="3" s="1"/>
  <c r="AJ210" i="3"/>
  <c r="AK210" i="3" s="1"/>
  <c r="AL209" i="3"/>
  <c r="AM209" i="3" s="1"/>
  <c r="BA210" i="3" s="1"/>
  <c r="BD210" i="3" s="1"/>
  <c r="BE210" i="3" s="1"/>
  <c r="BF210" i="3" s="1"/>
  <c r="BG210" i="3" s="1"/>
  <c r="AJ155" i="3"/>
  <c r="AK155" i="3" s="1"/>
  <c r="AL154" i="3"/>
  <c r="AM154" i="3" s="1"/>
  <c r="BA155" i="3" s="1"/>
  <c r="BD155" i="3" s="1"/>
  <c r="BE155" i="3" s="1"/>
  <c r="BF155" i="3" s="1"/>
  <c r="BG155" i="3" s="1"/>
  <c r="AJ84" i="3"/>
  <c r="AK84" i="3" s="1"/>
  <c r="AL83" i="3"/>
  <c r="AM83" i="3" s="1"/>
  <c r="BA84" i="3" s="1"/>
  <c r="BD84" i="3" s="1"/>
  <c r="BE84" i="3" s="1"/>
  <c r="BF84" i="3" s="1"/>
  <c r="BG84" i="3" s="1"/>
  <c r="AJ52" i="3"/>
  <c r="AK52" i="3" s="1"/>
  <c r="AL51" i="3"/>
  <c r="AM51" i="3" s="1"/>
  <c r="BA52" i="3" s="1"/>
  <c r="BD52" i="3" s="1"/>
  <c r="BE52" i="3" s="1"/>
  <c r="BF52" i="3" s="1"/>
  <c r="BG52" i="3" s="1"/>
  <c r="AJ23" i="3"/>
  <c r="AK23" i="3" s="1"/>
  <c r="AL22" i="3"/>
  <c r="AM22" i="3" s="1"/>
  <c r="BA23" i="3" s="1"/>
  <c r="BD23" i="3" s="1"/>
  <c r="BE23" i="3" s="1"/>
  <c r="BF23" i="3" s="1"/>
  <c r="BG23" i="3" s="1"/>
  <c r="AL9" i="3"/>
  <c r="AM9" i="3" s="1"/>
  <c r="BA10" i="3" s="1"/>
  <c r="BD10" i="3" s="1"/>
  <c r="BE10" i="3" s="1"/>
  <c r="BF10" i="3" s="1"/>
  <c r="BG10" i="3" s="1"/>
  <c r="AJ10" i="3"/>
  <c r="AK10" i="3" s="1"/>
  <c r="AJ122" i="3"/>
  <c r="AK122" i="3" s="1"/>
  <c r="AL121" i="3"/>
  <c r="AM121" i="3" s="1"/>
  <c r="BA122" i="3" s="1"/>
  <c r="BD122" i="3" s="1"/>
  <c r="BE122" i="3" s="1"/>
  <c r="BF122" i="3" s="1"/>
  <c r="BG122" i="3" s="1"/>
  <c r="AL106" i="3"/>
  <c r="AM106" i="3" s="1"/>
  <c r="BA107" i="3" s="1"/>
  <c r="BD107" i="3" s="1"/>
  <c r="BE107" i="3" s="1"/>
  <c r="BF107" i="3" s="1"/>
  <c r="BG107" i="3" s="1"/>
  <c r="AJ107" i="3"/>
  <c r="AK107" i="3" s="1"/>
  <c r="AJ350" i="3"/>
  <c r="AK350" i="3" s="1"/>
  <c r="AL349" i="3"/>
  <c r="AM349" i="3" s="1"/>
  <c r="BA350" i="3" s="1"/>
  <c r="BD350" i="3" s="1"/>
  <c r="BE350" i="3" s="1"/>
  <c r="BF350" i="3" s="1"/>
  <c r="BG350" i="3" s="1"/>
  <c r="AJ287" i="3"/>
  <c r="AK287" i="3" s="1"/>
  <c r="AL286" i="3"/>
  <c r="AM286" i="3" s="1"/>
  <c r="BA287" i="3" s="1"/>
  <c r="BD287" i="3" s="1"/>
  <c r="BE287" i="3" s="1"/>
  <c r="BF287" i="3" s="1"/>
  <c r="BG287" i="3" s="1"/>
  <c r="AJ146" i="3"/>
  <c r="AK146" i="3" s="1"/>
  <c r="AL145" i="3"/>
  <c r="AM145" i="3" s="1"/>
  <c r="BA146" i="3" s="1"/>
  <c r="BD146" i="3" s="1"/>
  <c r="BE146" i="3" s="1"/>
  <c r="BF146" i="3" s="1"/>
  <c r="BG146" i="3" s="1"/>
  <c r="AJ114" i="3"/>
  <c r="AK114" i="3" s="1"/>
  <c r="AL113" i="3"/>
  <c r="AM113" i="3" s="1"/>
  <c r="BA114" i="3" s="1"/>
  <c r="BD114" i="3" s="1"/>
  <c r="BE114" i="3" s="1"/>
  <c r="BF114" i="3" s="1"/>
  <c r="BG114" i="3" s="1"/>
  <c r="AJ37" i="3"/>
  <c r="AK37" i="3" s="1"/>
  <c r="AL36" i="3"/>
  <c r="AM36" i="3" s="1"/>
  <c r="BA37" i="3" s="1"/>
  <c r="BD37" i="3" s="1"/>
  <c r="BE37" i="3" s="1"/>
  <c r="BF37" i="3" s="1"/>
  <c r="BG37" i="3" s="1"/>
  <c r="AJ232" i="3"/>
  <c r="AK232" i="3" s="1"/>
  <c r="AL231" i="3"/>
  <c r="AM231" i="3" s="1"/>
  <c r="BA232" i="3" s="1"/>
  <c r="BD232" i="3" s="1"/>
  <c r="BE232" i="3" s="1"/>
  <c r="BF232" i="3" s="1"/>
  <c r="BG232" i="3" s="1"/>
  <c r="AJ382" i="3"/>
  <c r="AK382" i="3" s="1"/>
  <c r="AL381" i="3"/>
  <c r="AM381" i="3" s="1"/>
  <c r="BA382" i="3" s="1"/>
  <c r="BD382" i="3" s="1"/>
  <c r="BE382" i="3" s="1"/>
  <c r="BF382" i="3" s="1"/>
  <c r="BG382" i="3" s="1"/>
  <c r="AJ372" i="3"/>
  <c r="AK372" i="3" s="1"/>
  <c r="AL371" i="3"/>
  <c r="AM371" i="3" s="1"/>
  <c r="BA372" i="3" s="1"/>
  <c r="BD372" i="3" s="1"/>
  <c r="BE372" i="3" s="1"/>
  <c r="BF372" i="3" s="1"/>
  <c r="BG372" i="3" s="1"/>
  <c r="AJ351" i="3"/>
  <c r="AK351" i="3" s="1"/>
  <c r="AL350" i="3"/>
  <c r="AM350" i="3" s="1"/>
  <c r="BA351" i="3" s="1"/>
  <c r="BD351" i="3" s="1"/>
  <c r="BE351" i="3" s="1"/>
  <c r="BF351" i="3" s="1"/>
  <c r="BG351" i="3" s="1"/>
  <c r="AJ349" i="3"/>
  <c r="AK349" i="3" s="1"/>
  <c r="AL348" i="3"/>
  <c r="AM348" i="3" s="1"/>
  <c r="BA349" i="3" s="1"/>
  <c r="BD349" i="3" s="1"/>
  <c r="BE349" i="3" s="1"/>
  <c r="BF349" i="3" s="1"/>
  <c r="BG349" i="3" s="1"/>
  <c r="AJ362" i="3"/>
  <c r="AK362" i="3" s="1"/>
  <c r="AL361" i="3"/>
  <c r="AM361" i="3" s="1"/>
  <c r="BA362" i="3" s="1"/>
  <c r="BD362" i="3" s="1"/>
  <c r="BE362" i="3" s="1"/>
  <c r="BF362" i="3" s="1"/>
  <c r="BG362" i="3" s="1"/>
  <c r="AJ294" i="3"/>
  <c r="AK294" i="3" s="1"/>
  <c r="AL293" i="3"/>
  <c r="AM293" i="3" s="1"/>
  <c r="BA294" i="3" s="1"/>
  <c r="BD294" i="3" s="1"/>
  <c r="BE294" i="3" s="1"/>
  <c r="BF294" i="3" s="1"/>
  <c r="BG294" i="3" s="1"/>
  <c r="AJ286" i="3"/>
  <c r="AK286" i="3" s="1"/>
  <c r="AL285" i="3"/>
  <c r="AM285" i="3" s="1"/>
  <c r="BA286" i="3" s="1"/>
  <c r="BD286" i="3" s="1"/>
  <c r="BE286" i="3" s="1"/>
  <c r="BF286" i="3" s="1"/>
  <c r="BG286" i="3" s="1"/>
  <c r="AJ195" i="3"/>
  <c r="AK195" i="3" s="1"/>
  <c r="AL194" i="3"/>
  <c r="AM194" i="3" s="1"/>
  <c r="BA195" i="3" s="1"/>
  <c r="BD195" i="3" s="1"/>
  <c r="BE195" i="3" s="1"/>
  <c r="BF195" i="3" s="1"/>
  <c r="BG195" i="3" s="1"/>
  <c r="AJ180" i="3"/>
  <c r="AK180" i="3" s="1"/>
  <c r="AL179" i="3"/>
  <c r="AM179" i="3" s="1"/>
  <c r="BA180" i="3" s="1"/>
  <c r="BD180" i="3" s="1"/>
  <c r="BE180" i="3" s="1"/>
  <c r="BF180" i="3" s="1"/>
  <c r="BG180" i="3" s="1"/>
  <c r="AJ170" i="3"/>
  <c r="AK170" i="3" s="1"/>
  <c r="AL169" i="3"/>
  <c r="AM169" i="3" s="1"/>
  <c r="BA170" i="3" s="1"/>
  <c r="BD170" i="3" s="1"/>
  <c r="BE170" i="3" s="1"/>
  <c r="BF170" i="3" s="1"/>
  <c r="BG170" i="3" s="1"/>
  <c r="AJ90" i="3"/>
  <c r="AK90" i="3" s="1"/>
  <c r="AL89" i="3"/>
  <c r="AM89" i="3" s="1"/>
  <c r="BA90" i="3" s="1"/>
  <c r="BD90" i="3" s="1"/>
  <c r="BE90" i="3" s="1"/>
  <c r="BF90" i="3" s="1"/>
  <c r="BG90" i="3" s="1"/>
  <c r="AJ66" i="3"/>
  <c r="AK66" i="3" s="1"/>
  <c r="AL65" i="3"/>
  <c r="AM65" i="3" s="1"/>
  <c r="BA66" i="3" s="1"/>
  <c r="BD66" i="3" s="1"/>
  <c r="BE66" i="3" s="1"/>
  <c r="BF66" i="3" s="1"/>
  <c r="BG66" i="3" s="1"/>
  <c r="AJ192" i="3"/>
  <c r="AK192" i="3" s="1"/>
  <c r="AL191" i="3"/>
  <c r="AM191" i="3" s="1"/>
  <c r="BA192" i="3" s="1"/>
  <c r="BD192" i="3" s="1"/>
  <c r="BE192" i="3" s="1"/>
  <c r="BF192" i="3" s="1"/>
  <c r="BG192" i="3" s="1"/>
  <c r="AJ87" i="3"/>
  <c r="AK87" i="3" s="1"/>
  <c r="AL86" i="3"/>
  <c r="AM86" i="3" s="1"/>
  <c r="BA87" i="3" s="1"/>
  <c r="BD87" i="3" s="1"/>
  <c r="BE87" i="3" s="1"/>
  <c r="BF87" i="3" s="1"/>
  <c r="BG87" i="3" s="1"/>
  <c r="AJ69" i="3"/>
  <c r="AK69" i="3" s="1"/>
  <c r="AL68" i="3"/>
  <c r="AM68" i="3" s="1"/>
  <c r="BA69" i="3" s="1"/>
  <c r="BD69" i="3" s="1"/>
  <c r="BE69" i="3" s="1"/>
  <c r="BF69" i="3" s="1"/>
  <c r="BG69" i="3" s="1"/>
  <c r="AJ102" i="3"/>
  <c r="AK102" i="3" s="1"/>
  <c r="AL101" i="3"/>
  <c r="AM101" i="3" s="1"/>
  <c r="BA102" i="3" s="1"/>
  <c r="BD102" i="3" s="1"/>
  <c r="BE102" i="3" s="1"/>
  <c r="BF102" i="3" s="1"/>
  <c r="BG102" i="3" s="1"/>
  <c r="AL124" i="3"/>
  <c r="AM124" i="3" s="1"/>
  <c r="BA125" i="3" s="1"/>
  <c r="BD125" i="3" s="1"/>
  <c r="BE125" i="3" s="1"/>
  <c r="BF125" i="3" s="1"/>
  <c r="BG125" i="3" s="1"/>
  <c r="AJ125" i="3"/>
  <c r="AK125" i="3" s="1"/>
  <c r="AJ228" i="3"/>
  <c r="AK228" i="3" s="1"/>
  <c r="AL227" i="3"/>
  <c r="AM227" i="3" s="1"/>
  <c r="BA228" i="3" s="1"/>
  <c r="BD228" i="3" s="1"/>
  <c r="BE228" i="3" s="1"/>
  <c r="BF228" i="3" s="1"/>
  <c r="BG228" i="3" s="1"/>
  <c r="AJ344" i="3"/>
  <c r="AK344" i="3" s="1"/>
  <c r="AL343" i="3"/>
  <c r="AM343" i="3" s="1"/>
  <c r="BA344" i="3" s="1"/>
  <c r="BD344" i="3" s="1"/>
  <c r="BE344" i="3" s="1"/>
  <c r="BF344" i="3" s="1"/>
  <c r="BG344" i="3" s="1"/>
  <c r="AJ20" i="3"/>
  <c r="AK20" i="3" s="1"/>
  <c r="AL19" i="3"/>
  <c r="AM19" i="3" s="1"/>
  <c r="BA20" i="3" s="1"/>
  <c r="BD20" i="3" s="1"/>
  <c r="BE20" i="3" s="1"/>
  <c r="BF20" i="3" s="1"/>
  <c r="BG20" i="3" s="1"/>
  <c r="AJ32" i="3"/>
  <c r="AK32" i="3" s="1"/>
  <c r="AL31" i="3"/>
  <c r="AM31" i="3" s="1"/>
  <c r="BA32" i="3" s="1"/>
  <c r="BD32" i="3" s="1"/>
  <c r="BE32" i="3" s="1"/>
  <c r="BF32" i="3" s="1"/>
  <c r="BG32" i="3" s="1"/>
  <c r="AJ140" i="3"/>
  <c r="AK140" i="3" s="1"/>
  <c r="AL139" i="3"/>
  <c r="AM139" i="3" s="1"/>
  <c r="BA140" i="3" s="1"/>
  <c r="BD140" i="3" s="1"/>
  <c r="BE140" i="3" s="1"/>
  <c r="BF140" i="3" s="1"/>
  <c r="BG140" i="3" s="1"/>
  <c r="AJ249" i="3"/>
  <c r="AK249" i="3" s="1"/>
  <c r="AL248" i="3"/>
  <c r="AM248" i="3" s="1"/>
  <c r="BA249" i="3" s="1"/>
  <c r="BD249" i="3" s="1"/>
  <c r="BE249" i="3" s="1"/>
  <c r="BF249" i="3" s="1"/>
  <c r="BG249" i="3" s="1"/>
  <c r="AL347" i="3"/>
  <c r="AM347" i="3" s="1"/>
  <c r="BA348" i="3" s="1"/>
  <c r="BD348" i="3" s="1"/>
  <c r="BE348" i="3" s="1"/>
  <c r="BF348" i="3" s="1"/>
  <c r="BG348" i="3" s="1"/>
  <c r="AJ348" i="3"/>
  <c r="AK348" i="3" s="1"/>
  <c r="AJ132" i="3"/>
  <c r="AK132" i="3" s="1"/>
  <c r="AL131" i="3"/>
  <c r="AM131" i="3" s="1"/>
  <c r="BA132" i="3" s="1"/>
  <c r="BD132" i="3" s="1"/>
  <c r="BE132" i="3" s="1"/>
  <c r="BF132" i="3" s="1"/>
  <c r="BG132" i="3" s="1"/>
  <c r="AL140" i="3"/>
  <c r="AM140" i="3" s="1"/>
  <c r="BA141" i="3" s="1"/>
  <c r="BD141" i="3" s="1"/>
  <c r="BE141" i="3" s="1"/>
  <c r="BF141" i="3" s="1"/>
  <c r="BG141" i="3" s="1"/>
  <c r="AJ141" i="3"/>
  <c r="AK141" i="3" s="1"/>
  <c r="AJ144" i="3"/>
  <c r="AK144" i="3" s="1"/>
  <c r="AL143" i="3"/>
  <c r="AM143" i="3" s="1"/>
  <c r="BA144" i="3" s="1"/>
  <c r="BD144" i="3" s="1"/>
  <c r="BE144" i="3" s="1"/>
  <c r="BF144" i="3" s="1"/>
  <c r="BG144" i="3" s="1"/>
  <c r="AJ289" i="3"/>
  <c r="AK289" i="3" s="1"/>
  <c r="AL288" i="3"/>
  <c r="AM288" i="3" s="1"/>
  <c r="BA289" i="3" s="1"/>
  <c r="BD289" i="3" s="1"/>
  <c r="BE289" i="3" s="1"/>
  <c r="BF289" i="3" s="1"/>
  <c r="BG289" i="3" s="1"/>
  <c r="AJ384" i="3"/>
  <c r="AL383" i="3"/>
  <c r="AM383" i="3" s="1"/>
  <c r="BA384" i="3" s="1"/>
  <c r="AJ370" i="3"/>
  <c r="AK370" i="3" s="1"/>
  <c r="AL369" i="3"/>
  <c r="AM369" i="3" s="1"/>
  <c r="BA370" i="3" s="1"/>
  <c r="BD370" i="3" s="1"/>
  <c r="BE370" i="3" s="1"/>
  <c r="BF370" i="3" s="1"/>
  <c r="BG370" i="3" s="1"/>
  <c r="AJ357" i="3"/>
  <c r="AK357" i="3" s="1"/>
  <c r="AL356" i="3"/>
  <c r="AM356" i="3" s="1"/>
  <c r="BA357" i="3" s="1"/>
  <c r="BD357" i="3" s="1"/>
  <c r="BE357" i="3" s="1"/>
  <c r="BF357" i="3" s="1"/>
  <c r="BG357" i="3" s="1"/>
  <c r="AJ376" i="3"/>
  <c r="AK376" i="3" s="1"/>
  <c r="AL375" i="3"/>
  <c r="AM375" i="3" s="1"/>
  <c r="BA376" i="3" s="1"/>
  <c r="BD376" i="3" s="1"/>
  <c r="BE376" i="3" s="1"/>
  <c r="BF376" i="3" s="1"/>
  <c r="BG376" i="3" s="1"/>
  <c r="AJ306" i="3"/>
  <c r="AK306" i="3" s="1"/>
  <c r="AL305" i="3"/>
  <c r="AM305" i="3" s="1"/>
  <c r="BA306" i="3" s="1"/>
  <c r="BD306" i="3" s="1"/>
  <c r="BE306" i="3" s="1"/>
  <c r="BF306" i="3" s="1"/>
  <c r="BG306" i="3" s="1"/>
  <c r="AJ274" i="3"/>
  <c r="AK274" i="3" s="1"/>
  <c r="AL273" i="3"/>
  <c r="AM273" i="3" s="1"/>
  <c r="BA274" i="3" s="1"/>
  <c r="BD274" i="3" s="1"/>
  <c r="BE274" i="3" s="1"/>
  <c r="BF274" i="3" s="1"/>
  <c r="BG274" i="3" s="1"/>
  <c r="AJ201" i="3"/>
  <c r="AK201" i="3" s="1"/>
  <c r="AL200" i="3"/>
  <c r="AM200" i="3" s="1"/>
  <c r="BA201" i="3" s="1"/>
  <c r="BD201" i="3" s="1"/>
  <c r="BE201" i="3" s="1"/>
  <c r="BF201" i="3" s="1"/>
  <c r="BG201" i="3" s="1"/>
  <c r="AJ169" i="3"/>
  <c r="AK169" i="3" s="1"/>
  <c r="AL168" i="3"/>
  <c r="AM168" i="3" s="1"/>
  <c r="BA169" i="3" s="1"/>
  <c r="BD169" i="3" s="1"/>
  <c r="BE169" i="3" s="1"/>
  <c r="BF169" i="3" s="1"/>
  <c r="BG169" i="3" s="1"/>
  <c r="AJ204" i="3"/>
  <c r="AK204" i="3" s="1"/>
  <c r="AL203" i="3"/>
  <c r="AM203" i="3" s="1"/>
  <c r="BA204" i="3" s="1"/>
  <c r="BD204" i="3" s="1"/>
  <c r="BE204" i="3" s="1"/>
  <c r="BF204" i="3" s="1"/>
  <c r="BG204" i="3" s="1"/>
  <c r="AJ194" i="3"/>
  <c r="AK194" i="3" s="1"/>
  <c r="AL193" i="3"/>
  <c r="AM193" i="3" s="1"/>
  <c r="BA194" i="3" s="1"/>
  <c r="BD194" i="3" s="1"/>
  <c r="BE194" i="3" s="1"/>
  <c r="BF194" i="3" s="1"/>
  <c r="BG194" i="3" s="1"/>
  <c r="AJ80" i="3"/>
  <c r="AK80" i="3" s="1"/>
  <c r="AL79" i="3"/>
  <c r="AM79" i="3" s="1"/>
  <c r="BA80" i="3" s="1"/>
  <c r="BD80" i="3" s="1"/>
  <c r="BE80" i="3" s="1"/>
  <c r="BF80" i="3" s="1"/>
  <c r="BG80" i="3" s="1"/>
  <c r="AJ79" i="3"/>
  <c r="AK79" i="3" s="1"/>
  <c r="AL78" i="3"/>
  <c r="AM78" i="3" s="1"/>
  <c r="BA79" i="3" s="1"/>
  <c r="BD79" i="3" s="1"/>
  <c r="BE79" i="3" s="1"/>
  <c r="BF79" i="3" s="1"/>
  <c r="BG79" i="3" s="1"/>
  <c r="AJ119" i="3"/>
  <c r="AK119" i="3" s="1"/>
  <c r="AL118" i="3"/>
  <c r="AM118" i="3" s="1"/>
  <c r="BA119" i="3" s="1"/>
  <c r="BD119" i="3" s="1"/>
  <c r="BE119" i="3" s="1"/>
  <c r="BF119" i="3" s="1"/>
  <c r="BG119" i="3" s="1"/>
  <c r="AJ92" i="3"/>
  <c r="AK92" i="3" s="1"/>
  <c r="AL91" i="3"/>
  <c r="AM91" i="3" s="1"/>
  <c r="BA92" i="3" s="1"/>
  <c r="BD92" i="3" s="1"/>
  <c r="BE92" i="3" s="1"/>
  <c r="BF92" i="3" s="1"/>
  <c r="BG92" i="3" s="1"/>
  <c r="AJ136" i="3"/>
  <c r="AK136" i="3" s="1"/>
  <c r="AL135" i="3"/>
  <c r="AM135" i="3" s="1"/>
  <c r="BA136" i="3" s="1"/>
  <c r="BD136" i="3" s="1"/>
  <c r="BE136" i="3" s="1"/>
  <c r="BF136" i="3" s="1"/>
  <c r="BG136" i="3" s="1"/>
  <c r="AJ110" i="3"/>
  <c r="AK110" i="3" s="1"/>
  <c r="AL109" i="3"/>
  <c r="AM109" i="3" s="1"/>
  <c r="BA110" i="3" s="1"/>
  <c r="BD110" i="3" s="1"/>
  <c r="BE110" i="3" s="1"/>
  <c r="BF110" i="3" s="1"/>
  <c r="BG110" i="3" s="1"/>
  <c r="AJ256" i="3"/>
  <c r="AK256" i="3" s="1"/>
  <c r="AL255" i="3"/>
  <c r="AM255" i="3" s="1"/>
  <c r="BA256" i="3" s="1"/>
  <c r="BD256" i="3" s="1"/>
  <c r="BE256" i="3" s="1"/>
  <c r="BF256" i="3" s="1"/>
  <c r="BG256" i="3" s="1"/>
  <c r="AL45" i="3"/>
  <c r="AM45" i="3" s="1"/>
  <c r="BA46" i="3" s="1"/>
  <c r="BD46" i="3" s="1"/>
  <c r="BE46" i="3" s="1"/>
  <c r="BF46" i="3" s="1"/>
  <c r="BG46" i="3" s="1"/>
  <c r="AJ46" i="3"/>
  <c r="AK46" i="3" s="1"/>
  <c r="AJ93" i="3"/>
  <c r="AK93" i="3" s="1"/>
  <c r="AL92" i="3"/>
  <c r="AM92" i="3" s="1"/>
  <c r="BA93" i="3" s="1"/>
  <c r="BD93" i="3" s="1"/>
  <c r="BE93" i="3" s="1"/>
  <c r="BF93" i="3" s="1"/>
  <c r="BG93" i="3" s="1"/>
  <c r="AJ134" i="3"/>
  <c r="AK134" i="3" s="1"/>
  <c r="AL133" i="3"/>
  <c r="AM133" i="3" s="1"/>
  <c r="BA134" i="3" s="1"/>
  <c r="BD134" i="3" s="1"/>
  <c r="BE134" i="3" s="1"/>
  <c r="BF134" i="3" s="1"/>
  <c r="BG134" i="3" s="1"/>
  <c r="AL238" i="3"/>
  <c r="AM238" i="3" s="1"/>
  <c r="BA239" i="3" s="1"/>
  <c r="BD239" i="3" s="1"/>
  <c r="BE239" i="3" s="1"/>
  <c r="BF239" i="3" s="1"/>
  <c r="BG239" i="3" s="1"/>
  <c r="AJ239" i="3"/>
  <c r="AK239" i="3" s="1"/>
  <c r="AJ293" i="3"/>
  <c r="AK293" i="3" s="1"/>
  <c r="AL292" i="3"/>
  <c r="AM292" i="3" s="1"/>
  <c r="BA293" i="3" s="1"/>
  <c r="BD293" i="3" s="1"/>
  <c r="BE293" i="3" s="1"/>
  <c r="BF293" i="3" s="1"/>
  <c r="BG293" i="3" s="1"/>
  <c r="AJ13" i="3"/>
  <c r="AK13" i="3" s="1"/>
  <c r="AL12" i="3"/>
  <c r="AM12" i="3" s="1"/>
  <c r="BA13" i="3" s="1"/>
  <c r="BD13" i="3" s="1"/>
  <c r="BE13" i="3" s="1"/>
  <c r="BF13" i="3" s="1"/>
  <c r="BG13" i="3" s="1"/>
  <c r="AL114" i="3"/>
  <c r="AM114" i="3" s="1"/>
  <c r="BA115" i="3" s="1"/>
  <c r="BD115" i="3" s="1"/>
  <c r="BE115" i="3" s="1"/>
  <c r="BF115" i="3" s="1"/>
  <c r="BG115" i="3" s="1"/>
  <c r="AJ115" i="3"/>
  <c r="AK115" i="3" s="1"/>
  <c r="AJ385" i="3"/>
  <c r="AL384" i="3"/>
  <c r="BN4" i="3"/>
  <c r="AJ345" i="3"/>
  <c r="AK345" i="3" s="1"/>
  <c r="AL344" i="3"/>
  <c r="AM344" i="3" s="1"/>
  <c r="BA345" i="3" s="1"/>
  <c r="BD345" i="3" s="1"/>
  <c r="BE345" i="3" s="1"/>
  <c r="BF345" i="3" s="1"/>
  <c r="BG345" i="3" s="1"/>
  <c r="AJ358" i="3"/>
  <c r="AK358" i="3" s="1"/>
  <c r="AL357" i="3"/>
  <c r="AM357" i="3" s="1"/>
  <c r="BA358" i="3" s="1"/>
  <c r="BD358" i="3" s="1"/>
  <c r="BE358" i="3" s="1"/>
  <c r="BF358" i="3" s="1"/>
  <c r="BG358" i="3" s="1"/>
  <c r="AJ338" i="3"/>
  <c r="AK338" i="3" s="1"/>
  <c r="AL337" i="3"/>
  <c r="AM337" i="3" s="1"/>
  <c r="BA338" i="3" s="1"/>
  <c r="BD338" i="3" s="1"/>
  <c r="BE338" i="3" s="1"/>
  <c r="BF338" i="3" s="1"/>
  <c r="BG338" i="3" s="1"/>
  <c r="AJ334" i="3"/>
  <c r="AK334" i="3" s="1"/>
  <c r="AL333" i="3"/>
  <c r="AM333" i="3" s="1"/>
  <c r="BA334" i="3" s="1"/>
  <c r="BD334" i="3" s="1"/>
  <c r="BE334" i="3" s="1"/>
  <c r="BF334" i="3" s="1"/>
  <c r="BG334" i="3" s="1"/>
  <c r="AJ290" i="3"/>
  <c r="AK290" i="3" s="1"/>
  <c r="AL289" i="3"/>
  <c r="AM289" i="3" s="1"/>
  <c r="BA290" i="3" s="1"/>
  <c r="BD290" i="3" s="1"/>
  <c r="BE290" i="3" s="1"/>
  <c r="BF290" i="3" s="1"/>
  <c r="BG290" i="3" s="1"/>
  <c r="AJ279" i="3"/>
  <c r="AK279" i="3" s="1"/>
  <c r="AL278" i="3"/>
  <c r="AM278" i="3" s="1"/>
  <c r="BA279" i="3" s="1"/>
  <c r="BD279" i="3" s="1"/>
  <c r="BE279" i="3" s="1"/>
  <c r="BF279" i="3" s="1"/>
  <c r="BG279" i="3" s="1"/>
  <c r="AJ304" i="3"/>
  <c r="AK304" i="3" s="1"/>
  <c r="AL303" i="3"/>
  <c r="AM303" i="3" s="1"/>
  <c r="BA304" i="3" s="1"/>
  <c r="BD304" i="3" s="1"/>
  <c r="BE304" i="3" s="1"/>
  <c r="BF304" i="3" s="1"/>
  <c r="BG304" i="3" s="1"/>
  <c r="AJ264" i="3"/>
  <c r="AK264" i="3" s="1"/>
  <c r="AL263" i="3"/>
  <c r="AM263" i="3" s="1"/>
  <c r="BA264" i="3" s="1"/>
  <c r="BD264" i="3" s="1"/>
  <c r="BE264" i="3" s="1"/>
  <c r="BF264" i="3" s="1"/>
  <c r="BG264" i="3" s="1"/>
  <c r="AJ191" i="3"/>
  <c r="AK191" i="3" s="1"/>
  <c r="AL190" i="3"/>
  <c r="AM190" i="3" s="1"/>
  <c r="BA191" i="3" s="1"/>
  <c r="BD191" i="3" s="1"/>
  <c r="BE191" i="3" s="1"/>
  <c r="BF191" i="3" s="1"/>
  <c r="BG191" i="3" s="1"/>
  <c r="AJ310" i="3"/>
  <c r="AK310" i="3" s="1"/>
  <c r="AL309" i="3"/>
  <c r="AM309" i="3" s="1"/>
  <c r="BA310" i="3" s="1"/>
  <c r="BD310" i="3" s="1"/>
  <c r="BE310" i="3" s="1"/>
  <c r="BF310" i="3" s="1"/>
  <c r="BG310" i="3" s="1"/>
  <c r="AJ166" i="3"/>
  <c r="AK166" i="3" s="1"/>
  <c r="AL165" i="3"/>
  <c r="AM165" i="3" s="1"/>
  <c r="BA166" i="3" s="1"/>
  <c r="BD166" i="3" s="1"/>
  <c r="BE166" i="3" s="1"/>
  <c r="BF166" i="3" s="1"/>
  <c r="BG166" i="3" s="1"/>
  <c r="AJ70" i="3"/>
  <c r="AK70" i="3" s="1"/>
  <c r="AL69" i="3"/>
  <c r="AM69" i="3" s="1"/>
  <c r="BA70" i="3" s="1"/>
  <c r="BD70" i="3" s="1"/>
  <c r="BE70" i="3" s="1"/>
  <c r="BF70" i="3" s="1"/>
  <c r="BG70" i="3" s="1"/>
  <c r="AJ208" i="3"/>
  <c r="AK208" i="3" s="1"/>
  <c r="AL207" i="3"/>
  <c r="AM207" i="3" s="1"/>
  <c r="BA208" i="3" s="1"/>
  <c r="BD208" i="3" s="1"/>
  <c r="BE208" i="3" s="1"/>
  <c r="BF208" i="3" s="1"/>
  <c r="BG208" i="3" s="1"/>
  <c r="AJ73" i="3"/>
  <c r="AK73" i="3" s="1"/>
  <c r="AL72" i="3"/>
  <c r="AM72" i="3" s="1"/>
  <c r="BA73" i="3" s="1"/>
  <c r="BD73" i="3" s="1"/>
  <c r="BE73" i="3" s="1"/>
  <c r="BF73" i="3" s="1"/>
  <c r="BG73" i="3" s="1"/>
  <c r="AJ28" i="3"/>
  <c r="AK28" i="3" s="1"/>
  <c r="AL27" i="3"/>
  <c r="AM27" i="3" s="1"/>
  <c r="BA28" i="3" s="1"/>
  <c r="BD28" i="3" s="1"/>
  <c r="BE28" i="3" s="1"/>
  <c r="BF28" i="3" s="1"/>
  <c r="BG28" i="3" s="1"/>
  <c r="AJ8" i="3"/>
  <c r="AK8" i="3" s="1"/>
  <c r="AL7" i="3"/>
  <c r="AM7" i="3" s="1"/>
  <c r="AJ53" i="3"/>
  <c r="AK53" i="3" s="1"/>
  <c r="AL52" i="3"/>
  <c r="AM52" i="3" s="1"/>
  <c r="BA53" i="3" s="1"/>
  <c r="BD53" i="3" s="1"/>
  <c r="BE53" i="3" s="1"/>
  <c r="BF53" i="3" s="1"/>
  <c r="BG53" i="3" s="1"/>
  <c r="AJ137" i="3"/>
  <c r="AK137" i="3" s="1"/>
  <c r="AL136" i="3"/>
  <c r="AM136" i="3" s="1"/>
  <c r="BA137" i="3" s="1"/>
  <c r="BD137" i="3" s="1"/>
  <c r="BE137" i="3" s="1"/>
  <c r="BF137" i="3" s="1"/>
  <c r="BG137" i="3" s="1"/>
  <c r="AJ99" i="3"/>
  <c r="AK99" i="3" s="1"/>
  <c r="AL98" i="3"/>
  <c r="AM98" i="3" s="1"/>
  <c r="BA99" i="3" s="1"/>
  <c r="BD99" i="3" s="1"/>
  <c r="BE99" i="3" s="1"/>
  <c r="BF99" i="3" s="1"/>
  <c r="BG99" i="3" s="1"/>
  <c r="AJ150" i="3"/>
  <c r="AK150" i="3" s="1"/>
  <c r="AL149" i="3"/>
  <c r="AM149" i="3" s="1"/>
  <c r="BA150" i="3" s="1"/>
  <c r="BD150" i="3" s="1"/>
  <c r="BE150" i="3" s="1"/>
  <c r="BF150" i="3" s="1"/>
  <c r="BG150" i="3" s="1"/>
  <c r="AJ254" i="3"/>
  <c r="AK254" i="3" s="1"/>
  <c r="AL253" i="3"/>
  <c r="AM253" i="3" s="1"/>
  <c r="BA254" i="3" s="1"/>
  <c r="BD254" i="3" s="1"/>
  <c r="BE254" i="3" s="1"/>
  <c r="BF254" i="3" s="1"/>
  <c r="BG254" i="3" s="1"/>
  <c r="AJ44" i="3"/>
  <c r="AK44" i="3" s="1"/>
  <c r="AL43" i="3"/>
  <c r="AM43" i="3" s="1"/>
  <c r="BA44" i="3" s="1"/>
  <c r="BD44" i="3" s="1"/>
  <c r="BE44" i="3" s="1"/>
  <c r="BF44" i="3" s="1"/>
  <c r="BG44" i="3" s="1"/>
  <c r="AJ128" i="3"/>
  <c r="AK128" i="3" s="1"/>
  <c r="AL127" i="3"/>
  <c r="AM127" i="3" s="1"/>
  <c r="BA128" i="3" s="1"/>
  <c r="BD128" i="3" s="1"/>
  <c r="BE128" i="3" s="1"/>
  <c r="BF128" i="3" s="1"/>
  <c r="BG128" i="3" s="1"/>
  <c r="AJ301" i="3"/>
  <c r="AK301" i="3" s="1"/>
  <c r="AL300" i="3"/>
  <c r="AM300" i="3" s="1"/>
  <c r="BA301" i="3" s="1"/>
  <c r="BD301" i="3" s="1"/>
  <c r="BE301" i="3" s="1"/>
  <c r="BF301" i="3" s="1"/>
  <c r="BG301" i="3" s="1"/>
  <c r="AL132" i="3"/>
  <c r="AM132" i="3" s="1"/>
  <c r="BA133" i="3" s="1"/>
  <c r="BD133" i="3" s="1"/>
  <c r="BE133" i="3" s="1"/>
  <c r="BF133" i="3" s="1"/>
  <c r="BG133" i="3" s="1"/>
  <c r="AJ133" i="3"/>
  <c r="AK133" i="3" s="1"/>
  <c r="AJ309" i="3"/>
  <c r="AK309" i="3" s="1"/>
  <c r="AL308" i="3"/>
  <c r="AM308" i="3" s="1"/>
  <c r="BA309" i="3" s="1"/>
  <c r="BD309" i="3" s="1"/>
  <c r="BE309" i="3" s="1"/>
  <c r="BF309" i="3" s="1"/>
  <c r="BG309" i="3" s="1"/>
  <c r="AJ98" i="3"/>
  <c r="AK98" i="3" s="1"/>
  <c r="AL97" i="3"/>
  <c r="AM97" i="3" s="1"/>
  <c r="BA98" i="3" s="1"/>
  <c r="BD98" i="3" s="1"/>
  <c r="BE98" i="3" s="1"/>
  <c r="BF98" i="3" s="1"/>
  <c r="BG98" i="3" s="1"/>
  <c r="AJ135" i="3"/>
  <c r="AK135" i="3" s="1"/>
  <c r="AL134" i="3"/>
  <c r="AM134" i="3" s="1"/>
  <c r="BA135" i="3" s="1"/>
  <c r="BD135" i="3" s="1"/>
  <c r="BE135" i="3" s="1"/>
  <c r="BF135" i="3" s="1"/>
  <c r="BG135" i="3" s="1"/>
  <c r="AJ97" i="3"/>
  <c r="AK97" i="3" s="1"/>
  <c r="AL96" i="3"/>
  <c r="AM96" i="3" s="1"/>
  <c r="BA97" i="3" s="1"/>
  <c r="BD97" i="3" s="1"/>
  <c r="BE97" i="3" s="1"/>
  <c r="BF97" i="3" s="1"/>
  <c r="BG97" i="3" s="1"/>
  <c r="AJ313" i="3"/>
  <c r="AK313" i="3" s="1"/>
  <c r="AL312" i="3"/>
  <c r="AM312" i="3" s="1"/>
  <c r="BA313" i="3" s="1"/>
  <c r="BD313" i="3" s="1"/>
  <c r="BE313" i="3" s="1"/>
  <c r="BF313" i="3" s="1"/>
  <c r="BG313" i="3" s="1"/>
  <c r="AL146" i="3"/>
  <c r="AM146" i="3" s="1"/>
  <c r="BA147" i="3" s="1"/>
  <c r="BD147" i="3" s="1"/>
  <c r="BE147" i="3" s="1"/>
  <c r="BF147" i="3" s="1"/>
  <c r="BG147" i="3" s="1"/>
  <c r="AJ147" i="3"/>
  <c r="AK147" i="3" s="1"/>
  <c r="AL224" i="3"/>
  <c r="AM224" i="3" s="1"/>
  <c r="BA225" i="3" s="1"/>
  <c r="BD225" i="3" s="1"/>
  <c r="BE225" i="3" s="1"/>
  <c r="BF225" i="3" s="1"/>
  <c r="BG225" i="3" s="1"/>
  <c r="AJ225" i="3"/>
  <c r="AK225" i="3" s="1"/>
  <c r="AJ381" i="3"/>
  <c r="AK381" i="3" s="1"/>
  <c r="AL380" i="3"/>
  <c r="AM380" i="3" s="1"/>
  <c r="BA381" i="3" s="1"/>
  <c r="BD381" i="3" s="1"/>
  <c r="BE381" i="3" s="1"/>
  <c r="BF381" i="3" s="1"/>
  <c r="BG381" i="3" s="1"/>
  <c r="AJ336" i="3"/>
  <c r="AK336" i="3" s="1"/>
  <c r="AL335" i="3"/>
  <c r="AM335" i="3" s="1"/>
  <c r="BA336" i="3" s="1"/>
  <c r="BD336" i="3" s="1"/>
  <c r="BE336" i="3" s="1"/>
  <c r="BF336" i="3" s="1"/>
  <c r="BG336" i="3" s="1"/>
  <c r="AJ327" i="3"/>
  <c r="AK327" i="3" s="1"/>
  <c r="AL326" i="3"/>
  <c r="AM326" i="3" s="1"/>
  <c r="BA327" i="3" s="1"/>
  <c r="BD327" i="3" s="1"/>
  <c r="BE327" i="3" s="1"/>
  <c r="BF327" i="3" s="1"/>
  <c r="BG327" i="3" s="1"/>
  <c r="AJ324" i="3"/>
  <c r="AK324" i="3" s="1"/>
  <c r="AL323" i="3"/>
  <c r="AM323" i="3" s="1"/>
  <c r="BA324" i="3" s="1"/>
  <c r="BD324" i="3" s="1"/>
  <c r="BE324" i="3" s="1"/>
  <c r="BF324" i="3" s="1"/>
  <c r="BG324" i="3" s="1"/>
  <c r="AJ269" i="3"/>
  <c r="AK269" i="3" s="1"/>
  <c r="AL268" i="3"/>
  <c r="AM268" i="3" s="1"/>
  <c r="BA269" i="3" s="1"/>
  <c r="BD269" i="3" s="1"/>
  <c r="BE269" i="3" s="1"/>
  <c r="BF269" i="3" s="1"/>
  <c r="BG269" i="3" s="1"/>
  <c r="AJ276" i="3"/>
  <c r="AK276" i="3" s="1"/>
  <c r="AL275" i="3"/>
  <c r="AM275" i="3" s="1"/>
  <c r="BA276" i="3" s="1"/>
  <c r="BD276" i="3" s="1"/>
  <c r="BE276" i="3" s="1"/>
  <c r="BF276" i="3" s="1"/>
  <c r="BG276" i="3" s="1"/>
  <c r="AJ213" i="3"/>
  <c r="AK213" i="3" s="1"/>
  <c r="AL212" i="3"/>
  <c r="AM212" i="3" s="1"/>
  <c r="BA213" i="3" s="1"/>
  <c r="BD213" i="3" s="1"/>
  <c r="BE213" i="3" s="1"/>
  <c r="BF213" i="3" s="1"/>
  <c r="BG213" i="3" s="1"/>
  <c r="AJ181" i="3"/>
  <c r="AK181" i="3" s="1"/>
  <c r="AL180" i="3"/>
  <c r="AM180" i="3" s="1"/>
  <c r="BA181" i="3" s="1"/>
  <c r="BD181" i="3" s="1"/>
  <c r="BE181" i="3" s="1"/>
  <c r="BF181" i="3" s="1"/>
  <c r="BG181" i="3" s="1"/>
  <c r="AJ198" i="3"/>
  <c r="AK198" i="3" s="1"/>
  <c r="AL197" i="3"/>
  <c r="AM197" i="3" s="1"/>
  <c r="BA198" i="3" s="1"/>
  <c r="BD198" i="3" s="1"/>
  <c r="BE198" i="3" s="1"/>
  <c r="BF198" i="3" s="1"/>
  <c r="BG198" i="3" s="1"/>
  <c r="AJ156" i="3"/>
  <c r="AK156" i="3" s="1"/>
  <c r="AL155" i="3"/>
  <c r="AM155" i="3" s="1"/>
  <c r="BA156" i="3" s="1"/>
  <c r="BD156" i="3" s="1"/>
  <c r="BE156" i="3" s="1"/>
  <c r="BF156" i="3" s="1"/>
  <c r="BG156" i="3" s="1"/>
  <c r="AJ60" i="3"/>
  <c r="AK60" i="3" s="1"/>
  <c r="AL59" i="3"/>
  <c r="AM59" i="3" s="1"/>
  <c r="BA60" i="3" s="1"/>
  <c r="BD60" i="3" s="1"/>
  <c r="BE60" i="3" s="1"/>
  <c r="BF60" i="3" s="1"/>
  <c r="BG60" i="3" s="1"/>
  <c r="AJ168" i="3"/>
  <c r="AK168" i="3" s="1"/>
  <c r="AL167" i="3"/>
  <c r="AM167" i="3" s="1"/>
  <c r="BA168" i="3" s="1"/>
  <c r="BD168" i="3" s="1"/>
  <c r="BE168" i="3" s="1"/>
  <c r="BF168" i="3" s="1"/>
  <c r="BG168" i="3" s="1"/>
  <c r="AJ157" i="3"/>
  <c r="AK157" i="3" s="1"/>
  <c r="AL156" i="3"/>
  <c r="AM156" i="3" s="1"/>
  <c r="BA157" i="3" s="1"/>
  <c r="BD157" i="3" s="1"/>
  <c r="BE157" i="3" s="1"/>
  <c r="BF157" i="3" s="1"/>
  <c r="BG157" i="3" s="1"/>
  <c r="AJ153" i="3"/>
  <c r="AK153" i="3" s="1"/>
  <c r="AL152" i="3"/>
  <c r="AM152" i="3" s="1"/>
  <c r="BA153" i="3" s="1"/>
  <c r="BD153" i="3" s="1"/>
  <c r="BE153" i="3" s="1"/>
  <c r="BF153" i="3" s="1"/>
  <c r="BG153" i="3" s="1"/>
  <c r="AJ16" i="3"/>
  <c r="AK16" i="3" s="1"/>
  <c r="AL15" i="3"/>
  <c r="AM15" i="3" s="1"/>
  <c r="BA16" i="3" s="1"/>
  <c r="BD16" i="3" s="1"/>
  <c r="BE16" i="3" s="1"/>
  <c r="BF16" i="3" s="1"/>
  <c r="BG16" i="3" s="1"/>
  <c r="AJ104" i="3"/>
  <c r="AK104" i="3" s="1"/>
  <c r="AL103" i="3"/>
  <c r="AM103" i="3" s="1"/>
  <c r="BA104" i="3" s="1"/>
  <c r="BD104" i="3" s="1"/>
  <c r="BE104" i="3" s="1"/>
  <c r="BF104" i="3" s="1"/>
  <c r="BG104" i="3" s="1"/>
  <c r="AJ129" i="3"/>
  <c r="AK129" i="3" s="1"/>
  <c r="AL128" i="3"/>
  <c r="AM128" i="3" s="1"/>
  <c r="BA129" i="3" s="1"/>
  <c r="BD129" i="3" s="1"/>
  <c r="BE129" i="3" s="1"/>
  <c r="BF129" i="3" s="1"/>
  <c r="BG129" i="3" s="1"/>
  <c r="AL246" i="3"/>
  <c r="AM246" i="3" s="1"/>
  <c r="BA247" i="3" s="1"/>
  <c r="BD247" i="3" s="1"/>
  <c r="BE247" i="3" s="1"/>
  <c r="BF247" i="3" s="1"/>
  <c r="BG247" i="3" s="1"/>
  <c r="AJ247" i="3"/>
  <c r="AK247" i="3" s="1"/>
  <c r="AJ317" i="3"/>
  <c r="AK317" i="3" s="1"/>
  <c r="AL316" i="3"/>
  <c r="AM316" i="3" s="1"/>
  <c r="BA317" i="3" s="1"/>
  <c r="BD317" i="3" s="1"/>
  <c r="BE317" i="3" s="1"/>
  <c r="BF317" i="3" s="1"/>
  <c r="BG317" i="3" s="1"/>
  <c r="AJ241" i="3"/>
  <c r="AK241" i="3" s="1"/>
  <c r="AL240" i="3"/>
  <c r="AM240" i="3" s="1"/>
  <c r="BA241" i="3" s="1"/>
  <c r="BD241" i="3" s="1"/>
  <c r="BE241" i="3" s="1"/>
  <c r="BF241" i="3" s="1"/>
  <c r="BG241" i="3" s="1"/>
  <c r="AJ295" i="3"/>
  <c r="AK295" i="3" s="1"/>
  <c r="AL294" i="3"/>
  <c r="AM294" i="3" s="1"/>
  <c r="BA295" i="3" s="1"/>
  <c r="BD295" i="3" s="1"/>
  <c r="BE295" i="3" s="1"/>
  <c r="BF295" i="3" s="1"/>
  <c r="BG295" i="3" s="1"/>
  <c r="AJ106" i="3"/>
  <c r="AK106" i="3" s="1"/>
  <c r="AL105" i="3"/>
  <c r="AM105" i="3" s="1"/>
  <c r="BA106" i="3" s="1"/>
  <c r="BD106" i="3" s="1"/>
  <c r="BE106" i="3" s="1"/>
  <c r="BF106" i="3" s="1"/>
  <c r="BG106" i="3" s="1"/>
  <c r="AJ121" i="3"/>
  <c r="AK121" i="3" s="1"/>
  <c r="AL120" i="3"/>
  <c r="AM120" i="3" s="1"/>
  <c r="BA121" i="3" s="1"/>
  <c r="BD121" i="3" s="1"/>
  <c r="BE121" i="3" s="1"/>
  <c r="BF121" i="3" s="1"/>
  <c r="BG121" i="3" s="1"/>
  <c r="AJ101" i="3"/>
  <c r="AK101" i="3" s="1"/>
  <c r="AL100" i="3"/>
  <c r="AM100" i="3" s="1"/>
  <c r="BA101" i="3" s="1"/>
  <c r="BD101" i="3" s="1"/>
  <c r="BE101" i="3" s="1"/>
  <c r="BF101" i="3" s="1"/>
  <c r="BG101" i="3" s="1"/>
  <c r="AJ120" i="3"/>
  <c r="AK120" i="3" s="1"/>
  <c r="AL119" i="3"/>
  <c r="AM119" i="3" s="1"/>
  <c r="BA120" i="3" s="1"/>
  <c r="BD120" i="3" s="1"/>
  <c r="BE120" i="3" s="1"/>
  <c r="BF120" i="3" s="1"/>
  <c r="BG120" i="3" s="1"/>
  <c r="AJ365" i="3"/>
  <c r="AK365" i="3" s="1"/>
  <c r="AL364" i="3"/>
  <c r="AM364" i="3" s="1"/>
  <c r="BA365" i="3" s="1"/>
  <c r="BD365" i="3" s="1"/>
  <c r="BE365" i="3" s="1"/>
  <c r="BF365" i="3" s="1"/>
  <c r="BG365" i="3" s="1"/>
  <c r="AJ24" i="3"/>
  <c r="AK24" i="3" s="1"/>
  <c r="AL23" i="3"/>
  <c r="AM23" i="3" s="1"/>
  <c r="BA24" i="3" s="1"/>
  <c r="BD24" i="3" s="1"/>
  <c r="BE24" i="3" s="1"/>
  <c r="BF24" i="3" s="1"/>
  <c r="BG24" i="3" s="1"/>
  <c r="AJ340" i="3"/>
  <c r="AK340" i="3" s="1"/>
  <c r="AL339" i="3"/>
  <c r="AM339" i="3" s="1"/>
  <c r="BA340" i="3" s="1"/>
  <c r="BD340" i="3" s="1"/>
  <c r="BE340" i="3" s="1"/>
  <c r="BF340" i="3" s="1"/>
  <c r="BG340" i="3" s="1"/>
  <c r="AJ386" i="3"/>
  <c r="AL385" i="3"/>
  <c r="BN5" i="3"/>
  <c r="AJ374" i="3"/>
  <c r="AK374" i="3" s="1"/>
  <c r="AL373" i="3"/>
  <c r="AM373" i="3" s="1"/>
  <c r="BA374" i="3" s="1"/>
  <c r="BD374" i="3" s="1"/>
  <c r="BE374" i="3" s="1"/>
  <c r="BF374" i="3" s="1"/>
  <c r="BG374" i="3" s="1"/>
  <c r="AJ314" i="3"/>
  <c r="AK314" i="3" s="1"/>
  <c r="AL313" i="3"/>
  <c r="AM313" i="3" s="1"/>
  <c r="BA314" i="3" s="1"/>
  <c r="BD314" i="3" s="1"/>
  <c r="BE314" i="3" s="1"/>
  <c r="BF314" i="3" s="1"/>
  <c r="BG314" i="3" s="1"/>
  <c r="AJ259" i="3"/>
  <c r="AK259" i="3" s="1"/>
  <c r="AL258" i="3"/>
  <c r="AM258" i="3" s="1"/>
  <c r="BA259" i="3" s="1"/>
  <c r="BD259" i="3" s="1"/>
  <c r="BE259" i="3" s="1"/>
  <c r="BF259" i="3" s="1"/>
  <c r="BG259" i="3" s="1"/>
  <c r="AJ203" i="3"/>
  <c r="AK203" i="3" s="1"/>
  <c r="AL202" i="3"/>
  <c r="AM202" i="3" s="1"/>
  <c r="BA203" i="3" s="1"/>
  <c r="BD203" i="3" s="1"/>
  <c r="BE203" i="3" s="1"/>
  <c r="BF203" i="3" s="1"/>
  <c r="BG203" i="3" s="1"/>
  <c r="AJ171" i="3"/>
  <c r="AK171" i="3" s="1"/>
  <c r="AL170" i="3"/>
  <c r="AM170" i="3" s="1"/>
  <c r="BA171" i="3" s="1"/>
  <c r="BD171" i="3" s="1"/>
  <c r="BE171" i="3" s="1"/>
  <c r="BF171" i="3" s="1"/>
  <c r="BG171" i="3" s="1"/>
  <c r="AJ212" i="3"/>
  <c r="AK212" i="3" s="1"/>
  <c r="AL211" i="3"/>
  <c r="AM211" i="3" s="1"/>
  <c r="BA212" i="3" s="1"/>
  <c r="BD212" i="3" s="1"/>
  <c r="BE212" i="3" s="1"/>
  <c r="BF212" i="3" s="1"/>
  <c r="BG212" i="3" s="1"/>
  <c r="AJ202" i="3"/>
  <c r="AK202" i="3" s="1"/>
  <c r="AL201" i="3"/>
  <c r="AM201" i="3" s="1"/>
  <c r="BA202" i="3" s="1"/>
  <c r="BD202" i="3" s="1"/>
  <c r="BE202" i="3" s="1"/>
  <c r="BF202" i="3" s="1"/>
  <c r="BG202" i="3" s="1"/>
  <c r="AJ74" i="3"/>
  <c r="AK74" i="3" s="1"/>
  <c r="AL73" i="3"/>
  <c r="AM73" i="3" s="1"/>
  <c r="BA74" i="3" s="1"/>
  <c r="BD74" i="3" s="1"/>
  <c r="BE74" i="3" s="1"/>
  <c r="BF74" i="3" s="1"/>
  <c r="BG74" i="3" s="1"/>
  <c r="AL8" i="3"/>
  <c r="AM8" i="3" s="1"/>
  <c r="BA9" i="3" s="1"/>
  <c r="BD9" i="3" s="1"/>
  <c r="BE9" i="3" s="1"/>
  <c r="BF9" i="3" s="1"/>
  <c r="BG9" i="3" s="1"/>
  <c r="AJ9" i="3"/>
  <c r="AK9" i="3" s="1"/>
  <c r="AJ42" i="3"/>
  <c r="AK42" i="3" s="1"/>
  <c r="AL41" i="3"/>
  <c r="AM41" i="3" s="1"/>
  <c r="BA42" i="3" s="1"/>
  <c r="BD42" i="3" s="1"/>
  <c r="BE42" i="3" s="1"/>
  <c r="BF42" i="3" s="1"/>
  <c r="BG42" i="3" s="1"/>
  <c r="AJ30" i="3"/>
  <c r="AK30" i="3" s="1"/>
  <c r="AL29" i="3"/>
  <c r="AM29" i="3" s="1"/>
  <c r="BA30" i="3" s="1"/>
  <c r="BD30" i="3" s="1"/>
  <c r="BE30" i="3" s="1"/>
  <c r="BF30" i="3" s="1"/>
  <c r="BG30" i="3" s="1"/>
  <c r="AJ246" i="3"/>
  <c r="AK246" i="3" s="1"/>
  <c r="AL245" i="3"/>
  <c r="AM245" i="3" s="1"/>
  <c r="BA246" i="3" s="1"/>
  <c r="BD246" i="3" s="1"/>
  <c r="BE246" i="3" s="1"/>
  <c r="BF246" i="3" s="1"/>
  <c r="BG246" i="3" s="1"/>
  <c r="AJ243" i="3"/>
  <c r="AK243" i="3" s="1"/>
  <c r="AL242" i="3"/>
  <c r="AM242" i="3" s="1"/>
  <c r="BA243" i="3" s="1"/>
  <c r="BD243" i="3" s="1"/>
  <c r="BE243" i="3" s="1"/>
  <c r="BF243" i="3" s="1"/>
  <c r="BG243" i="3" s="1"/>
  <c r="AJ238" i="3"/>
  <c r="AK238" i="3" s="1"/>
  <c r="AL237" i="3"/>
  <c r="AM237" i="3" s="1"/>
  <c r="BA238" i="3" s="1"/>
  <c r="BD238" i="3" s="1"/>
  <c r="BE238" i="3" s="1"/>
  <c r="BF238" i="3" s="1"/>
  <c r="BG238" i="3" s="1"/>
  <c r="AL30" i="3"/>
  <c r="AM30" i="3" s="1"/>
  <c r="BA31" i="3" s="1"/>
  <c r="BD31" i="3" s="1"/>
  <c r="BE31" i="3" s="1"/>
  <c r="BF31" i="3" s="1"/>
  <c r="BG31" i="3" s="1"/>
  <c r="AJ31" i="3"/>
  <c r="AK31" i="3" s="1"/>
  <c r="AL122" i="3"/>
  <c r="AM122" i="3" s="1"/>
  <c r="BA123" i="3" s="1"/>
  <c r="BD123" i="3" s="1"/>
  <c r="BE123" i="3" s="1"/>
  <c r="BF123" i="3" s="1"/>
  <c r="BG123" i="3" s="1"/>
  <c r="AJ123" i="3"/>
  <c r="AK123" i="3" s="1"/>
  <c r="AJ226" i="3"/>
  <c r="AK226" i="3" s="1"/>
  <c r="AL225" i="3"/>
  <c r="AM225" i="3" s="1"/>
  <c r="BA226" i="3" s="1"/>
  <c r="BD226" i="3" s="1"/>
  <c r="BE226" i="3" s="1"/>
  <c r="BF226" i="3" s="1"/>
  <c r="BG226" i="3" s="1"/>
  <c r="AJ323" i="3"/>
  <c r="AK323" i="3" s="1"/>
  <c r="AL322" i="3"/>
  <c r="AM322" i="3" s="1"/>
  <c r="BA323" i="3" s="1"/>
  <c r="BD323" i="3" s="1"/>
  <c r="BE323" i="3" s="1"/>
  <c r="BF323" i="3" s="1"/>
  <c r="BG323" i="3" s="1"/>
  <c r="AJ337" i="3"/>
  <c r="AK337" i="3" s="1"/>
  <c r="AL336" i="3"/>
  <c r="AM336" i="3" s="1"/>
  <c r="BA337" i="3" s="1"/>
  <c r="BD337" i="3" s="1"/>
  <c r="BE337" i="3" s="1"/>
  <c r="BF337" i="3" s="1"/>
  <c r="BG337" i="3" s="1"/>
  <c r="AJ316" i="3"/>
  <c r="AK316" i="3" s="1"/>
  <c r="AL315" i="3"/>
  <c r="AM315" i="3" s="1"/>
  <c r="BA316" i="3" s="1"/>
  <c r="BD316" i="3" s="1"/>
  <c r="BE316" i="3" s="1"/>
  <c r="BF316" i="3" s="1"/>
  <c r="BG316" i="3" s="1"/>
  <c r="AJ265" i="3"/>
  <c r="AK265" i="3" s="1"/>
  <c r="AL264" i="3"/>
  <c r="AM264" i="3" s="1"/>
  <c r="BA265" i="3" s="1"/>
  <c r="BD265" i="3" s="1"/>
  <c r="BE265" i="3" s="1"/>
  <c r="BF265" i="3" s="1"/>
  <c r="BG265" i="3" s="1"/>
  <c r="AJ260" i="3"/>
  <c r="AK260" i="3" s="1"/>
  <c r="AL259" i="3"/>
  <c r="AM259" i="3" s="1"/>
  <c r="BA260" i="3" s="1"/>
  <c r="BD260" i="3" s="1"/>
  <c r="BE260" i="3" s="1"/>
  <c r="BF260" i="3" s="1"/>
  <c r="BG260" i="3" s="1"/>
  <c r="AJ209" i="3"/>
  <c r="AK209" i="3" s="1"/>
  <c r="AL208" i="3"/>
  <c r="AM208" i="3" s="1"/>
  <c r="BA209" i="3" s="1"/>
  <c r="BD209" i="3" s="1"/>
  <c r="BE209" i="3" s="1"/>
  <c r="BF209" i="3" s="1"/>
  <c r="BG209" i="3" s="1"/>
  <c r="AJ177" i="3"/>
  <c r="AK177" i="3" s="1"/>
  <c r="AL176" i="3"/>
  <c r="AM176" i="3" s="1"/>
  <c r="BA177" i="3" s="1"/>
  <c r="BD177" i="3" s="1"/>
  <c r="BE177" i="3" s="1"/>
  <c r="BF177" i="3" s="1"/>
  <c r="BG177" i="3" s="1"/>
  <c r="AJ182" i="3"/>
  <c r="AK182" i="3" s="1"/>
  <c r="AL181" i="3"/>
  <c r="AM181" i="3" s="1"/>
  <c r="BA182" i="3" s="1"/>
  <c r="BD182" i="3" s="1"/>
  <c r="BE182" i="3" s="1"/>
  <c r="BF182" i="3" s="1"/>
  <c r="BG182" i="3" s="1"/>
  <c r="AJ152" i="3"/>
  <c r="AK152" i="3" s="1"/>
  <c r="AL151" i="3"/>
  <c r="AM151" i="3" s="1"/>
  <c r="BA152" i="3" s="1"/>
  <c r="BD152" i="3" s="1"/>
  <c r="BE152" i="3" s="1"/>
  <c r="BF152" i="3" s="1"/>
  <c r="BG152" i="3" s="1"/>
  <c r="AJ163" i="3"/>
  <c r="AK163" i="3" s="1"/>
  <c r="AL162" i="3"/>
  <c r="AM162" i="3" s="1"/>
  <c r="BA163" i="3" s="1"/>
  <c r="BD163" i="3" s="1"/>
  <c r="BE163" i="3" s="1"/>
  <c r="BF163" i="3" s="1"/>
  <c r="BG163" i="3" s="1"/>
  <c r="AJ88" i="3"/>
  <c r="AK88" i="3" s="1"/>
  <c r="AL87" i="3"/>
  <c r="AM87" i="3" s="1"/>
  <c r="BA88" i="3" s="1"/>
  <c r="BD88" i="3" s="1"/>
  <c r="BE88" i="3" s="1"/>
  <c r="BF88" i="3" s="1"/>
  <c r="BG88" i="3" s="1"/>
  <c r="AJ56" i="3"/>
  <c r="AK56" i="3" s="1"/>
  <c r="AL55" i="3"/>
  <c r="AM55" i="3" s="1"/>
  <c r="BA56" i="3" s="1"/>
  <c r="BD56" i="3" s="1"/>
  <c r="BE56" i="3" s="1"/>
  <c r="BF56" i="3" s="1"/>
  <c r="BG56" i="3" s="1"/>
  <c r="AJ14" i="3"/>
  <c r="AK14" i="3" s="1"/>
  <c r="AL13" i="3"/>
  <c r="AM13" i="3" s="1"/>
  <c r="BA14" i="3" s="1"/>
  <c r="BD14" i="3" s="1"/>
  <c r="BE14" i="3" s="1"/>
  <c r="BF14" i="3" s="1"/>
  <c r="BG14" i="3" s="1"/>
  <c r="AJ61" i="3"/>
  <c r="AK61" i="3" s="1"/>
  <c r="AL60" i="3"/>
  <c r="AM60" i="3" s="1"/>
  <c r="BA61" i="3" s="1"/>
  <c r="BD61" i="3" s="1"/>
  <c r="BE61" i="3" s="1"/>
  <c r="BF61" i="3" s="1"/>
  <c r="BG61" i="3" s="1"/>
  <c r="AJ161" i="3"/>
  <c r="AK161" i="3" s="1"/>
  <c r="AL160" i="3"/>
  <c r="AM160" i="3" s="1"/>
  <c r="BA161" i="3" s="1"/>
  <c r="BD161" i="3" s="1"/>
  <c r="BE161" i="3" s="1"/>
  <c r="BF161" i="3" s="1"/>
  <c r="BG161" i="3" s="1"/>
  <c r="AJ130" i="3"/>
  <c r="AK130" i="3" s="1"/>
  <c r="AL129" i="3"/>
  <c r="AM129" i="3" s="1"/>
  <c r="BA130" i="3" s="1"/>
  <c r="BD130" i="3" s="1"/>
  <c r="BE130" i="3" s="1"/>
  <c r="BF130" i="3" s="1"/>
  <c r="BG130" i="3" s="1"/>
  <c r="AJ95" i="3"/>
  <c r="AK95" i="3" s="1"/>
  <c r="AL94" i="3"/>
  <c r="AM94" i="3" s="1"/>
  <c r="BA95" i="3" s="1"/>
  <c r="BD95" i="3" s="1"/>
  <c r="BE95" i="3" s="1"/>
  <c r="BF95" i="3" s="1"/>
  <c r="BG95" i="3" s="1"/>
  <c r="AL236" i="3"/>
  <c r="AM236" i="3" s="1"/>
  <c r="BA237" i="3" s="1"/>
  <c r="BD237" i="3" s="1"/>
  <c r="BE237" i="3" s="1"/>
  <c r="BF237" i="3" s="1"/>
  <c r="BG237" i="3" s="1"/>
  <c r="AJ237" i="3"/>
  <c r="AK237" i="3" s="1"/>
  <c r="AL32" i="3"/>
  <c r="AM32" i="3" s="1"/>
  <c r="BA33" i="3" s="1"/>
  <c r="BD33" i="3" s="1"/>
  <c r="BE33" i="3" s="1"/>
  <c r="BF33" i="3" s="1"/>
  <c r="BG33" i="3" s="1"/>
  <c r="AJ33" i="3"/>
  <c r="AK33" i="3" s="1"/>
  <c r="AJ45" i="3"/>
  <c r="AK45" i="3" s="1"/>
  <c r="AL44" i="3"/>
  <c r="AM44" i="3" s="1"/>
  <c r="BA45" i="3" s="1"/>
  <c r="BD45" i="3" s="1"/>
  <c r="BE45" i="3" s="1"/>
  <c r="BF45" i="3" s="1"/>
  <c r="BG45" i="3" s="1"/>
  <c r="AL116" i="3"/>
  <c r="AM116" i="3" s="1"/>
  <c r="BA117" i="3" s="1"/>
  <c r="BD117" i="3" s="1"/>
  <c r="BE117" i="3" s="1"/>
  <c r="BF117" i="3" s="1"/>
  <c r="BG117" i="3" s="1"/>
  <c r="AJ117" i="3"/>
  <c r="AK117" i="3" s="1"/>
  <c r="AJ143" i="3"/>
  <c r="AK143" i="3" s="1"/>
  <c r="AL142" i="3"/>
  <c r="AM142" i="3" s="1"/>
  <c r="BA143" i="3" s="1"/>
  <c r="BD143" i="3" s="1"/>
  <c r="BE143" i="3" s="1"/>
  <c r="BF143" i="3" s="1"/>
  <c r="BG143" i="3" s="1"/>
  <c r="AJ236" i="3"/>
  <c r="AK236" i="3" s="1"/>
  <c r="AL235" i="3"/>
  <c r="AM235" i="3" s="1"/>
  <c r="BA236" i="3" s="1"/>
  <c r="BD236" i="3" s="1"/>
  <c r="BE236" i="3" s="1"/>
  <c r="BF236" i="3" s="1"/>
  <c r="BG236" i="3" s="1"/>
  <c r="AJ368" i="3"/>
  <c r="AK368" i="3" s="1"/>
  <c r="AL367" i="3"/>
  <c r="AM367" i="3" s="1"/>
  <c r="BA368" i="3" s="1"/>
  <c r="BD368" i="3" s="1"/>
  <c r="BE368" i="3" s="1"/>
  <c r="BF368" i="3" s="1"/>
  <c r="BG368" i="3" s="1"/>
  <c r="AJ355" i="3"/>
  <c r="AK355" i="3" s="1"/>
  <c r="AL354" i="3"/>
  <c r="AM354" i="3" s="1"/>
  <c r="BA355" i="3" s="1"/>
  <c r="BD355" i="3" s="1"/>
  <c r="BE355" i="3" s="1"/>
  <c r="BF355" i="3" s="1"/>
  <c r="BG355" i="3" s="1"/>
  <c r="AJ366" i="3"/>
  <c r="AK366" i="3" s="1"/>
  <c r="AL365" i="3"/>
  <c r="AM365" i="3" s="1"/>
  <c r="BA366" i="3" s="1"/>
  <c r="BD366" i="3" s="1"/>
  <c r="BE366" i="3" s="1"/>
  <c r="BF366" i="3" s="1"/>
  <c r="BG366" i="3" s="1"/>
  <c r="AJ298" i="3"/>
  <c r="AK298" i="3" s="1"/>
  <c r="AL297" i="3"/>
  <c r="AM297" i="3" s="1"/>
  <c r="BA298" i="3" s="1"/>
  <c r="BD298" i="3" s="1"/>
  <c r="BE298" i="3" s="1"/>
  <c r="BF298" i="3" s="1"/>
  <c r="BG298" i="3" s="1"/>
  <c r="AJ266" i="3"/>
  <c r="AK266" i="3" s="1"/>
  <c r="AL265" i="3"/>
  <c r="AM265" i="3" s="1"/>
  <c r="BA266" i="3" s="1"/>
  <c r="BD266" i="3" s="1"/>
  <c r="BE266" i="3" s="1"/>
  <c r="BF266" i="3" s="1"/>
  <c r="BG266" i="3" s="1"/>
  <c r="AJ199" i="3"/>
  <c r="AK199" i="3" s="1"/>
  <c r="AL198" i="3"/>
  <c r="AM198" i="3" s="1"/>
  <c r="BA199" i="3" s="1"/>
  <c r="BD199" i="3" s="1"/>
  <c r="BE199" i="3" s="1"/>
  <c r="BF199" i="3" s="1"/>
  <c r="BG199" i="3" s="1"/>
  <c r="AJ196" i="3"/>
  <c r="AK196" i="3" s="1"/>
  <c r="AL195" i="3"/>
  <c r="AM195" i="3" s="1"/>
  <c r="BA196" i="3" s="1"/>
  <c r="BD196" i="3" s="1"/>
  <c r="BE196" i="3" s="1"/>
  <c r="BF196" i="3" s="1"/>
  <c r="BG196" i="3" s="1"/>
  <c r="AJ186" i="3"/>
  <c r="AK186" i="3" s="1"/>
  <c r="AL185" i="3"/>
  <c r="AM185" i="3" s="1"/>
  <c r="BA186" i="3" s="1"/>
  <c r="BD186" i="3" s="1"/>
  <c r="BE186" i="3" s="1"/>
  <c r="BF186" i="3" s="1"/>
  <c r="BG186" i="3" s="1"/>
  <c r="AJ78" i="3"/>
  <c r="AK78" i="3" s="1"/>
  <c r="AL77" i="3"/>
  <c r="AM77" i="3" s="1"/>
  <c r="BA78" i="3" s="1"/>
  <c r="BD78" i="3" s="1"/>
  <c r="BE78" i="3" s="1"/>
  <c r="BF78" i="3" s="1"/>
  <c r="BG78" i="3" s="1"/>
  <c r="AJ71" i="3"/>
  <c r="AK71" i="3" s="1"/>
  <c r="AL70" i="3"/>
  <c r="AM70" i="3" s="1"/>
  <c r="BA71" i="3" s="1"/>
  <c r="BD71" i="3" s="1"/>
  <c r="BE71" i="3" s="1"/>
  <c r="BF71" i="3" s="1"/>
  <c r="BG71" i="3" s="1"/>
  <c r="AJ85" i="3"/>
  <c r="AK85" i="3" s="1"/>
  <c r="AL84" i="3"/>
  <c r="AM84" i="3" s="1"/>
  <c r="BA85" i="3" s="1"/>
  <c r="BD85" i="3" s="1"/>
  <c r="BE85" i="3" s="1"/>
  <c r="BF85" i="3" s="1"/>
  <c r="BG85" i="3" s="1"/>
  <c r="AL26" i="3"/>
  <c r="AM26" i="3" s="1"/>
  <c r="BA27" i="3" s="1"/>
  <c r="BD27" i="3" s="1"/>
  <c r="BE27" i="3" s="1"/>
  <c r="BF27" i="3" s="1"/>
  <c r="BG27" i="3" s="1"/>
  <c r="AJ27" i="3"/>
  <c r="AK27" i="3" s="1"/>
  <c r="AJ233" i="3"/>
  <c r="AK233" i="3" s="1"/>
  <c r="AL232" i="3"/>
  <c r="AM232" i="3" s="1"/>
  <c r="BA233" i="3" s="1"/>
  <c r="BD233" i="3" s="1"/>
  <c r="BE233" i="3" s="1"/>
  <c r="BF233" i="3" s="1"/>
  <c r="BG233" i="3" s="1"/>
  <c r="AJ124" i="3"/>
  <c r="AK124" i="3" s="1"/>
  <c r="AL123" i="3"/>
  <c r="AM123" i="3" s="1"/>
  <c r="BA124" i="3" s="1"/>
  <c r="BD124" i="3" s="1"/>
  <c r="BE124" i="3" s="1"/>
  <c r="BF124" i="3" s="1"/>
  <c r="BG124" i="3" s="1"/>
  <c r="AJ251" i="3"/>
  <c r="AK251" i="3" s="1"/>
  <c r="AL250" i="3"/>
  <c r="AM250" i="3" s="1"/>
  <c r="BA251" i="3" s="1"/>
  <c r="BD251" i="3" s="1"/>
  <c r="BE251" i="3" s="1"/>
  <c r="BF251" i="3" s="1"/>
  <c r="BG251" i="3" s="1"/>
  <c r="AJ49" i="3"/>
  <c r="AK49" i="3" s="1"/>
  <c r="AL48" i="3"/>
  <c r="AM48" i="3" s="1"/>
  <c r="BA49" i="3" s="1"/>
  <c r="BD49" i="3" s="1"/>
  <c r="BE49" i="3" s="1"/>
  <c r="BF49" i="3" s="1"/>
  <c r="BG49" i="3" s="1"/>
  <c r="AJ363" i="3"/>
  <c r="AK363" i="3" s="1"/>
  <c r="AL362" i="3"/>
  <c r="AM362" i="3" s="1"/>
  <c r="BA363" i="3" s="1"/>
  <c r="BD363" i="3" s="1"/>
  <c r="BE363" i="3" s="1"/>
  <c r="BF363" i="3" s="1"/>
  <c r="BG363" i="3" s="1"/>
  <c r="AJ343" i="3"/>
  <c r="AK343" i="3" s="1"/>
  <c r="AL342" i="3"/>
  <c r="AM342" i="3" s="1"/>
  <c r="BA343" i="3" s="1"/>
  <c r="BD343" i="3" s="1"/>
  <c r="BE343" i="3" s="1"/>
  <c r="BF343" i="3" s="1"/>
  <c r="BG343" i="3" s="1"/>
  <c r="AJ356" i="3"/>
  <c r="AK356" i="3" s="1"/>
  <c r="AL355" i="3"/>
  <c r="AM355" i="3" s="1"/>
  <c r="BA356" i="3" s="1"/>
  <c r="BD356" i="3" s="1"/>
  <c r="BE356" i="3" s="1"/>
  <c r="BF356" i="3" s="1"/>
  <c r="BG356" i="3" s="1"/>
  <c r="AJ332" i="3"/>
  <c r="AK332" i="3" s="1"/>
  <c r="AL331" i="3"/>
  <c r="AM331" i="3" s="1"/>
  <c r="BA332" i="3" s="1"/>
  <c r="BD332" i="3" s="1"/>
  <c r="BE332" i="3" s="1"/>
  <c r="BF332" i="3" s="1"/>
  <c r="BG332" i="3" s="1"/>
  <c r="AJ288" i="3"/>
  <c r="AK288" i="3" s="1"/>
  <c r="AL287" i="3"/>
  <c r="AM287" i="3" s="1"/>
  <c r="BA288" i="3" s="1"/>
  <c r="BD288" i="3" s="1"/>
  <c r="BE288" i="3" s="1"/>
  <c r="BF288" i="3" s="1"/>
  <c r="BG288" i="3" s="1"/>
  <c r="AJ277" i="3"/>
  <c r="AK277" i="3" s="1"/>
  <c r="AL276" i="3"/>
  <c r="AM276" i="3" s="1"/>
  <c r="BA277" i="3" s="1"/>
  <c r="BD277" i="3" s="1"/>
  <c r="BE277" i="3" s="1"/>
  <c r="BF277" i="3" s="1"/>
  <c r="BG277" i="3" s="1"/>
  <c r="AJ318" i="3"/>
  <c r="AK318" i="3" s="1"/>
  <c r="AL317" i="3"/>
  <c r="AM317" i="3" s="1"/>
  <c r="BA318" i="3" s="1"/>
  <c r="BD318" i="3" s="1"/>
  <c r="BE318" i="3" s="1"/>
  <c r="BF318" i="3" s="1"/>
  <c r="BG318" i="3" s="1"/>
  <c r="AJ258" i="3"/>
  <c r="AK258" i="3" s="1"/>
  <c r="AL257" i="3"/>
  <c r="AM257" i="3" s="1"/>
  <c r="BA258" i="3" s="1"/>
  <c r="BD258" i="3" s="1"/>
  <c r="BE258" i="3" s="1"/>
  <c r="BF258" i="3" s="1"/>
  <c r="BG258" i="3" s="1"/>
  <c r="AJ221" i="3"/>
  <c r="AK221" i="3" s="1"/>
  <c r="AL220" i="3"/>
  <c r="AM220" i="3" s="1"/>
  <c r="BA221" i="3" s="1"/>
  <c r="BD221" i="3" s="1"/>
  <c r="BE221" i="3" s="1"/>
  <c r="BF221" i="3" s="1"/>
  <c r="BG221" i="3" s="1"/>
  <c r="AJ189" i="3"/>
  <c r="AK189" i="3" s="1"/>
  <c r="AL188" i="3"/>
  <c r="AM188" i="3" s="1"/>
  <c r="BA189" i="3" s="1"/>
  <c r="BD189" i="3" s="1"/>
  <c r="BE189" i="3" s="1"/>
  <c r="BF189" i="3" s="1"/>
  <c r="BG189" i="3" s="1"/>
  <c r="AJ284" i="3"/>
  <c r="AK284" i="3" s="1"/>
  <c r="AL283" i="3"/>
  <c r="AM283" i="3" s="1"/>
  <c r="BA284" i="3" s="1"/>
  <c r="BD284" i="3" s="1"/>
  <c r="BE284" i="3" s="1"/>
  <c r="BF284" i="3" s="1"/>
  <c r="BG284" i="3" s="1"/>
  <c r="AJ164" i="3"/>
  <c r="AK164" i="3" s="1"/>
  <c r="AL163" i="3"/>
  <c r="AM163" i="3" s="1"/>
  <c r="BA164" i="3" s="1"/>
  <c r="BD164" i="3" s="1"/>
  <c r="BE164" i="3" s="1"/>
  <c r="BF164" i="3" s="1"/>
  <c r="BG164" i="3" s="1"/>
  <c r="AJ68" i="3"/>
  <c r="AK68" i="3" s="1"/>
  <c r="AL67" i="3"/>
  <c r="AM67" i="3" s="1"/>
  <c r="BA68" i="3" s="1"/>
  <c r="BD68" i="3" s="1"/>
  <c r="BE68" i="3" s="1"/>
  <c r="BF68" i="3" s="1"/>
  <c r="BG68" i="3" s="1"/>
  <c r="AJ200" i="3"/>
  <c r="AK200" i="3" s="1"/>
  <c r="AL199" i="3"/>
  <c r="AM199" i="3" s="1"/>
  <c r="BA200" i="3" s="1"/>
  <c r="BD200" i="3" s="1"/>
  <c r="BE200" i="3" s="1"/>
  <c r="BF200" i="3" s="1"/>
  <c r="BG200" i="3" s="1"/>
  <c r="AJ77" i="3"/>
  <c r="AK77" i="3" s="1"/>
  <c r="AL76" i="3"/>
  <c r="AM76" i="3" s="1"/>
  <c r="BA77" i="3" s="1"/>
  <c r="BD77" i="3" s="1"/>
  <c r="BE77" i="3" s="1"/>
  <c r="BF77" i="3" s="1"/>
  <c r="BG77" i="3" s="1"/>
  <c r="AJ39" i="3"/>
  <c r="AK39" i="3" s="1"/>
  <c r="AL38" i="3"/>
  <c r="AM38" i="3" s="1"/>
  <c r="BA39" i="3" s="1"/>
  <c r="BD39" i="3" s="1"/>
  <c r="BE39" i="3" s="1"/>
  <c r="BF39" i="3" s="1"/>
  <c r="BG39" i="3" s="1"/>
  <c r="AJ235" i="3"/>
  <c r="AK235" i="3" s="1"/>
  <c r="AL234" i="3"/>
  <c r="AM234" i="3" s="1"/>
  <c r="BA235" i="3" s="1"/>
  <c r="BD235" i="3" s="1"/>
  <c r="BE235" i="3" s="1"/>
  <c r="BF235" i="3" s="1"/>
  <c r="BG235" i="3" s="1"/>
  <c r="AL21" i="3"/>
  <c r="AM21" i="3" s="1"/>
  <c r="BA22" i="3" s="1"/>
  <c r="BD22" i="3" s="1"/>
  <c r="BE22" i="3" s="1"/>
  <c r="BF22" i="3" s="1"/>
  <c r="BG22" i="3" s="1"/>
  <c r="AJ22" i="3"/>
  <c r="AK22" i="3" s="1"/>
  <c r="AJ151" i="3"/>
  <c r="AK151" i="3" s="1"/>
  <c r="AL150" i="3"/>
  <c r="AM150" i="3" s="1"/>
  <c r="BA151" i="3" s="1"/>
  <c r="BD151" i="3" s="1"/>
  <c r="BE151" i="3" s="1"/>
  <c r="BF151" i="3" s="1"/>
  <c r="BG151" i="3" s="1"/>
  <c r="AJ126" i="3"/>
  <c r="AK126" i="3" s="1"/>
  <c r="AL125" i="3"/>
  <c r="AM125" i="3" s="1"/>
  <c r="BA126" i="3" s="1"/>
  <c r="BD126" i="3" s="1"/>
  <c r="BE126" i="3" s="1"/>
  <c r="BF126" i="3" s="1"/>
  <c r="BG126" i="3" s="1"/>
  <c r="AJ142" i="3"/>
  <c r="AK142" i="3" s="1"/>
  <c r="AL141" i="3"/>
  <c r="AM141" i="3" s="1"/>
  <c r="BA142" i="3" s="1"/>
  <c r="BD142" i="3" s="1"/>
  <c r="BE142" i="3" s="1"/>
  <c r="BF142" i="3" s="1"/>
  <c r="BG142" i="3" s="1"/>
  <c r="AJ307" i="3"/>
  <c r="AK307" i="3" s="1"/>
  <c r="AL306" i="3"/>
  <c r="AM306" i="3" s="1"/>
  <c r="BA307" i="3" s="1"/>
  <c r="BD307" i="3" s="1"/>
  <c r="BE307" i="3" s="1"/>
  <c r="BF307" i="3" s="1"/>
  <c r="BG307" i="3" s="1"/>
  <c r="AJ113" i="3"/>
  <c r="AK113" i="3" s="1"/>
  <c r="AL112" i="3"/>
  <c r="AM112" i="3" s="1"/>
  <c r="BA113" i="3" s="1"/>
  <c r="BD113" i="3" s="1"/>
  <c r="BE113" i="3" s="1"/>
  <c r="BF113" i="3" s="1"/>
  <c r="BG113" i="3" s="1"/>
  <c r="AJ285" i="3"/>
  <c r="AK285" i="3" s="1"/>
  <c r="AL284" i="3"/>
  <c r="AM284" i="3" s="1"/>
  <c r="BA285" i="3" s="1"/>
  <c r="BD285" i="3" s="1"/>
  <c r="BE285" i="3" s="1"/>
  <c r="BF285" i="3" s="1"/>
  <c r="BG285" i="3" s="1"/>
  <c r="AJ325" i="3"/>
  <c r="AK325" i="3" s="1"/>
  <c r="AL324" i="3"/>
  <c r="AM324" i="3" s="1"/>
  <c r="BA325" i="3" s="1"/>
  <c r="BD325" i="3" s="1"/>
  <c r="BE325" i="3" s="1"/>
  <c r="BF325" i="3" s="1"/>
  <c r="BG325" i="3" s="1"/>
  <c r="AJ335" i="3"/>
  <c r="AK335" i="3" s="1"/>
  <c r="AL334" i="3"/>
  <c r="AM334" i="3" s="1"/>
  <c r="BA335" i="3" s="1"/>
  <c r="BD335" i="3" s="1"/>
  <c r="BE335" i="3" s="1"/>
  <c r="BF335" i="3" s="1"/>
  <c r="BG335" i="3" s="1"/>
  <c r="AJ322" i="3"/>
  <c r="AK322" i="3" s="1"/>
  <c r="AL321" i="3"/>
  <c r="AM321" i="3" s="1"/>
  <c r="BA322" i="3" s="1"/>
  <c r="BD322" i="3" s="1"/>
  <c r="BE322" i="3" s="1"/>
  <c r="BF322" i="3" s="1"/>
  <c r="BG322" i="3" s="1"/>
  <c r="AJ267" i="3"/>
  <c r="AK267" i="3" s="1"/>
  <c r="AL266" i="3"/>
  <c r="AM266" i="3" s="1"/>
  <c r="BA267" i="3" s="1"/>
  <c r="BD267" i="3" s="1"/>
  <c r="BE267" i="3" s="1"/>
  <c r="BF267" i="3" s="1"/>
  <c r="BG267" i="3" s="1"/>
  <c r="AJ268" i="3"/>
  <c r="AK268" i="3" s="1"/>
  <c r="AL267" i="3"/>
  <c r="AM267" i="3" s="1"/>
  <c r="BA268" i="3" s="1"/>
  <c r="BD268" i="3" s="1"/>
  <c r="BE268" i="3" s="1"/>
  <c r="BF268" i="3" s="1"/>
  <c r="BG268" i="3" s="1"/>
  <c r="AJ253" i="3"/>
  <c r="AK253" i="3" s="1"/>
  <c r="AL252" i="3"/>
  <c r="AM252" i="3" s="1"/>
  <c r="BA253" i="3" s="1"/>
  <c r="BD253" i="3" s="1"/>
  <c r="BE253" i="3" s="1"/>
  <c r="BF253" i="3" s="1"/>
  <c r="BG253" i="3" s="1"/>
  <c r="AJ211" i="3"/>
  <c r="AK211" i="3" s="1"/>
  <c r="AL210" i="3"/>
  <c r="AM210" i="3" s="1"/>
  <c r="BA211" i="3" s="1"/>
  <c r="BD211" i="3" s="1"/>
  <c r="BE211" i="3" s="1"/>
  <c r="BF211" i="3" s="1"/>
  <c r="BG211" i="3" s="1"/>
  <c r="AJ179" i="3"/>
  <c r="AK179" i="3" s="1"/>
  <c r="AL178" i="3"/>
  <c r="AM178" i="3" s="1"/>
  <c r="BA179" i="3" s="1"/>
  <c r="BD179" i="3" s="1"/>
  <c r="BE179" i="3" s="1"/>
  <c r="BF179" i="3" s="1"/>
  <c r="BG179" i="3" s="1"/>
  <c r="AJ190" i="3"/>
  <c r="AK190" i="3" s="1"/>
  <c r="AL189" i="3"/>
  <c r="AM189" i="3" s="1"/>
  <c r="BA190" i="3" s="1"/>
  <c r="BD190" i="3" s="1"/>
  <c r="BE190" i="3" s="1"/>
  <c r="BF190" i="3" s="1"/>
  <c r="BG190" i="3" s="1"/>
  <c r="AJ154" i="3"/>
  <c r="AK154" i="3" s="1"/>
  <c r="AL153" i="3"/>
  <c r="AM153" i="3" s="1"/>
  <c r="BA154" i="3" s="1"/>
  <c r="BD154" i="3" s="1"/>
  <c r="BE154" i="3" s="1"/>
  <c r="BF154" i="3" s="1"/>
  <c r="BG154" i="3" s="1"/>
  <c r="AJ82" i="3"/>
  <c r="AK82" i="3" s="1"/>
  <c r="AL81" i="3"/>
  <c r="AM81" i="3" s="1"/>
  <c r="BA82" i="3" s="1"/>
  <c r="BD82" i="3" s="1"/>
  <c r="BE82" i="3" s="1"/>
  <c r="BF82" i="3" s="1"/>
  <c r="BG82" i="3" s="1"/>
  <c r="AJ50" i="3"/>
  <c r="AK50" i="3" s="1"/>
  <c r="AL49" i="3"/>
  <c r="AM49" i="3" s="1"/>
  <c r="BA50" i="3" s="1"/>
  <c r="BD50" i="3" s="1"/>
  <c r="BE50" i="3" s="1"/>
  <c r="BF50" i="3" s="1"/>
  <c r="BG50" i="3" s="1"/>
  <c r="AJ57" i="3"/>
  <c r="AK57" i="3" s="1"/>
  <c r="AL56" i="3"/>
  <c r="AM56" i="3" s="1"/>
  <c r="BA57" i="3" s="1"/>
  <c r="BD57" i="3" s="1"/>
  <c r="BE57" i="3" s="1"/>
  <c r="BF57" i="3" s="1"/>
  <c r="BG57" i="3" s="1"/>
  <c r="AJ83" i="3"/>
  <c r="AK83" i="3" s="1"/>
  <c r="AL82" i="3"/>
  <c r="AM82" i="3" s="1"/>
  <c r="BA83" i="3" s="1"/>
  <c r="BD83" i="3" s="1"/>
  <c r="BE83" i="3" s="1"/>
  <c r="BF83" i="3" s="1"/>
  <c r="BG83" i="3" s="1"/>
  <c r="AJ319" i="3"/>
  <c r="AK319" i="3" s="1"/>
  <c r="AL318" i="3"/>
  <c r="AM318" i="3" s="1"/>
  <c r="BA319" i="3" s="1"/>
  <c r="BD319" i="3" s="1"/>
  <c r="BE319" i="3" s="1"/>
  <c r="BF319" i="3" s="1"/>
  <c r="BG319" i="3" s="1"/>
  <c r="AJ111" i="3"/>
  <c r="AK111" i="3" s="1"/>
  <c r="AL110" i="3"/>
  <c r="AM110" i="3" s="1"/>
  <c r="BA111" i="3" s="1"/>
  <c r="BD111" i="3" s="1"/>
  <c r="BE111" i="3" s="1"/>
  <c r="BF111" i="3" s="1"/>
  <c r="BG111" i="3" s="1"/>
  <c r="AJ291" i="3"/>
  <c r="AK291" i="3" s="1"/>
  <c r="AL290" i="3"/>
  <c r="AM290" i="3" s="1"/>
  <c r="BA291" i="3" s="1"/>
  <c r="BD291" i="3" s="1"/>
  <c r="BE291" i="3" s="1"/>
  <c r="BF291" i="3" s="1"/>
  <c r="BG291" i="3" s="1"/>
  <c r="AL244" i="3"/>
  <c r="AM244" i="3" s="1"/>
  <c r="BA245" i="3" s="1"/>
  <c r="BD245" i="3" s="1"/>
  <c r="BE245" i="3" s="1"/>
  <c r="BF245" i="3" s="1"/>
  <c r="BG245" i="3" s="1"/>
  <c r="AJ245" i="3"/>
  <c r="AK245" i="3" s="1"/>
  <c r="AL46" i="3"/>
  <c r="AM46" i="3" s="1"/>
  <c r="BA47" i="3" s="1"/>
  <c r="BD47" i="3" s="1"/>
  <c r="BE47" i="3" s="1"/>
  <c r="BF47" i="3" s="1"/>
  <c r="BG47" i="3" s="1"/>
  <c r="AJ47" i="3"/>
  <c r="AK47" i="3" s="1"/>
  <c r="AJ26" i="3"/>
  <c r="AK26" i="3" s="1"/>
  <c r="AL25" i="3"/>
  <c r="AM25" i="3" s="1"/>
  <c r="BA26" i="3" s="1"/>
  <c r="BD26" i="3" s="1"/>
  <c r="BE26" i="3" s="1"/>
  <c r="BF26" i="3" s="1"/>
  <c r="BG26" i="3" s="1"/>
  <c r="AL28" i="3"/>
  <c r="AM28" i="3" s="1"/>
  <c r="BA29" i="3" s="1"/>
  <c r="BD29" i="3" s="1"/>
  <c r="BE29" i="3" s="1"/>
  <c r="BF29" i="3" s="1"/>
  <c r="BG29" i="3" s="1"/>
  <c r="AJ29" i="3"/>
  <c r="AK29" i="3" s="1"/>
  <c r="AJ359" i="3"/>
  <c r="AK359" i="3" s="1"/>
  <c r="AL358" i="3"/>
  <c r="AM358" i="3" s="1"/>
  <c r="BA359" i="3" s="1"/>
  <c r="BD359" i="3" s="1"/>
  <c r="BE359" i="3" s="1"/>
  <c r="BF359" i="3" s="1"/>
  <c r="BG359" i="3" s="1"/>
  <c r="BF64" i="2"/>
  <c r="BI64" i="2"/>
  <c r="BG64" i="2"/>
  <c r="BK64" i="2"/>
  <c r="BJ64" i="2"/>
  <c r="BH64" i="2"/>
  <c r="BO64" i="2"/>
  <c r="BQ64" i="2" s="1"/>
  <c r="BT64" i="2" s="1"/>
  <c r="BU64" i="2" s="1"/>
  <c r="BV64" i="2" s="1"/>
  <c r="BW64" i="2" s="1"/>
  <c r="BE64" i="2"/>
  <c r="BL64" i="2"/>
  <c r="BP64" i="2"/>
  <c r="BN64" i="2"/>
  <c r="BM64" i="2"/>
  <c r="BG376" i="2"/>
  <c r="BL376" i="2"/>
  <c r="BQ376" i="2" s="1"/>
  <c r="BT376" i="2" s="1"/>
  <c r="BU376" i="2" s="1"/>
  <c r="BV376" i="2" s="1"/>
  <c r="BW376" i="2" s="1"/>
  <c r="BK376" i="2"/>
  <c r="BO376" i="2"/>
  <c r="BP376" i="2"/>
  <c r="BF376" i="2"/>
  <c r="BH376" i="2"/>
  <c r="BJ376" i="2"/>
  <c r="BM376" i="2"/>
  <c r="BN376" i="2"/>
  <c r="BE376" i="2"/>
  <c r="BI376" i="2"/>
  <c r="BN26" i="2"/>
  <c r="BM26" i="2"/>
  <c r="BE26" i="2"/>
  <c r="BG26" i="2"/>
  <c r="BJ26" i="2"/>
  <c r="BL26" i="2"/>
  <c r="BO26" i="2"/>
  <c r="BK26" i="2"/>
  <c r="BQ26" i="2" s="1"/>
  <c r="BT26" i="2" s="1"/>
  <c r="BU26" i="2" s="1"/>
  <c r="BV26" i="2" s="1"/>
  <c r="BW26" i="2" s="1"/>
  <c r="BI26" i="2"/>
  <c r="BP26" i="2"/>
  <c r="BH26" i="2"/>
  <c r="BF26" i="2"/>
  <c r="BK218" i="2"/>
  <c r="BN218" i="2"/>
  <c r="BE218" i="2"/>
  <c r="BL218" i="2"/>
  <c r="BO218" i="2"/>
  <c r="BQ218" i="2" s="1"/>
  <c r="BT218" i="2" s="1"/>
  <c r="BU218" i="2" s="1"/>
  <c r="BV218" i="2" s="1"/>
  <c r="BW218" i="2" s="1"/>
  <c r="BF218" i="2"/>
  <c r="BI218" i="2"/>
  <c r="BP218" i="2"/>
  <c r="BG218" i="2"/>
  <c r="BJ218" i="2"/>
  <c r="BM218" i="2"/>
  <c r="BH218" i="2"/>
  <c r="BI245" i="2"/>
  <c r="BO245" i="2"/>
  <c r="BN245" i="2"/>
  <c r="BP245" i="2"/>
  <c r="BQ245" i="2" s="1"/>
  <c r="BT245" i="2" s="1"/>
  <c r="BU245" i="2" s="1"/>
  <c r="BV245" i="2" s="1"/>
  <c r="BW245" i="2" s="1"/>
  <c r="BM245" i="2"/>
  <c r="BJ245" i="2"/>
  <c r="BF245" i="2"/>
  <c r="BH245" i="2"/>
  <c r="BL245" i="2"/>
  <c r="BE245" i="2"/>
  <c r="BK245" i="2"/>
  <c r="BG245" i="2"/>
  <c r="BP260" i="2"/>
  <c r="BM260" i="2"/>
  <c r="BN260" i="2"/>
  <c r="BK260" i="2"/>
  <c r="BI260" i="2"/>
  <c r="BJ260" i="2"/>
  <c r="BH260" i="2"/>
  <c r="BG260" i="2"/>
  <c r="BO260" i="2"/>
  <c r="BQ260" i="2" s="1"/>
  <c r="BT260" i="2" s="1"/>
  <c r="BU260" i="2" s="1"/>
  <c r="BV260" i="2" s="1"/>
  <c r="BW260" i="2" s="1"/>
  <c r="BF260" i="2"/>
  <c r="BE260" i="2"/>
  <c r="BL260" i="2"/>
  <c r="BP300" i="2"/>
  <c r="BI300" i="2"/>
  <c r="BM300" i="2"/>
  <c r="BJ300" i="2"/>
  <c r="BO300" i="2"/>
  <c r="BN300" i="2"/>
  <c r="BH300" i="2"/>
  <c r="BK300" i="2"/>
  <c r="BF300" i="2"/>
  <c r="BQ300" i="2" s="1"/>
  <c r="BT300" i="2" s="1"/>
  <c r="BU300" i="2" s="1"/>
  <c r="BV300" i="2" s="1"/>
  <c r="BW300" i="2" s="1"/>
  <c r="BL300" i="2"/>
  <c r="BE300" i="2"/>
  <c r="BG300" i="2"/>
  <c r="BM134" i="2"/>
  <c r="BN134" i="2"/>
  <c r="BP134" i="2"/>
  <c r="BQ134" i="2" s="1"/>
  <c r="BT134" i="2" s="1"/>
  <c r="BU134" i="2" s="1"/>
  <c r="BV134" i="2" s="1"/>
  <c r="BW134" i="2" s="1"/>
  <c r="BE134" i="2"/>
  <c r="BK134" i="2"/>
  <c r="BO134" i="2"/>
  <c r="BH134" i="2"/>
  <c r="BJ134" i="2"/>
  <c r="BG134" i="2"/>
  <c r="BI134" i="2"/>
  <c r="BL134" i="2"/>
  <c r="BF134" i="2"/>
  <c r="BP262" i="2"/>
  <c r="BJ262" i="2"/>
  <c r="BM262" i="2"/>
  <c r="BN262" i="2"/>
  <c r="BO262" i="2"/>
  <c r="BQ262" i="2" s="1"/>
  <c r="BT262" i="2" s="1"/>
  <c r="BU262" i="2" s="1"/>
  <c r="BV262" i="2" s="1"/>
  <c r="BW262" i="2" s="1"/>
  <c r="BL262" i="2"/>
  <c r="BE262" i="2"/>
  <c r="BK262" i="2"/>
  <c r="BG262" i="2"/>
  <c r="BI262" i="2"/>
  <c r="BH262" i="2"/>
  <c r="BF262" i="2"/>
  <c r="BN205" i="2"/>
  <c r="BI205" i="2"/>
  <c r="BP205" i="2"/>
  <c r="BH205" i="2"/>
  <c r="BK205" i="2"/>
  <c r="BG205" i="2"/>
  <c r="BE205" i="2"/>
  <c r="BL205" i="2"/>
  <c r="BJ205" i="2"/>
  <c r="BF205" i="2"/>
  <c r="BQ205" i="2" s="1"/>
  <c r="BT205" i="2" s="1"/>
  <c r="BU205" i="2" s="1"/>
  <c r="BV205" i="2" s="1"/>
  <c r="BW205" i="2" s="1"/>
  <c r="BO205" i="2"/>
  <c r="BM205" i="2"/>
  <c r="BN339" i="2"/>
  <c r="BL339" i="2"/>
  <c r="BJ339" i="2"/>
  <c r="BO339" i="2"/>
  <c r="BQ339" i="2" s="1"/>
  <c r="BT339" i="2" s="1"/>
  <c r="BU339" i="2" s="1"/>
  <c r="BV339" i="2" s="1"/>
  <c r="BW339" i="2" s="1"/>
  <c r="BH339" i="2"/>
  <c r="BP339" i="2"/>
  <c r="BK339" i="2"/>
  <c r="BF339" i="2"/>
  <c r="BG339" i="2"/>
  <c r="BE339" i="2"/>
  <c r="BM339" i="2"/>
  <c r="BI339" i="2"/>
  <c r="BL99" i="2"/>
  <c r="BP183" i="2"/>
  <c r="BI196" i="2"/>
  <c r="BO378" i="2"/>
  <c r="BH82" i="2"/>
  <c r="BP284" i="2"/>
  <c r="BE200" i="2"/>
  <c r="BL109" i="2"/>
  <c r="BI117" i="2"/>
  <c r="BF272" i="2"/>
  <c r="BP102" i="2"/>
  <c r="BE85" i="2"/>
  <c r="BH190" i="2"/>
  <c r="BH369" i="2"/>
  <c r="BQ369" i="2" s="1"/>
  <c r="BT369" i="2" s="1"/>
  <c r="BU369" i="2" s="1"/>
  <c r="BV369" i="2" s="1"/>
  <c r="BW369" i="2" s="1"/>
  <c r="BG261" i="2"/>
  <c r="BO261" i="2"/>
  <c r="BK261" i="2"/>
  <c r="BP261" i="2"/>
  <c r="BQ261" i="2" s="1"/>
  <c r="BT261" i="2" s="1"/>
  <c r="BU261" i="2" s="1"/>
  <c r="BV261" i="2" s="1"/>
  <c r="BW261" i="2" s="1"/>
  <c r="BN261" i="2"/>
  <c r="BI261" i="2"/>
  <c r="BM261" i="2"/>
  <c r="BL261" i="2"/>
  <c r="BJ261" i="2"/>
  <c r="BE261" i="2"/>
  <c r="BH261" i="2"/>
  <c r="BF261" i="2"/>
  <c r="BP114" i="2"/>
  <c r="BG114" i="2"/>
  <c r="BH114" i="2"/>
  <c r="BO114" i="2"/>
  <c r="BK114" i="2"/>
  <c r="BL114" i="2"/>
  <c r="BE114" i="2"/>
  <c r="BQ114" i="2" s="1"/>
  <c r="BT114" i="2" s="1"/>
  <c r="BU114" i="2" s="1"/>
  <c r="BV114" i="2" s="1"/>
  <c r="BW114" i="2" s="1"/>
  <c r="BM114" i="2"/>
  <c r="BF114" i="2"/>
  <c r="BN114" i="2"/>
  <c r="BJ114" i="2"/>
  <c r="BI114" i="2"/>
  <c r="BF168" i="2"/>
  <c r="BK168" i="2"/>
  <c r="BG168" i="2"/>
  <c r="BL168" i="2"/>
  <c r="BH168" i="2"/>
  <c r="BI168" i="2"/>
  <c r="BN168" i="2"/>
  <c r="BE168" i="2"/>
  <c r="BJ168" i="2"/>
  <c r="BO168" i="2"/>
  <c r="BQ168" i="2" s="1"/>
  <c r="BT168" i="2" s="1"/>
  <c r="BU168" i="2" s="1"/>
  <c r="BV168" i="2" s="1"/>
  <c r="BW168" i="2" s="1"/>
  <c r="BM168" i="2"/>
  <c r="BP168" i="2"/>
  <c r="BL212" i="2"/>
  <c r="BO212" i="2"/>
  <c r="BM212" i="2"/>
  <c r="BE212" i="2"/>
  <c r="BP212" i="2"/>
  <c r="BN212" i="2"/>
  <c r="BF212" i="2"/>
  <c r="BQ212" i="2" s="1"/>
  <c r="BT212" i="2" s="1"/>
  <c r="BU212" i="2" s="1"/>
  <c r="BV212" i="2" s="1"/>
  <c r="BW212" i="2" s="1"/>
  <c r="BI212" i="2"/>
  <c r="BG212" i="2"/>
  <c r="BK212" i="2"/>
  <c r="BJ212" i="2"/>
  <c r="BH212" i="2"/>
  <c r="BE289" i="2"/>
  <c r="BG289" i="2"/>
  <c r="BL289" i="2"/>
  <c r="BJ289" i="2"/>
  <c r="BF289" i="2"/>
  <c r="BO289" i="2"/>
  <c r="BI289" i="2"/>
  <c r="BP289" i="2"/>
  <c r="BQ289" i="2" s="1"/>
  <c r="BT289" i="2" s="1"/>
  <c r="BU289" i="2" s="1"/>
  <c r="BV289" i="2" s="1"/>
  <c r="BW289" i="2" s="1"/>
  <c r="BM289" i="2"/>
  <c r="BK289" i="2"/>
  <c r="BN289" i="2"/>
  <c r="BH289" i="2"/>
  <c r="BF349" i="2"/>
  <c r="BG349" i="2"/>
  <c r="BL349" i="2"/>
  <c r="BN349" i="2"/>
  <c r="BP349" i="2"/>
  <c r="BI349" i="2"/>
  <c r="BO349" i="2"/>
  <c r="BQ349" i="2" s="1"/>
  <c r="BT349" i="2" s="1"/>
  <c r="BU349" i="2" s="1"/>
  <c r="BV349" i="2" s="1"/>
  <c r="BW349" i="2" s="1"/>
  <c r="BH349" i="2"/>
  <c r="BM349" i="2"/>
  <c r="BK349" i="2"/>
  <c r="BJ349" i="2"/>
  <c r="BE349" i="2"/>
  <c r="BP31" i="2"/>
  <c r="BN31" i="2"/>
  <c r="BI31" i="2"/>
  <c r="BM31" i="2"/>
  <c r="BJ31" i="2"/>
  <c r="BO31" i="2"/>
  <c r="BQ31" i="2" s="1"/>
  <c r="BT31" i="2" s="1"/>
  <c r="BU31" i="2" s="1"/>
  <c r="BV31" i="2" s="1"/>
  <c r="BW31" i="2" s="1"/>
  <c r="BK31" i="2"/>
  <c r="BE31" i="2"/>
  <c r="BH31" i="2"/>
  <c r="BG31" i="2"/>
  <c r="BF31" i="2"/>
  <c r="BL31" i="2"/>
  <c r="BK42" i="2"/>
  <c r="BN42" i="2"/>
  <c r="BQ42" i="2" s="1"/>
  <c r="BT42" i="2" s="1"/>
  <c r="BU42" i="2" s="1"/>
  <c r="BV42" i="2" s="1"/>
  <c r="BW42" i="2" s="1"/>
  <c r="BH42" i="2"/>
  <c r="BL42" i="2"/>
  <c r="BO42" i="2"/>
  <c r="BE42" i="2"/>
  <c r="BI42" i="2"/>
  <c r="BP42" i="2"/>
  <c r="BF42" i="2"/>
  <c r="BJ42" i="2"/>
  <c r="BM42" i="2"/>
  <c r="BG42" i="2"/>
  <c r="BL248" i="2"/>
  <c r="BO248" i="2"/>
  <c r="BE248" i="2"/>
  <c r="BI248" i="2"/>
  <c r="BP248" i="2"/>
  <c r="BQ248" i="2" s="1"/>
  <c r="BT248" i="2" s="1"/>
  <c r="BU248" i="2" s="1"/>
  <c r="BV248" i="2" s="1"/>
  <c r="BW248" i="2" s="1"/>
  <c r="BF248" i="2"/>
  <c r="BJ248" i="2"/>
  <c r="BM248" i="2"/>
  <c r="BG248" i="2"/>
  <c r="BK248" i="2"/>
  <c r="BN248" i="2"/>
  <c r="BH248" i="2"/>
  <c r="BO19" i="2"/>
  <c r="BQ19" i="2" s="1"/>
  <c r="BT19" i="2" s="1"/>
  <c r="BU19" i="2" s="1"/>
  <c r="BV19" i="2" s="1"/>
  <c r="BW19" i="2" s="1"/>
  <c r="BP19" i="2"/>
  <c r="BM19" i="2"/>
  <c r="BN19" i="2"/>
  <c r="BJ19" i="2"/>
  <c r="BE19" i="2"/>
  <c r="BH19" i="2"/>
  <c r="BL19" i="2"/>
  <c r="BF19" i="2"/>
  <c r="BG19" i="2"/>
  <c r="BI19" i="2"/>
  <c r="BK19" i="2"/>
  <c r="BM88" i="2"/>
  <c r="BO88" i="2"/>
  <c r="BN88" i="2"/>
  <c r="BP88" i="2"/>
  <c r="BK88" i="2"/>
  <c r="BQ88" i="2" s="1"/>
  <c r="BT88" i="2" s="1"/>
  <c r="BU88" i="2" s="1"/>
  <c r="BV88" i="2" s="1"/>
  <c r="BW88" i="2" s="1"/>
  <c r="BI88" i="2"/>
  <c r="BF88" i="2"/>
  <c r="BH88" i="2"/>
  <c r="BG88" i="2"/>
  <c r="BJ88" i="2"/>
  <c r="BL88" i="2"/>
  <c r="BE88" i="2"/>
  <c r="BE112" i="2"/>
  <c r="BK112" i="2"/>
  <c r="BI112" i="2"/>
  <c r="BN112" i="2"/>
  <c r="BL112" i="2"/>
  <c r="BO112" i="2"/>
  <c r="BF112" i="2"/>
  <c r="BG112" i="2"/>
  <c r="BM112" i="2"/>
  <c r="BP112" i="2"/>
  <c r="BQ112" i="2" s="1"/>
  <c r="BT112" i="2" s="1"/>
  <c r="BU112" i="2" s="1"/>
  <c r="BV112" i="2" s="1"/>
  <c r="BW112" i="2" s="1"/>
  <c r="BJ112" i="2"/>
  <c r="BH112" i="2"/>
  <c r="BH208" i="2"/>
  <c r="BI208" i="2"/>
  <c r="BF208" i="2"/>
  <c r="BG208" i="2"/>
  <c r="BL208" i="2"/>
  <c r="BJ208" i="2"/>
  <c r="BK208" i="2"/>
  <c r="BP208" i="2"/>
  <c r="BM208" i="2"/>
  <c r="BO208" i="2"/>
  <c r="BE208" i="2"/>
  <c r="BN208" i="2"/>
  <c r="BQ208" i="2" s="1"/>
  <c r="BT208" i="2" s="1"/>
  <c r="BU208" i="2" s="1"/>
  <c r="BV208" i="2" s="1"/>
  <c r="BW208" i="2" s="1"/>
  <c r="BN273" i="2"/>
  <c r="BO273" i="2"/>
  <c r="BQ273" i="2" s="1"/>
  <c r="BT273" i="2" s="1"/>
  <c r="BU273" i="2" s="1"/>
  <c r="BV273" i="2" s="1"/>
  <c r="BW273" i="2" s="1"/>
  <c r="BP273" i="2"/>
  <c r="BM273" i="2"/>
  <c r="BJ273" i="2"/>
  <c r="BG273" i="2"/>
  <c r="BL273" i="2"/>
  <c r="BE273" i="2"/>
  <c r="BH273" i="2"/>
  <c r="BI273" i="2"/>
  <c r="BK273" i="2"/>
  <c r="BF273" i="2"/>
  <c r="BN308" i="2"/>
  <c r="BM308" i="2"/>
  <c r="BL308" i="2"/>
  <c r="BP308" i="2"/>
  <c r="BF308" i="2"/>
  <c r="BI308" i="2"/>
  <c r="BG308" i="2"/>
  <c r="BK308" i="2"/>
  <c r="BJ308" i="2"/>
  <c r="BE308" i="2"/>
  <c r="BH308" i="2"/>
  <c r="BQ308" i="2" s="1"/>
  <c r="BT308" i="2" s="1"/>
  <c r="BU308" i="2" s="1"/>
  <c r="BV308" i="2" s="1"/>
  <c r="BW308" i="2" s="1"/>
  <c r="BO308" i="2"/>
  <c r="BH316" i="2"/>
  <c r="BL316" i="2"/>
  <c r="BG316" i="2"/>
  <c r="BN316" i="2"/>
  <c r="BI316" i="2"/>
  <c r="BO316" i="2"/>
  <c r="BK316" i="2"/>
  <c r="BF316" i="2"/>
  <c r="BJ316" i="2"/>
  <c r="BE316" i="2"/>
  <c r="BQ316" i="2" s="1"/>
  <c r="BT316" i="2" s="1"/>
  <c r="BU316" i="2" s="1"/>
  <c r="BV316" i="2" s="1"/>
  <c r="BW316" i="2" s="1"/>
  <c r="BM316" i="2"/>
  <c r="BP316" i="2"/>
  <c r="BF10" i="2"/>
  <c r="BG10" i="2"/>
  <c r="BM10" i="2"/>
  <c r="BP10" i="2"/>
  <c r="BE10" i="2"/>
  <c r="BO10" i="2"/>
  <c r="BQ10" i="2" s="1"/>
  <c r="BT10" i="2" s="1"/>
  <c r="BU10" i="2" s="1"/>
  <c r="BV10" i="2" s="1"/>
  <c r="BW10" i="2" s="1"/>
  <c r="BJ10" i="2"/>
  <c r="BK10" i="2"/>
  <c r="BN10" i="2"/>
  <c r="BI10" i="2"/>
  <c r="BH10" i="2"/>
  <c r="BL10" i="2"/>
  <c r="BN68" i="2"/>
  <c r="BL68" i="2"/>
  <c r="BJ68" i="2"/>
  <c r="BK68" i="2"/>
  <c r="BH68" i="2"/>
  <c r="BP68" i="2"/>
  <c r="BI68" i="2"/>
  <c r="BF68" i="2"/>
  <c r="BQ68" i="2" s="1"/>
  <c r="BT68" i="2" s="1"/>
  <c r="BU68" i="2" s="1"/>
  <c r="BV68" i="2" s="1"/>
  <c r="BW68" i="2" s="1"/>
  <c r="BG68" i="2"/>
  <c r="BE68" i="2"/>
  <c r="BM68" i="2"/>
  <c r="BO68" i="2"/>
  <c r="BI174" i="2"/>
  <c r="BN174" i="2"/>
  <c r="BJ174" i="2"/>
  <c r="BO174" i="2"/>
  <c r="BF174" i="2"/>
  <c r="BG174" i="2"/>
  <c r="BK174" i="2"/>
  <c r="BQ174" i="2" s="1"/>
  <c r="BT174" i="2" s="1"/>
  <c r="BU174" i="2" s="1"/>
  <c r="BV174" i="2" s="1"/>
  <c r="BW174" i="2" s="1"/>
  <c r="BP174" i="2"/>
  <c r="BH174" i="2"/>
  <c r="BL174" i="2"/>
  <c r="BM174" i="2"/>
  <c r="BE174" i="2"/>
  <c r="BK320" i="2"/>
  <c r="BI57" i="2"/>
  <c r="BK183" i="2"/>
  <c r="BL196" i="2"/>
  <c r="BP378" i="2"/>
  <c r="BQ378" i="2" s="1"/>
  <c r="BT378" i="2" s="1"/>
  <c r="BU378" i="2" s="1"/>
  <c r="BV378" i="2" s="1"/>
  <c r="BW378" i="2" s="1"/>
  <c r="BE194" i="2"/>
  <c r="BO82" i="2"/>
  <c r="BQ82" i="2" s="1"/>
  <c r="BT82" i="2" s="1"/>
  <c r="BU82" i="2" s="1"/>
  <c r="BV82" i="2" s="1"/>
  <c r="BW82" i="2" s="1"/>
  <c r="BL94" i="2"/>
  <c r="BE66" i="2"/>
  <c r="BJ121" i="2"/>
  <c r="BF179" i="2"/>
  <c r="BO284" i="2"/>
  <c r="BN385" i="2"/>
  <c r="BP200" i="2"/>
  <c r="BE352" i="2"/>
  <c r="BH345" i="2"/>
  <c r="BP117" i="2"/>
  <c r="BQ117" i="2" s="1"/>
  <c r="BT117" i="2" s="1"/>
  <c r="BU117" i="2" s="1"/>
  <c r="BV117" i="2" s="1"/>
  <c r="BW117" i="2" s="1"/>
  <c r="BM272" i="2"/>
  <c r="BQ272" i="2" s="1"/>
  <c r="BT272" i="2" s="1"/>
  <c r="BU272" i="2" s="1"/>
  <c r="BV272" i="2" s="1"/>
  <c r="BW272" i="2" s="1"/>
  <c r="BE288" i="2"/>
  <c r="BH309" i="2"/>
  <c r="BL78" i="2"/>
  <c r="BK283" i="2"/>
  <c r="BK102" i="2"/>
  <c r="BH8" i="2"/>
  <c r="BK67" i="2"/>
  <c r="BP107" i="2"/>
  <c r="BQ107" i="2" s="1"/>
  <c r="BT107" i="2" s="1"/>
  <c r="BU107" i="2" s="1"/>
  <c r="BV107" i="2" s="1"/>
  <c r="BW107" i="2" s="1"/>
  <c r="BH385" i="2"/>
  <c r="BF83" i="2"/>
  <c r="BK32" i="2"/>
  <c r="BQ32" i="2" s="1"/>
  <c r="BT32" i="2" s="1"/>
  <c r="BU32" i="2" s="1"/>
  <c r="BV32" i="2" s="1"/>
  <c r="BW32" i="2" s="1"/>
  <c r="BI32" i="2"/>
  <c r="BN32" i="2"/>
  <c r="BG32" i="2"/>
  <c r="BL32" i="2"/>
  <c r="BJ32" i="2"/>
  <c r="BH32" i="2"/>
  <c r="BE32" i="2"/>
  <c r="BO32" i="2"/>
  <c r="BF32" i="2"/>
  <c r="BP32" i="2"/>
  <c r="BM32" i="2"/>
  <c r="BG86" i="2"/>
  <c r="BQ86" i="2" s="1"/>
  <c r="BT86" i="2" s="1"/>
  <c r="BU86" i="2" s="1"/>
  <c r="BV86" i="2" s="1"/>
  <c r="BW86" i="2" s="1"/>
  <c r="BM86" i="2"/>
  <c r="BF86" i="2"/>
  <c r="BL86" i="2"/>
  <c r="BE86" i="2"/>
  <c r="BJ86" i="2"/>
  <c r="BK86" i="2"/>
  <c r="BP86" i="2"/>
  <c r="BN86" i="2"/>
  <c r="BO86" i="2"/>
  <c r="BH86" i="2"/>
  <c r="BI86" i="2"/>
  <c r="BL187" i="2"/>
  <c r="BE187" i="2"/>
  <c r="BQ187" i="2" s="1"/>
  <c r="BT187" i="2" s="1"/>
  <c r="BU187" i="2" s="1"/>
  <c r="BV187" i="2" s="1"/>
  <c r="BW187" i="2" s="1"/>
  <c r="BJ187" i="2"/>
  <c r="BK187" i="2"/>
  <c r="BP187" i="2"/>
  <c r="BN187" i="2"/>
  <c r="BO187" i="2"/>
  <c r="BH187" i="2"/>
  <c r="BI187" i="2"/>
  <c r="BG187" i="2"/>
  <c r="BM187" i="2"/>
  <c r="BF187" i="2"/>
  <c r="BF239" i="2"/>
  <c r="BL239" i="2"/>
  <c r="BK239" i="2"/>
  <c r="BI239" i="2"/>
  <c r="BH239" i="2"/>
  <c r="BJ239" i="2"/>
  <c r="BG239" i="2"/>
  <c r="BE239" i="2"/>
  <c r="BO239" i="2"/>
  <c r="BM239" i="2"/>
  <c r="BN239" i="2"/>
  <c r="BP239" i="2"/>
  <c r="BQ239" i="2" s="1"/>
  <c r="BT239" i="2" s="1"/>
  <c r="BU239" i="2" s="1"/>
  <c r="BV239" i="2" s="1"/>
  <c r="BW239" i="2" s="1"/>
  <c r="BH295" i="2"/>
  <c r="BI295" i="2"/>
  <c r="BN295" i="2"/>
  <c r="BE295" i="2"/>
  <c r="BJ295" i="2"/>
  <c r="BF295" i="2"/>
  <c r="BK295" i="2"/>
  <c r="BG295" i="2"/>
  <c r="BL295" i="2"/>
  <c r="BQ295" i="2" s="1"/>
  <c r="BT295" i="2" s="1"/>
  <c r="BU295" i="2" s="1"/>
  <c r="BV295" i="2" s="1"/>
  <c r="BW295" i="2" s="1"/>
  <c r="BO295" i="2"/>
  <c r="BP295" i="2"/>
  <c r="BM295" i="2"/>
  <c r="BG330" i="2"/>
  <c r="BK330" i="2"/>
  <c r="BH330" i="2"/>
  <c r="BL330" i="2"/>
  <c r="BE330" i="2"/>
  <c r="BI330" i="2"/>
  <c r="BN330" i="2"/>
  <c r="BF330" i="2"/>
  <c r="BJ330" i="2"/>
  <c r="BM330" i="2"/>
  <c r="BP330" i="2"/>
  <c r="BQ330" i="2" s="1"/>
  <c r="BT330" i="2" s="1"/>
  <c r="BU330" i="2" s="1"/>
  <c r="BV330" i="2" s="1"/>
  <c r="BW330" i="2" s="1"/>
  <c r="BO330" i="2"/>
  <c r="BJ14" i="2"/>
  <c r="BP14" i="2"/>
  <c r="BQ14" i="2" s="1"/>
  <c r="BT14" i="2" s="1"/>
  <c r="BU14" i="2" s="1"/>
  <c r="BV14" i="2" s="1"/>
  <c r="BW14" i="2" s="1"/>
  <c r="BG14" i="2"/>
  <c r="BF14" i="2"/>
  <c r="BO14" i="2"/>
  <c r="BM14" i="2"/>
  <c r="BK14" i="2"/>
  <c r="BL14" i="2"/>
  <c r="BN14" i="2"/>
  <c r="BH14" i="2"/>
  <c r="BI14" i="2"/>
  <c r="BE14" i="2"/>
  <c r="BI24" i="2"/>
  <c r="BH24" i="2"/>
  <c r="BK24" i="2"/>
  <c r="BN24" i="2"/>
  <c r="BP24" i="2"/>
  <c r="BQ24" i="2" s="1"/>
  <c r="BT24" i="2" s="1"/>
  <c r="BU24" i="2" s="1"/>
  <c r="BV24" i="2" s="1"/>
  <c r="BW24" i="2" s="1"/>
  <c r="BE24" i="2"/>
  <c r="BM24" i="2"/>
  <c r="BJ24" i="2"/>
  <c r="BL24" i="2"/>
  <c r="BG24" i="2"/>
  <c r="BO24" i="2"/>
  <c r="BF24" i="2"/>
  <c r="BI96" i="2"/>
  <c r="BN96" i="2"/>
  <c r="BF96" i="2"/>
  <c r="BG96" i="2"/>
  <c r="BJ96" i="2"/>
  <c r="BK96" i="2"/>
  <c r="BO96" i="2"/>
  <c r="BP96" i="2"/>
  <c r="BH96" i="2"/>
  <c r="BQ96" i="2" s="1"/>
  <c r="BT96" i="2" s="1"/>
  <c r="BU96" i="2" s="1"/>
  <c r="BV96" i="2" s="1"/>
  <c r="BW96" i="2" s="1"/>
  <c r="BL96" i="2"/>
  <c r="BM96" i="2"/>
  <c r="BE96" i="2"/>
  <c r="BG167" i="2"/>
  <c r="BJ167" i="2"/>
  <c r="BH167" i="2"/>
  <c r="BO167" i="2"/>
  <c r="BP167" i="2"/>
  <c r="BE167" i="2"/>
  <c r="BL167" i="2"/>
  <c r="BM167" i="2"/>
  <c r="BF167" i="2"/>
  <c r="BI167" i="2"/>
  <c r="BN167" i="2"/>
  <c r="BQ167" i="2" s="1"/>
  <c r="BT167" i="2" s="1"/>
  <c r="BU167" i="2" s="1"/>
  <c r="BV167" i="2" s="1"/>
  <c r="BW167" i="2" s="1"/>
  <c r="BK167" i="2"/>
  <c r="BL234" i="2"/>
  <c r="BQ234" i="2" s="1"/>
  <c r="BT234" i="2" s="1"/>
  <c r="BU234" i="2" s="1"/>
  <c r="BV234" i="2" s="1"/>
  <c r="BW234" i="2" s="1"/>
  <c r="BO234" i="2"/>
  <c r="BM234" i="2"/>
  <c r="BP234" i="2"/>
  <c r="BN234" i="2"/>
  <c r="BI234" i="2"/>
  <c r="BJ234" i="2"/>
  <c r="BF234" i="2"/>
  <c r="BE234" i="2"/>
  <c r="BG234" i="2"/>
  <c r="BH234" i="2"/>
  <c r="BK234" i="2"/>
  <c r="BI264" i="2"/>
  <c r="BN264" i="2"/>
  <c r="BJ264" i="2"/>
  <c r="BL264" i="2"/>
  <c r="BO264" i="2"/>
  <c r="BQ264" i="2" s="1"/>
  <c r="BT264" i="2" s="1"/>
  <c r="BU264" i="2" s="1"/>
  <c r="BV264" i="2" s="1"/>
  <c r="BW264" i="2" s="1"/>
  <c r="BP264" i="2"/>
  <c r="BM264" i="2"/>
  <c r="BK264" i="2"/>
  <c r="BH264" i="2"/>
  <c r="BE264" i="2"/>
  <c r="BG264" i="2"/>
  <c r="BF264" i="2"/>
  <c r="BG331" i="2"/>
  <c r="BQ331" i="2" s="1"/>
  <c r="BT331" i="2" s="1"/>
  <c r="BU331" i="2" s="1"/>
  <c r="BV331" i="2" s="1"/>
  <c r="BW331" i="2" s="1"/>
  <c r="BI331" i="2"/>
  <c r="BE331" i="2"/>
  <c r="BL331" i="2"/>
  <c r="BN331" i="2"/>
  <c r="BK331" i="2"/>
  <c r="BM331" i="2"/>
  <c r="BJ331" i="2"/>
  <c r="BO331" i="2"/>
  <c r="BF331" i="2"/>
  <c r="BP331" i="2"/>
  <c r="BH331" i="2"/>
  <c r="BO338" i="2"/>
  <c r="BQ338" i="2" s="1"/>
  <c r="BT338" i="2" s="1"/>
  <c r="BU338" i="2" s="1"/>
  <c r="BV338" i="2" s="1"/>
  <c r="BW338" i="2" s="1"/>
  <c r="BP338" i="2"/>
  <c r="BI338" i="2"/>
  <c r="BM338" i="2"/>
  <c r="BL338" i="2"/>
  <c r="BJ338" i="2"/>
  <c r="BN338" i="2"/>
  <c r="BF338" i="2"/>
  <c r="BG338" i="2"/>
  <c r="BK338" i="2"/>
  <c r="BE338" i="2"/>
  <c r="BH338" i="2"/>
  <c r="BF95" i="2"/>
  <c r="BO95" i="2"/>
  <c r="BH95" i="2"/>
  <c r="BJ95" i="2"/>
  <c r="BL95" i="2"/>
  <c r="BM95" i="2"/>
  <c r="BG95" i="2"/>
  <c r="BP95" i="2"/>
  <c r="BQ95" i="2" s="1"/>
  <c r="BT95" i="2" s="1"/>
  <c r="BU95" i="2" s="1"/>
  <c r="BV95" i="2" s="1"/>
  <c r="BW95" i="2" s="1"/>
  <c r="BE95" i="2"/>
  <c r="BN95" i="2"/>
  <c r="BK95" i="2"/>
  <c r="BI95" i="2"/>
  <c r="BN137" i="2"/>
  <c r="BM137" i="2"/>
  <c r="BF137" i="2"/>
  <c r="BE137" i="2"/>
  <c r="BO137" i="2"/>
  <c r="BQ137" i="2" s="1"/>
  <c r="BT137" i="2" s="1"/>
  <c r="BU137" i="2" s="1"/>
  <c r="BV137" i="2" s="1"/>
  <c r="BW137" i="2" s="1"/>
  <c r="BI137" i="2"/>
  <c r="BL137" i="2"/>
  <c r="BG137" i="2"/>
  <c r="BH137" i="2"/>
  <c r="BJ137" i="2"/>
  <c r="BK137" i="2"/>
  <c r="BP137" i="2"/>
  <c r="BM323" i="2"/>
  <c r="BN323" i="2"/>
  <c r="BL323" i="2"/>
  <c r="BE323" i="2"/>
  <c r="BK323" i="2"/>
  <c r="BO323" i="2"/>
  <c r="BQ323" i="2" s="1"/>
  <c r="BT323" i="2" s="1"/>
  <c r="BU323" i="2" s="1"/>
  <c r="BV323" i="2" s="1"/>
  <c r="BW323" i="2" s="1"/>
  <c r="BF323" i="2"/>
  <c r="BP323" i="2"/>
  <c r="BJ323" i="2"/>
  <c r="BG323" i="2"/>
  <c r="BH323" i="2"/>
  <c r="BI323" i="2"/>
  <c r="BN131" i="2"/>
  <c r="BJ131" i="2"/>
  <c r="BH131" i="2"/>
  <c r="BK131" i="2"/>
  <c r="BQ131" i="2" s="1"/>
  <c r="BT131" i="2" s="1"/>
  <c r="BU131" i="2" s="1"/>
  <c r="BV131" i="2" s="1"/>
  <c r="BW131" i="2" s="1"/>
  <c r="BF131" i="2"/>
  <c r="BM131" i="2"/>
  <c r="BO131" i="2"/>
  <c r="BI131" i="2"/>
  <c r="BE131" i="2"/>
  <c r="BP131" i="2"/>
  <c r="BG131" i="2"/>
  <c r="BL131" i="2"/>
  <c r="BN159" i="2"/>
  <c r="BP159" i="2"/>
  <c r="BF159" i="2"/>
  <c r="BH159" i="2"/>
  <c r="BG159" i="2"/>
  <c r="BM159" i="2"/>
  <c r="BL159" i="2"/>
  <c r="BJ159" i="2"/>
  <c r="BO159" i="2"/>
  <c r="BK159" i="2"/>
  <c r="BQ159" i="2" s="1"/>
  <c r="BT159" i="2" s="1"/>
  <c r="BU159" i="2" s="1"/>
  <c r="BV159" i="2" s="1"/>
  <c r="BW159" i="2" s="1"/>
  <c r="BI159" i="2"/>
  <c r="BE159" i="2"/>
  <c r="BH266" i="2"/>
  <c r="BK85" i="2"/>
  <c r="BM63" i="2"/>
  <c r="BJ99" i="2"/>
  <c r="BJ183" i="2"/>
  <c r="BO196" i="2"/>
  <c r="BG274" i="2"/>
  <c r="BJ378" i="2"/>
  <c r="BG199" i="2"/>
  <c r="BE178" i="2"/>
  <c r="BK178" i="2"/>
  <c r="BO178" i="2"/>
  <c r="BF178" i="2"/>
  <c r="BL178" i="2"/>
  <c r="BP178" i="2"/>
  <c r="BG178" i="2"/>
  <c r="BI178" i="2"/>
  <c r="BM178" i="2"/>
  <c r="BH178" i="2"/>
  <c r="BJ178" i="2"/>
  <c r="BN178" i="2"/>
  <c r="BQ178" i="2" s="1"/>
  <c r="BT178" i="2" s="1"/>
  <c r="BU178" i="2" s="1"/>
  <c r="BV178" i="2" s="1"/>
  <c r="BW178" i="2" s="1"/>
  <c r="BM317" i="2"/>
  <c r="BN82" i="2"/>
  <c r="BF97" i="2"/>
  <c r="BK94" i="2"/>
  <c r="BH66" i="2"/>
  <c r="BE121" i="2"/>
  <c r="BJ284" i="2"/>
  <c r="BE270" i="2"/>
  <c r="BJ270" i="2"/>
  <c r="BF270" i="2"/>
  <c r="BK270" i="2"/>
  <c r="BN270" i="2"/>
  <c r="BG270" i="2"/>
  <c r="BL270" i="2"/>
  <c r="BH270" i="2"/>
  <c r="BI270" i="2"/>
  <c r="BK355" i="2"/>
  <c r="BP122" i="2"/>
  <c r="BQ122" i="2" s="1"/>
  <c r="BT122" i="2" s="1"/>
  <c r="BU122" i="2" s="1"/>
  <c r="BV122" i="2" s="1"/>
  <c r="BW122" i="2" s="1"/>
  <c r="BK200" i="2"/>
  <c r="BG313" i="2"/>
  <c r="BP341" i="2"/>
  <c r="BQ341" i="2" s="1"/>
  <c r="BT341" i="2" s="1"/>
  <c r="BU341" i="2" s="1"/>
  <c r="BV341" i="2" s="1"/>
  <c r="BW341" i="2" s="1"/>
  <c r="BL352" i="2"/>
  <c r="BK345" i="2"/>
  <c r="BI97" i="2"/>
  <c r="BK198" i="2"/>
  <c r="BH315" i="2"/>
  <c r="BO315" i="2"/>
  <c r="BM315" i="2"/>
  <c r="BF315" i="2"/>
  <c r="BE315" i="2"/>
  <c r="BG315" i="2"/>
  <c r="BI315" i="2"/>
  <c r="BK315" i="2"/>
  <c r="BP315" i="2"/>
  <c r="BQ315" i="2" s="1"/>
  <c r="BT315" i="2" s="1"/>
  <c r="BU315" i="2" s="1"/>
  <c r="BV315" i="2" s="1"/>
  <c r="BW315" i="2" s="1"/>
  <c r="BN315" i="2"/>
  <c r="BL315" i="2"/>
  <c r="BJ315" i="2"/>
  <c r="BP272" i="2"/>
  <c r="BI288" i="2"/>
  <c r="BG309" i="2"/>
  <c r="BE106" i="2"/>
  <c r="BN191" i="2"/>
  <c r="BK360" i="2"/>
  <c r="BN283" i="2"/>
  <c r="BN102" i="2"/>
  <c r="BL8" i="2"/>
  <c r="BJ67" i="2"/>
  <c r="BF79" i="2"/>
  <c r="BO107" i="2"/>
  <c r="BP346" i="2"/>
  <c r="BM353" i="2"/>
  <c r="BQ353" i="2" s="1"/>
  <c r="BT353" i="2" s="1"/>
  <c r="BU353" i="2" s="1"/>
  <c r="BV353" i="2" s="1"/>
  <c r="BW353" i="2" s="1"/>
  <c r="BO110" i="2"/>
  <c r="BL126" i="2"/>
  <c r="BI275" i="2"/>
  <c r="BE83" i="2"/>
  <c r="BQ83" i="2" s="1"/>
  <c r="BT83" i="2" s="1"/>
  <c r="BU83" i="2" s="1"/>
  <c r="BV83" i="2" s="1"/>
  <c r="BW83" i="2" s="1"/>
  <c r="BL35" i="2"/>
  <c r="BJ35" i="2"/>
  <c r="BI35" i="2"/>
  <c r="BO35" i="2"/>
  <c r="BN35" i="2"/>
  <c r="BG35" i="2"/>
  <c r="BF35" i="2"/>
  <c r="BP35" i="2"/>
  <c r="BQ35" i="2" s="1"/>
  <c r="BT35" i="2" s="1"/>
  <c r="BU35" i="2" s="1"/>
  <c r="BV35" i="2" s="1"/>
  <c r="BW35" i="2" s="1"/>
  <c r="BH35" i="2"/>
  <c r="BK35" i="2"/>
  <c r="BM35" i="2"/>
  <c r="BE35" i="2"/>
  <c r="BM50" i="2"/>
  <c r="BI50" i="2"/>
  <c r="BF50" i="2"/>
  <c r="BG50" i="2"/>
  <c r="BQ50" i="2" s="1"/>
  <c r="BT50" i="2" s="1"/>
  <c r="BU50" i="2" s="1"/>
  <c r="BV50" i="2" s="1"/>
  <c r="BW50" i="2" s="1"/>
  <c r="BK50" i="2"/>
  <c r="BE50" i="2"/>
  <c r="BJ50" i="2"/>
  <c r="BP50" i="2"/>
  <c r="BH50" i="2"/>
  <c r="BN50" i="2"/>
  <c r="BL50" i="2"/>
  <c r="BO50" i="2"/>
  <c r="BE142" i="2"/>
  <c r="BI142" i="2"/>
  <c r="BF142" i="2"/>
  <c r="BJ142" i="2"/>
  <c r="BM142" i="2"/>
  <c r="BG142" i="2"/>
  <c r="BK142" i="2"/>
  <c r="BO142" i="2"/>
  <c r="BN142" i="2"/>
  <c r="BH142" i="2"/>
  <c r="BL142" i="2"/>
  <c r="BQ142" i="2" s="1"/>
  <c r="BT142" i="2" s="1"/>
  <c r="BU142" i="2" s="1"/>
  <c r="BV142" i="2" s="1"/>
  <c r="BW142" i="2" s="1"/>
  <c r="BP142" i="2"/>
  <c r="BG255" i="2"/>
  <c r="BH255" i="2"/>
  <c r="BL255" i="2"/>
  <c r="BE255" i="2"/>
  <c r="BI255" i="2"/>
  <c r="BF255" i="2"/>
  <c r="BJ255" i="2"/>
  <c r="BK255" i="2"/>
  <c r="BO255" i="2"/>
  <c r="BQ255" i="2" s="1"/>
  <c r="BT255" i="2" s="1"/>
  <c r="BU255" i="2" s="1"/>
  <c r="BV255" i="2" s="1"/>
  <c r="BW255" i="2" s="1"/>
  <c r="BM255" i="2"/>
  <c r="BN255" i="2"/>
  <c r="BP255" i="2"/>
  <c r="BE287" i="2"/>
  <c r="BO287" i="2"/>
  <c r="BQ287" i="2" s="1"/>
  <c r="BT287" i="2" s="1"/>
  <c r="BU287" i="2" s="1"/>
  <c r="BV287" i="2" s="1"/>
  <c r="BW287" i="2" s="1"/>
  <c r="BH287" i="2"/>
  <c r="BM287" i="2"/>
  <c r="BN287" i="2"/>
  <c r="BK287" i="2"/>
  <c r="BJ287" i="2"/>
  <c r="BP287" i="2"/>
  <c r="BL287" i="2"/>
  <c r="BI287" i="2"/>
  <c r="BG287" i="2"/>
  <c r="BF287" i="2"/>
  <c r="BL297" i="2"/>
  <c r="BI297" i="2"/>
  <c r="BM297" i="2"/>
  <c r="BH297" i="2"/>
  <c r="BE297" i="2"/>
  <c r="BJ297" i="2"/>
  <c r="BN297" i="2"/>
  <c r="BF297" i="2"/>
  <c r="BO297" i="2"/>
  <c r="BK297" i="2"/>
  <c r="BP297" i="2"/>
  <c r="BG297" i="2"/>
  <c r="BQ297" i="2" s="1"/>
  <c r="BT297" i="2" s="1"/>
  <c r="BU297" i="2" s="1"/>
  <c r="BV297" i="2" s="1"/>
  <c r="BW297" i="2" s="1"/>
  <c r="BF343" i="2"/>
  <c r="BJ343" i="2"/>
  <c r="BK343" i="2"/>
  <c r="BO343" i="2"/>
  <c r="BG343" i="2"/>
  <c r="BH343" i="2"/>
  <c r="BL343" i="2"/>
  <c r="BQ343" i="2" s="1"/>
  <c r="BT343" i="2" s="1"/>
  <c r="BU343" i="2" s="1"/>
  <c r="BV343" i="2" s="1"/>
  <c r="BW343" i="2" s="1"/>
  <c r="BE343" i="2"/>
  <c r="BI343" i="2"/>
  <c r="BM343" i="2"/>
  <c r="BP343" i="2"/>
  <c r="BN343" i="2"/>
  <c r="BJ215" i="2"/>
  <c r="BI215" i="2"/>
  <c r="BO215" i="2"/>
  <c r="BN215" i="2"/>
  <c r="BP215" i="2"/>
  <c r="BQ215" i="2" s="1"/>
  <c r="BT215" i="2" s="1"/>
  <c r="BU215" i="2" s="1"/>
  <c r="BV215" i="2" s="1"/>
  <c r="BW215" i="2" s="1"/>
  <c r="BM215" i="2"/>
  <c r="BK215" i="2"/>
  <c r="BF215" i="2"/>
  <c r="BE215" i="2"/>
  <c r="BG215" i="2"/>
  <c r="BH215" i="2"/>
  <c r="BL215" i="2"/>
  <c r="BO209" i="2"/>
  <c r="BN209" i="2"/>
  <c r="BH209" i="2"/>
  <c r="BG209" i="2"/>
  <c r="BL209" i="2"/>
  <c r="BE209" i="2"/>
  <c r="BI209" i="2"/>
  <c r="BP209" i="2"/>
  <c r="BF209" i="2"/>
  <c r="BJ209" i="2"/>
  <c r="BM209" i="2"/>
  <c r="BQ209" i="2" s="1"/>
  <c r="BT209" i="2" s="1"/>
  <c r="BU209" i="2" s="1"/>
  <c r="BV209" i="2" s="1"/>
  <c r="BW209" i="2" s="1"/>
  <c r="BK209" i="2"/>
  <c r="BO310" i="2"/>
  <c r="BQ310" i="2" s="1"/>
  <c r="BT310" i="2" s="1"/>
  <c r="BU310" i="2" s="1"/>
  <c r="BV310" i="2" s="1"/>
  <c r="BW310" i="2" s="1"/>
  <c r="BN310" i="2"/>
  <c r="BK310" i="2"/>
  <c r="BL310" i="2"/>
  <c r="BH310" i="2"/>
  <c r="BI310" i="2"/>
  <c r="BP310" i="2"/>
  <c r="BE310" i="2"/>
  <c r="BG310" i="2"/>
  <c r="BJ310" i="2"/>
  <c r="BM310" i="2"/>
  <c r="BF310" i="2"/>
  <c r="BN43" i="2"/>
  <c r="BM43" i="2"/>
  <c r="BG43" i="2"/>
  <c r="BP43" i="2"/>
  <c r="BJ43" i="2"/>
  <c r="BI43" i="2"/>
  <c r="BE43" i="2"/>
  <c r="BQ43" i="2" s="1"/>
  <c r="BT43" i="2" s="1"/>
  <c r="BU43" i="2" s="1"/>
  <c r="BV43" i="2" s="1"/>
  <c r="BW43" i="2" s="1"/>
  <c r="BF43" i="2"/>
  <c r="BH43" i="2"/>
  <c r="BL43" i="2"/>
  <c r="BK43" i="2"/>
  <c r="BO43" i="2"/>
  <c r="BP229" i="2"/>
  <c r="BO229" i="2"/>
  <c r="BL229" i="2"/>
  <c r="BH229" i="2"/>
  <c r="BE229" i="2"/>
  <c r="BN229" i="2"/>
  <c r="BG229" i="2"/>
  <c r="BM229" i="2"/>
  <c r="BI229" i="2"/>
  <c r="BF229" i="2"/>
  <c r="BJ229" i="2"/>
  <c r="BK229" i="2"/>
  <c r="BQ229" i="2" s="1"/>
  <c r="BT229" i="2" s="1"/>
  <c r="BU229" i="2" s="1"/>
  <c r="BV229" i="2" s="1"/>
  <c r="BW229" i="2" s="1"/>
  <c r="BP326" i="2"/>
  <c r="BJ326" i="2"/>
  <c r="BM326" i="2"/>
  <c r="BN326" i="2"/>
  <c r="BO326" i="2"/>
  <c r="BF326" i="2"/>
  <c r="BI326" i="2"/>
  <c r="BE326" i="2"/>
  <c r="BQ326" i="2" s="1"/>
  <c r="BT326" i="2" s="1"/>
  <c r="BU326" i="2" s="1"/>
  <c r="BV326" i="2" s="1"/>
  <c r="BW326" i="2" s="1"/>
  <c r="BH326" i="2"/>
  <c r="BK326" i="2"/>
  <c r="BG326" i="2"/>
  <c r="BL326" i="2"/>
  <c r="BN33" i="2"/>
  <c r="BP33" i="2"/>
  <c r="BJ33" i="2"/>
  <c r="BE33" i="2"/>
  <c r="BQ33" i="2" s="1"/>
  <c r="BT33" i="2" s="1"/>
  <c r="BU33" i="2" s="1"/>
  <c r="BV33" i="2" s="1"/>
  <c r="BW33" i="2" s="1"/>
  <c r="BG33" i="2"/>
  <c r="BL33" i="2"/>
  <c r="BK33" i="2"/>
  <c r="BO33" i="2"/>
  <c r="BF33" i="2"/>
  <c r="BI33" i="2"/>
  <c r="BM33" i="2"/>
  <c r="BH33" i="2"/>
  <c r="BN100" i="2"/>
  <c r="BO100" i="2"/>
  <c r="BL100" i="2"/>
  <c r="BG100" i="2"/>
  <c r="BK100" i="2"/>
  <c r="BH100" i="2"/>
  <c r="BP100" i="2"/>
  <c r="BQ100" i="2" s="1"/>
  <c r="BT100" i="2" s="1"/>
  <c r="BU100" i="2" s="1"/>
  <c r="BV100" i="2" s="1"/>
  <c r="BW100" i="2" s="1"/>
  <c r="BJ100" i="2"/>
  <c r="BF100" i="2"/>
  <c r="BE100" i="2"/>
  <c r="BM100" i="2"/>
  <c r="BI100" i="2"/>
  <c r="BG242" i="2"/>
  <c r="BE242" i="2"/>
  <c r="BN242" i="2"/>
  <c r="BH242" i="2"/>
  <c r="BF242" i="2"/>
  <c r="BP242" i="2"/>
  <c r="BK242" i="2"/>
  <c r="BL242" i="2"/>
  <c r="BM242" i="2"/>
  <c r="BQ242" i="2" s="1"/>
  <c r="BT242" i="2" s="1"/>
  <c r="BU242" i="2" s="1"/>
  <c r="BV242" i="2" s="1"/>
  <c r="BW242" i="2" s="1"/>
  <c r="BO242" i="2"/>
  <c r="BI242" i="2"/>
  <c r="BJ242" i="2"/>
  <c r="BN302" i="2"/>
  <c r="BM302" i="2"/>
  <c r="BL302" i="2"/>
  <c r="BH302" i="2"/>
  <c r="BG302" i="2"/>
  <c r="BO302" i="2"/>
  <c r="BQ302" i="2" s="1"/>
  <c r="BT302" i="2" s="1"/>
  <c r="BU302" i="2" s="1"/>
  <c r="BV302" i="2" s="1"/>
  <c r="BW302" i="2" s="1"/>
  <c r="BF302" i="2"/>
  <c r="BK302" i="2"/>
  <c r="BE302" i="2"/>
  <c r="BJ302" i="2"/>
  <c r="BI302" i="2"/>
  <c r="BP302" i="2"/>
  <c r="BE266" i="2"/>
  <c r="BF89" i="2"/>
  <c r="BI89" i="2"/>
  <c r="BN89" i="2"/>
  <c r="BJ89" i="2"/>
  <c r="BO89" i="2"/>
  <c r="BK89" i="2"/>
  <c r="BP89" i="2"/>
  <c r="BL89" i="2"/>
  <c r="BM89" i="2"/>
  <c r="BN378" i="2"/>
  <c r="BE378" i="2"/>
  <c r="BK378" i="2"/>
  <c r="BG378" i="2"/>
  <c r="BL378" i="2"/>
  <c r="BH378" i="2"/>
  <c r="BF378" i="2"/>
  <c r="BN337" i="2"/>
  <c r="BM337" i="2"/>
  <c r="BE337" i="2"/>
  <c r="BG337" i="2"/>
  <c r="BF337" i="2"/>
  <c r="BH337" i="2"/>
  <c r="BK337" i="2"/>
  <c r="BI337" i="2"/>
  <c r="BL337" i="2"/>
  <c r="BI109" i="2"/>
  <c r="BG109" i="2"/>
  <c r="BQ109" i="2" s="1"/>
  <c r="BT109" i="2" s="1"/>
  <c r="BU109" i="2" s="1"/>
  <c r="BV109" i="2" s="1"/>
  <c r="BW109" i="2" s="1"/>
  <c r="BP109" i="2"/>
  <c r="BF109" i="2"/>
  <c r="BJ109" i="2"/>
  <c r="BK109" i="2"/>
  <c r="BO109" i="2"/>
  <c r="BE109" i="2"/>
  <c r="BM109" i="2"/>
  <c r="BH109" i="2"/>
  <c r="BK23" i="2"/>
  <c r="BH23" i="2"/>
  <c r="BN23" i="2"/>
  <c r="BO23" i="2"/>
  <c r="BQ23" i="2" s="1"/>
  <c r="BT23" i="2" s="1"/>
  <c r="BU23" i="2" s="1"/>
  <c r="BV23" i="2" s="1"/>
  <c r="BW23" i="2" s="1"/>
  <c r="BL23" i="2"/>
  <c r="BM23" i="2"/>
  <c r="BF23" i="2"/>
  <c r="BJ23" i="2"/>
  <c r="BI23" i="2"/>
  <c r="BE23" i="2"/>
  <c r="BG23" i="2"/>
  <c r="BP23" i="2"/>
  <c r="BH13" i="2"/>
  <c r="BE13" i="2"/>
  <c r="BJ13" i="2"/>
  <c r="BK13" i="2"/>
  <c r="BO13" i="2"/>
  <c r="BQ13" i="2" s="1"/>
  <c r="BT13" i="2" s="1"/>
  <c r="BU13" i="2" s="1"/>
  <c r="BV13" i="2" s="1"/>
  <c r="BW13" i="2" s="1"/>
  <c r="BL13" i="2"/>
  <c r="BN13" i="2"/>
  <c r="BG13" i="2"/>
  <c r="BM13" i="2"/>
  <c r="BP13" i="2"/>
  <c r="BI13" i="2"/>
  <c r="BF13" i="2"/>
  <c r="BN38" i="2"/>
  <c r="BE38" i="2"/>
  <c r="BK38" i="2"/>
  <c r="BF38" i="2"/>
  <c r="BL38" i="2"/>
  <c r="BG38" i="2"/>
  <c r="BI38" i="2"/>
  <c r="BH38" i="2"/>
  <c r="BJ38" i="2"/>
  <c r="BO38" i="2"/>
  <c r="BQ38" i="2" s="1"/>
  <c r="BT38" i="2" s="1"/>
  <c r="BU38" i="2" s="1"/>
  <c r="BV38" i="2" s="1"/>
  <c r="BW38" i="2" s="1"/>
  <c r="BM38" i="2"/>
  <c r="BP38" i="2"/>
  <c r="BE158" i="2"/>
  <c r="BO158" i="2"/>
  <c r="BQ158" i="2" s="1"/>
  <c r="BT158" i="2" s="1"/>
  <c r="BU158" i="2" s="1"/>
  <c r="BV158" i="2" s="1"/>
  <c r="BW158" i="2" s="1"/>
  <c r="BF158" i="2"/>
  <c r="BP158" i="2"/>
  <c r="BG158" i="2"/>
  <c r="BK158" i="2"/>
  <c r="BI158" i="2"/>
  <c r="BM158" i="2"/>
  <c r="BH158" i="2"/>
  <c r="BL158" i="2"/>
  <c r="BJ158" i="2"/>
  <c r="BN158" i="2"/>
  <c r="BL314" i="2"/>
  <c r="BP314" i="2"/>
  <c r="BN314" i="2"/>
  <c r="BM314" i="2"/>
  <c r="BE314" i="2"/>
  <c r="BO314" i="2"/>
  <c r="BK314" i="2"/>
  <c r="BF314" i="2"/>
  <c r="BH314" i="2"/>
  <c r="BG314" i="2"/>
  <c r="BJ314" i="2"/>
  <c r="BI314" i="2"/>
  <c r="BQ314" i="2" s="1"/>
  <c r="BT314" i="2" s="1"/>
  <c r="BU314" i="2" s="1"/>
  <c r="BV314" i="2" s="1"/>
  <c r="BW314" i="2" s="1"/>
  <c r="BN15" i="2"/>
  <c r="BJ15" i="2"/>
  <c r="BI15" i="2"/>
  <c r="BO15" i="2"/>
  <c r="BK15" i="2"/>
  <c r="BP15" i="2"/>
  <c r="BL15" i="2"/>
  <c r="BM15" i="2"/>
  <c r="BG15" i="2"/>
  <c r="BF15" i="2"/>
  <c r="BE15" i="2"/>
  <c r="BQ15" i="2" s="1"/>
  <c r="BT15" i="2" s="1"/>
  <c r="BU15" i="2" s="1"/>
  <c r="BV15" i="2" s="1"/>
  <c r="BW15" i="2" s="1"/>
  <c r="BH15" i="2"/>
  <c r="BG49" i="2"/>
  <c r="BK49" i="2"/>
  <c r="BP49" i="2"/>
  <c r="BQ49" i="2" s="1"/>
  <c r="BT49" i="2" s="1"/>
  <c r="BU49" i="2" s="1"/>
  <c r="BV49" i="2" s="1"/>
  <c r="BW49" i="2" s="1"/>
  <c r="BH49" i="2"/>
  <c r="BL49" i="2"/>
  <c r="BE49" i="2"/>
  <c r="BN49" i="2"/>
  <c r="BM49" i="2"/>
  <c r="BI49" i="2"/>
  <c r="BO49" i="2"/>
  <c r="BF49" i="2"/>
  <c r="BJ49" i="2"/>
  <c r="BO46" i="2"/>
  <c r="BP46" i="2"/>
  <c r="BQ46" i="2" s="1"/>
  <c r="BT46" i="2" s="1"/>
  <c r="BU46" i="2" s="1"/>
  <c r="BV46" i="2" s="1"/>
  <c r="BW46" i="2" s="1"/>
  <c r="BJ46" i="2"/>
  <c r="BM46" i="2"/>
  <c r="BN46" i="2"/>
  <c r="BH46" i="2"/>
  <c r="BK46" i="2"/>
  <c r="BL46" i="2"/>
  <c r="BF46" i="2"/>
  <c r="BI46" i="2"/>
  <c r="BG46" i="2"/>
  <c r="BE46" i="2"/>
  <c r="BN157" i="2"/>
  <c r="BM157" i="2"/>
  <c r="BK157" i="2"/>
  <c r="BH157" i="2"/>
  <c r="BJ157" i="2"/>
  <c r="BP157" i="2"/>
  <c r="BE157" i="2"/>
  <c r="BF157" i="2"/>
  <c r="BG157" i="2"/>
  <c r="BL157" i="2"/>
  <c r="BO157" i="2"/>
  <c r="BQ157" i="2" s="1"/>
  <c r="BT157" i="2" s="1"/>
  <c r="BU157" i="2" s="1"/>
  <c r="BV157" i="2" s="1"/>
  <c r="BW157" i="2" s="1"/>
  <c r="BI157" i="2"/>
  <c r="BP146" i="2"/>
  <c r="BM146" i="2"/>
  <c r="BN146" i="2"/>
  <c r="BG146" i="2"/>
  <c r="BO146" i="2"/>
  <c r="BQ146" i="2" s="1"/>
  <c r="BT146" i="2" s="1"/>
  <c r="BU146" i="2" s="1"/>
  <c r="BV146" i="2" s="1"/>
  <c r="BW146" i="2" s="1"/>
  <c r="BI146" i="2"/>
  <c r="BF146" i="2"/>
  <c r="BL146" i="2"/>
  <c r="BE146" i="2"/>
  <c r="BK146" i="2"/>
  <c r="BH146" i="2"/>
  <c r="BJ146" i="2"/>
  <c r="BN207" i="2"/>
  <c r="BM207" i="2"/>
  <c r="BL207" i="2"/>
  <c r="BO207" i="2"/>
  <c r="BF207" i="2"/>
  <c r="BH207" i="2"/>
  <c r="BJ207" i="2"/>
  <c r="BG207" i="2"/>
  <c r="BP207" i="2"/>
  <c r="BQ207" i="2" s="1"/>
  <c r="BT207" i="2" s="1"/>
  <c r="BU207" i="2" s="1"/>
  <c r="BV207" i="2" s="1"/>
  <c r="BW207" i="2" s="1"/>
  <c r="BI207" i="2"/>
  <c r="BK207" i="2"/>
  <c r="BE207" i="2"/>
  <c r="BP188" i="2"/>
  <c r="BM188" i="2"/>
  <c r="BN188" i="2"/>
  <c r="BJ188" i="2"/>
  <c r="BK188" i="2"/>
  <c r="BI188" i="2"/>
  <c r="BE188" i="2"/>
  <c r="BH188" i="2"/>
  <c r="BL188" i="2"/>
  <c r="BF188" i="2"/>
  <c r="BO188" i="2"/>
  <c r="BG188" i="2"/>
  <c r="BQ188" i="2" s="1"/>
  <c r="BT188" i="2" s="1"/>
  <c r="BU188" i="2" s="1"/>
  <c r="BV188" i="2" s="1"/>
  <c r="BW188" i="2" s="1"/>
  <c r="BP277" i="2"/>
  <c r="BM277" i="2"/>
  <c r="BO277" i="2"/>
  <c r="BQ277" i="2" s="1"/>
  <c r="BT277" i="2" s="1"/>
  <c r="BU277" i="2" s="1"/>
  <c r="BV277" i="2" s="1"/>
  <c r="BW277" i="2" s="1"/>
  <c r="BN277" i="2"/>
  <c r="BF277" i="2"/>
  <c r="BI277" i="2"/>
  <c r="BL277" i="2"/>
  <c r="BK277" i="2"/>
  <c r="BG277" i="2"/>
  <c r="BJ277" i="2"/>
  <c r="BE277" i="2"/>
  <c r="BH277" i="2"/>
  <c r="BP298" i="2"/>
  <c r="BM298" i="2"/>
  <c r="BO298" i="2"/>
  <c r="BN298" i="2"/>
  <c r="BF298" i="2"/>
  <c r="BL298" i="2"/>
  <c r="BQ298" i="2" s="1"/>
  <c r="BT298" i="2" s="1"/>
  <c r="BU298" i="2" s="1"/>
  <c r="BV298" i="2" s="1"/>
  <c r="BW298" i="2" s="1"/>
  <c r="BJ298" i="2"/>
  <c r="BH298" i="2"/>
  <c r="BG298" i="2"/>
  <c r="BK298" i="2"/>
  <c r="BI298" i="2"/>
  <c r="BE298" i="2"/>
  <c r="BI382" i="2"/>
  <c r="BM382" i="2"/>
  <c r="BH382" i="2"/>
  <c r="BF382" i="2"/>
  <c r="BN382" i="2"/>
  <c r="BK382" i="2"/>
  <c r="BE382" i="2"/>
  <c r="BG382" i="2"/>
  <c r="BL382" i="2"/>
  <c r="BQ382" i="2" s="1"/>
  <c r="BT382" i="2" s="1"/>
  <c r="BU382" i="2" s="1"/>
  <c r="BV382" i="2" s="1"/>
  <c r="BW382" i="2" s="1"/>
  <c r="BJ382" i="2"/>
  <c r="BP382" i="2"/>
  <c r="BO382" i="2"/>
  <c r="BN20" i="2"/>
  <c r="BJ20" i="2"/>
  <c r="BO20" i="2"/>
  <c r="BI20" i="2"/>
  <c r="BL20" i="2"/>
  <c r="BM20" i="2"/>
  <c r="BG20" i="2"/>
  <c r="BE20" i="2"/>
  <c r="BK20" i="2"/>
  <c r="BP20" i="2"/>
  <c r="BH20" i="2"/>
  <c r="BF20" i="2"/>
  <c r="BQ20" i="2" s="1"/>
  <c r="BT20" i="2" s="1"/>
  <c r="BU20" i="2" s="1"/>
  <c r="BV20" i="2" s="1"/>
  <c r="BW20" i="2" s="1"/>
  <c r="BN163" i="2"/>
  <c r="BP163" i="2"/>
  <c r="BL163" i="2"/>
  <c r="BM163" i="2"/>
  <c r="BI163" i="2"/>
  <c r="BE163" i="2"/>
  <c r="BG163" i="2"/>
  <c r="BO163" i="2"/>
  <c r="BH163" i="2"/>
  <c r="BK163" i="2"/>
  <c r="BJ163" i="2"/>
  <c r="BF163" i="2"/>
  <c r="BQ163" i="2" s="1"/>
  <c r="BT163" i="2" s="1"/>
  <c r="BU163" i="2" s="1"/>
  <c r="BV163" i="2" s="1"/>
  <c r="BW163" i="2" s="1"/>
  <c r="BL183" i="2"/>
  <c r="BE196" i="2"/>
  <c r="BF340" i="2"/>
  <c r="BL340" i="2"/>
  <c r="BP340" i="2"/>
  <c r="BI340" i="2"/>
  <c r="BM340" i="2"/>
  <c r="BJ340" i="2"/>
  <c r="BN340" i="2"/>
  <c r="BK340" i="2"/>
  <c r="BO340" i="2"/>
  <c r="BQ340" i="2" s="1"/>
  <c r="BT340" i="2" s="1"/>
  <c r="BU340" i="2" s="1"/>
  <c r="BV340" i="2" s="1"/>
  <c r="BW340" i="2" s="1"/>
  <c r="BJ182" i="2"/>
  <c r="BN182" i="2"/>
  <c r="BK182" i="2"/>
  <c r="BO182" i="2"/>
  <c r="BQ182" i="2" s="1"/>
  <c r="BT182" i="2" s="1"/>
  <c r="BU182" i="2" s="1"/>
  <c r="BV182" i="2" s="1"/>
  <c r="BW182" i="2" s="1"/>
  <c r="BL182" i="2"/>
  <c r="BP182" i="2"/>
  <c r="BF182" i="2"/>
  <c r="BI182" i="2"/>
  <c r="BM182" i="2"/>
  <c r="BL284" i="2"/>
  <c r="BK365" i="2"/>
  <c r="BJ365" i="2"/>
  <c r="BI365" i="2"/>
  <c r="BL365" i="2"/>
  <c r="BO365" i="2"/>
  <c r="BM365" i="2"/>
  <c r="BP365" i="2"/>
  <c r="BQ365" i="2" s="1"/>
  <c r="BT365" i="2" s="1"/>
  <c r="BU365" i="2" s="1"/>
  <c r="BV365" i="2" s="1"/>
  <c r="BW365" i="2" s="1"/>
  <c r="BN365" i="2"/>
  <c r="BF365" i="2"/>
  <c r="BH89" i="2"/>
  <c r="BN206" i="2"/>
  <c r="BF206" i="2"/>
  <c r="BL206" i="2"/>
  <c r="BG206" i="2"/>
  <c r="BI206" i="2"/>
  <c r="BH206" i="2"/>
  <c r="BJ206" i="2"/>
  <c r="BE206" i="2"/>
  <c r="BK206" i="2"/>
  <c r="BI345" i="2"/>
  <c r="BF65" i="2"/>
  <c r="BL65" i="2"/>
  <c r="BN65" i="2"/>
  <c r="BG65" i="2"/>
  <c r="BI65" i="2"/>
  <c r="BH65" i="2"/>
  <c r="BJ65" i="2"/>
  <c r="BE65" i="2"/>
  <c r="BK65" i="2"/>
  <c r="BE117" i="2"/>
  <c r="BG288" i="2"/>
  <c r="BL102" i="2"/>
  <c r="BM107" i="2"/>
  <c r="BP369" i="2"/>
  <c r="BF16" i="2"/>
  <c r="BG16" i="2"/>
  <c r="BE16" i="2"/>
  <c r="BH16" i="2"/>
  <c r="BI16" i="2"/>
  <c r="BK16" i="2"/>
  <c r="BQ16" i="2" s="1"/>
  <c r="BT16" i="2" s="1"/>
  <c r="BU16" i="2" s="1"/>
  <c r="BV16" i="2" s="1"/>
  <c r="BW16" i="2" s="1"/>
  <c r="BJ16" i="2"/>
  <c r="BL16" i="2"/>
  <c r="BP16" i="2"/>
  <c r="BO16" i="2"/>
  <c r="BN16" i="2"/>
  <c r="BM16" i="2"/>
  <c r="BG113" i="2"/>
  <c r="BN113" i="2"/>
  <c r="BH113" i="2"/>
  <c r="BF113" i="2"/>
  <c r="BM113" i="2"/>
  <c r="BJ113" i="2"/>
  <c r="BK113" i="2"/>
  <c r="BI113" i="2"/>
  <c r="BP113" i="2"/>
  <c r="BQ113" i="2" s="1"/>
  <c r="BT113" i="2" s="1"/>
  <c r="BU113" i="2" s="1"/>
  <c r="BV113" i="2" s="1"/>
  <c r="BW113" i="2" s="1"/>
  <c r="BL113" i="2"/>
  <c r="BE113" i="2"/>
  <c r="BO113" i="2"/>
  <c r="BK259" i="2"/>
  <c r="BM259" i="2"/>
  <c r="BI259" i="2"/>
  <c r="BG259" i="2"/>
  <c r="BF259" i="2"/>
  <c r="BL259" i="2"/>
  <c r="BE259" i="2"/>
  <c r="BH259" i="2"/>
  <c r="BO259" i="2"/>
  <c r="BQ259" i="2" s="1"/>
  <c r="BT259" i="2" s="1"/>
  <c r="BU259" i="2" s="1"/>
  <c r="BV259" i="2" s="1"/>
  <c r="BW259" i="2" s="1"/>
  <c r="BN259" i="2"/>
  <c r="BP259" i="2"/>
  <c r="BJ259" i="2"/>
  <c r="BL291" i="2"/>
  <c r="BJ291" i="2"/>
  <c r="BF291" i="2"/>
  <c r="BO291" i="2"/>
  <c r="BQ291" i="2" s="1"/>
  <c r="BT291" i="2" s="1"/>
  <c r="BU291" i="2" s="1"/>
  <c r="BV291" i="2" s="1"/>
  <c r="BW291" i="2" s="1"/>
  <c r="BE291" i="2"/>
  <c r="BP291" i="2"/>
  <c r="BN291" i="2"/>
  <c r="BM291" i="2"/>
  <c r="BK291" i="2"/>
  <c r="BH291" i="2"/>
  <c r="BI291" i="2"/>
  <c r="BG291" i="2"/>
  <c r="BF281" i="2"/>
  <c r="BJ281" i="2"/>
  <c r="BK281" i="2"/>
  <c r="BO281" i="2"/>
  <c r="BH281" i="2"/>
  <c r="BL281" i="2"/>
  <c r="BG281" i="2"/>
  <c r="BE281" i="2"/>
  <c r="BI281" i="2"/>
  <c r="BM281" i="2"/>
  <c r="BP281" i="2"/>
  <c r="BQ281" i="2" s="1"/>
  <c r="BT281" i="2" s="1"/>
  <c r="BU281" i="2" s="1"/>
  <c r="BV281" i="2" s="1"/>
  <c r="BW281" i="2" s="1"/>
  <c r="BN281" i="2"/>
  <c r="BF371" i="2"/>
  <c r="BI371" i="2"/>
  <c r="BL371" i="2"/>
  <c r="BJ371" i="2"/>
  <c r="BG371" i="2"/>
  <c r="BE371" i="2"/>
  <c r="BO371" i="2"/>
  <c r="BK371" i="2"/>
  <c r="BH371" i="2"/>
  <c r="BQ371" i="2" s="1"/>
  <c r="BT371" i="2" s="1"/>
  <c r="BU371" i="2" s="1"/>
  <c r="BV371" i="2" s="1"/>
  <c r="BW371" i="2" s="1"/>
  <c r="BN371" i="2"/>
  <c r="BP371" i="2"/>
  <c r="BM371" i="2"/>
  <c r="BG151" i="2"/>
  <c r="BJ151" i="2"/>
  <c r="BM151" i="2"/>
  <c r="BH151" i="2"/>
  <c r="BO151" i="2"/>
  <c r="BN151" i="2"/>
  <c r="BE151" i="2"/>
  <c r="BL151" i="2"/>
  <c r="BF151" i="2"/>
  <c r="BI151" i="2"/>
  <c r="BP151" i="2"/>
  <c r="BK151" i="2"/>
  <c r="BQ151" i="2" s="1"/>
  <c r="BT151" i="2" s="1"/>
  <c r="BU151" i="2" s="1"/>
  <c r="BV151" i="2" s="1"/>
  <c r="BW151" i="2" s="1"/>
  <c r="BJ290" i="2"/>
  <c r="BL290" i="2"/>
  <c r="BM290" i="2"/>
  <c r="BH290" i="2"/>
  <c r="BI290" i="2"/>
  <c r="BE290" i="2"/>
  <c r="BK290" i="2"/>
  <c r="BN290" i="2"/>
  <c r="BP290" i="2"/>
  <c r="BF290" i="2"/>
  <c r="BG290" i="2"/>
  <c r="BO290" i="2"/>
  <c r="BQ290" i="2" s="1"/>
  <c r="BT290" i="2" s="1"/>
  <c r="BU290" i="2" s="1"/>
  <c r="BV290" i="2" s="1"/>
  <c r="BW290" i="2" s="1"/>
  <c r="BI375" i="2"/>
  <c r="BK375" i="2"/>
  <c r="BJ375" i="2"/>
  <c r="BF375" i="2"/>
  <c r="BE375" i="2"/>
  <c r="BL375" i="2"/>
  <c r="BQ375" i="2" s="1"/>
  <c r="BT375" i="2" s="1"/>
  <c r="BU375" i="2" s="1"/>
  <c r="BV375" i="2" s="1"/>
  <c r="BW375" i="2" s="1"/>
  <c r="BO375" i="2"/>
  <c r="BH375" i="2"/>
  <c r="BG375" i="2"/>
  <c r="BP375" i="2"/>
  <c r="BN375" i="2"/>
  <c r="BM375" i="2"/>
  <c r="BL384" i="2"/>
  <c r="BP384" i="2"/>
  <c r="BF384" i="2"/>
  <c r="BG384" i="2"/>
  <c r="BH384" i="2"/>
  <c r="BN384" i="2"/>
  <c r="BQ384" i="2" s="1"/>
  <c r="BT384" i="2" s="1"/>
  <c r="BU384" i="2" s="1"/>
  <c r="BV384" i="2" s="1"/>
  <c r="BW384" i="2" s="1"/>
  <c r="BJ384" i="2"/>
  <c r="BK384" i="2"/>
  <c r="BE384" i="2"/>
  <c r="BO384" i="2"/>
  <c r="BM384" i="2"/>
  <c r="BI384" i="2"/>
  <c r="BJ34" i="2"/>
  <c r="BN34" i="2"/>
  <c r="BO34" i="2"/>
  <c r="BP34" i="2"/>
  <c r="BQ34" i="2" s="1"/>
  <c r="BT34" i="2" s="1"/>
  <c r="BU34" i="2" s="1"/>
  <c r="BV34" i="2" s="1"/>
  <c r="BW34" i="2" s="1"/>
  <c r="BM34" i="2"/>
  <c r="BL34" i="2"/>
  <c r="BI34" i="2"/>
  <c r="BK34" i="2"/>
  <c r="BH34" i="2"/>
  <c r="BG34" i="2"/>
  <c r="BF34" i="2"/>
  <c r="BE34" i="2"/>
  <c r="BM150" i="2"/>
  <c r="BN150" i="2"/>
  <c r="BP150" i="2"/>
  <c r="BI150" i="2"/>
  <c r="BK150" i="2"/>
  <c r="BH150" i="2"/>
  <c r="BE150" i="2"/>
  <c r="BG150" i="2"/>
  <c r="BQ150" i="2" s="1"/>
  <c r="BT150" i="2" s="1"/>
  <c r="BU150" i="2" s="1"/>
  <c r="BV150" i="2" s="1"/>
  <c r="BW150" i="2" s="1"/>
  <c r="BO150" i="2"/>
  <c r="BJ150" i="2"/>
  <c r="BL150" i="2"/>
  <c r="BF150" i="2"/>
  <c r="BO214" i="2"/>
  <c r="BJ214" i="2"/>
  <c r="BP214" i="2"/>
  <c r="BQ214" i="2" s="1"/>
  <c r="BT214" i="2" s="1"/>
  <c r="BU214" i="2" s="1"/>
  <c r="BV214" i="2" s="1"/>
  <c r="BW214" i="2" s="1"/>
  <c r="BM214" i="2"/>
  <c r="BN214" i="2"/>
  <c r="BG214" i="2"/>
  <c r="BF214" i="2"/>
  <c r="BE214" i="2"/>
  <c r="BI214" i="2"/>
  <c r="BK214" i="2"/>
  <c r="BL214" i="2"/>
  <c r="BH214" i="2"/>
  <c r="BN244" i="2"/>
  <c r="BO244" i="2"/>
  <c r="BP244" i="2"/>
  <c r="BJ244" i="2"/>
  <c r="BM244" i="2"/>
  <c r="BG244" i="2"/>
  <c r="BL244" i="2"/>
  <c r="BK244" i="2"/>
  <c r="BH244" i="2"/>
  <c r="BQ244" i="2" s="1"/>
  <c r="BT244" i="2" s="1"/>
  <c r="BU244" i="2" s="1"/>
  <c r="BV244" i="2" s="1"/>
  <c r="BW244" i="2" s="1"/>
  <c r="BF244" i="2"/>
  <c r="BI244" i="2"/>
  <c r="BE244" i="2"/>
  <c r="BK312" i="2"/>
  <c r="BQ312" i="2" s="1"/>
  <c r="BT312" i="2" s="1"/>
  <c r="BU312" i="2" s="1"/>
  <c r="BV312" i="2" s="1"/>
  <c r="BW312" i="2" s="1"/>
  <c r="BP312" i="2"/>
  <c r="BE312" i="2"/>
  <c r="BO312" i="2"/>
  <c r="BI312" i="2"/>
  <c r="BN312" i="2"/>
  <c r="BH312" i="2"/>
  <c r="BM312" i="2"/>
  <c r="BF312" i="2"/>
  <c r="BG312" i="2"/>
  <c r="BL312" i="2"/>
  <c r="BJ312" i="2"/>
  <c r="BO347" i="2"/>
  <c r="BN347" i="2"/>
  <c r="BQ347" i="2" s="1"/>
  <c r="BT347" i="2" s="1"/>
  <c r="BU347" i="2" s="1"/>
  <c r="BV347" i="2" s="1"/>
  <c r="BW347" i="2" s="1"/>
  <c r="BP347" i="2"/>
  <c r="BM347" i="2"/>
  <c r="BK347" i="2"/>
  <c r="BL347" i="2"/>
  <c r="BG347" i="2"/>
  <c r="BJ347" i="2"/>
  <c r="BE347" i="2"/>
  <c r="BH347" i="2"/>
  <c r="BI347" i="2"/>
  <c r="BF347" i="2"/>
  <c r="BP17" i="2"/>
  <c r="BQ17" i="2" s="1"/>
  <c r="BT17" i="2" s="1"/>
  <c r="BU17" i="2" s="1"/>
  <c r="BV17" i="2" s="1"/>
  <c r="BW17" i="2" s="1"/>
  <c r="BJ17" i="2"/>
  <c r="BL17" i="2"/>
  <c r="BK17" i="2"/>
  <c r="BE17" i="2"/>
  <c r="BG17" i="2"/>
  <c r="BO17" i="2"/>
  <c r="BF17" i="2"/>
  <c r="BI17" i="2"/>
  <c r="BH17" i="2"/>
  <c r="BM17" i="2"/>
  <c r="BN17" i="2"/>
  <c r="BI47" i="2"/>
  <c r="BG47" i="2"/>
  <c r="BF47" i="2"/>
  <c r="BN47" i="2"/>
  <c r="BM47" i="2"/>
  <c r="BH47" i="2"/>
  <c r="BK47" i="2"/>
  <c r="BE47" i="2"/>
  <c r="BL47" i="2"/>
  <c r="BO47" i="2"/>
  <c r="BQ47" i="2" s="1"/>
  <c r="BT47" i="2" s="1"/>
  <c r="BU47" i="2" s="1"/>
  <c r="BV47" i="2" s="1"/>
  <c r="BW47" i="2" s="1"/>
  <c r="BJ47" i="2"/>
  <c r="BP47" i="2"/>
  <c r="BN185" i="2"/>
  <c r="BJ185" i="2"/>
  <c r="BH185" i="2"/>
  <c r="BE185" i="2"/>
  <c r="BM185" i="2"/>
  <c r="BL185" i="2"/>
  <c r="BK185" i="2"/>
  <c r="BO185" i="2"/>
  <c r="BI185" i="2"/>
  <c r="BP185" i="2"/>
  <c r="BQ185" i="2" s="1"/>
  <c r="BT185" i="2" s="1"/>
  <c r="BU185" i="2" s="1"/>
  <c r="BV185" i="2" s="1"/>
  <c r="BW185" i="2" s="1"/>
  <c r="BF185" i="2"/>
  <c r="BG185" i="2"/>
  <c r="BN299" i="2"/>
  <c r="BP299" i="2"/>
  <c r="BL299" i="2"/>
  <c r="BQ299" i="2" s="1"/>
  <c r="BT299" i="2" s="1"/>
  <c r="BU299" i="2" s="1"/>
  <c r="BV299" i="2" s="1"/>
  <c r="BW299" i="2" s="1"/>
  <c r="BF299" i="2"/>
  <c r="BJ299" i="2"/>
  <c r="BM299" i="2"/>
  <c r="BH299" i="2"/>
  <c r="BI299" i="2"/>
  <c r="BG299" i="2"/>
  <c r="BO299" i="2"/>
  <c r="BK299" i="2"/>
  <c r="BE299" i="2"/>
  <c r="BP336" i="2"/>
  <c r="BG336" i="2"/>
  <c r="BJ336" i="2"/>
  <c r="BH336" i="2"/>
  <c r="BK336" i="2"/>
  <c r="BL336" i="2"/>
  <c r="BI336" i="2"/>
  <c r="BF336" i="2"/>
  <c r="BM336" i="2"/>
  <c r="BO336" i="2"/>
  <c r="BQ336" i="2" s="1"/>
  <c r="BT336" i="2" s="1"/>
  <c r="BU336" i="2" s="1"/>
  <c r="BV336" i="2" s="1"/>
  <c r="BW336" i="2" s="1"/>
  <c r="BE336" i="2"/>
  <c r="BN336" i="2"/>
  <c r="BG320" i="2"/>
  <c r="BJ385" i="2"/>
  <c r="BG99" i="2"/>
  <c r="BK190" i="2"/>
  <c r="BK82" i="2"/>
  <c r="BI344" i="2"/>
  <c r="BP344" i="2"/>
  <c r="BJ344" i="2"/>
  <c r="BM344" i="2"/>
  <c r="BK344" i="2"/>
  <c r="BN344" i="2"/>
  <c r="BF344" i="2"/>
  <c r="BL344" i="2"/>
  <c r="BQ344" i="2" s="1"/>
  <c r="BT344" i="2" s="1"/>
  <c r="BU344" i="2" s="1"/>
  <c r="BV344" i="2" s="1"/>
  <c r="BW344" i="2" s="1"/>
  <c r="BO344" i="2"/>
  <c r="BH94" i="2"/>
  <c r="BF121" i="2"/>
  <c r="BQ121" i="2" s="1"/>
  <c r="BT121" i="2" s="1"/>
  <c r="BU121" i="2" s="1"/>
  <c r="BV121" i="2" s="1"/>
  <c r="BW121" i="2" s="1"/>
  <c r="BK284" i="2"/>
  <c r="BO57" i="2"/>
  <c r="BL200" i="2"/>
  <c r="BQ200" i="2" s="1"/>
  <c r="BT200" i="2" s="1"/>
  <c r="BU200" i="2" s="1"/>
  <c r="BV200" i="2" s="1"/>
  <c r="BW200" i="2" s="1"/>
  <c r="BP345" i="2"/>
  <c r="BL117" i="2"/>
  <c r="BI272" i="2"/>
  <c r="BL288" i="2"/>
  <c r="BG385" i="2"/>
  <c r="BG191" i="2"/>
  <c r="BG283" i="2"/>
  <c r="BQ283" i="2" s="1"/>
  <c r="BT283" i="2" s="1"/>
  <c r="BU283" i="2" s="1"/>
  <c r="BV283" i="2" s="1"/>
  <c r="BW283" i="2" s="1"/>
  <c r="BH319" i="2"/>
  <c r="BK319" i="2"/>
  <c r="BE319" i="2"/>
  <c r="BJ319" i="2"/>
  <c r="BI319" i="2"/>
  <c r="BL319" i="2"/>
  <c r="BN319" i="2"/>
  <c r="BM319" i="2"/>
  <c r="BG319" i="2"/>
  <c r="BF319" i="2"/>
  <c r="BG102" i="2"/>
  <c r="BM8" i="2"/>
  <c r="BG67" i="2"/>
  <c r="BL107" i="2"/>
  <c r="BN353" i="2"/>
  <c r="BE110" i="2"/>
  <c r="BE190" i="2"/>
  <c r="BG369" i="2"/>
  <c r="BN83" i="2"/>
  <c r="BL27" i="2"/>
  <c r="BF27" i="2"/>
  <c r="BE27" i="2"/>
  <c r="BP27" i="2"/>
  <c r="BQ27" i="2" s="1"/>
  <c r="BT27" i="2" s="1"/>
  <c r="BU27" i="2" s="1"/>
  <c r="BV27" i="2" s="1"/>
  <c r="BW27" i="2" s="1"/>
  <c r="BH27" i="2"/>
  <c r="BJ27" i="2"/>
  <c r="BI27" i="2"/>
  <c r="BK27" i="2"/>
  <c r="BM27" i="2"/>
  <c r="BO27" i="2"/>
  <c r="BG27" i="2"/>
  <c r="BN27" i="2"/>
  <c r="BO225" i="2"/>
  <c r="BH225" i="2"/>
  <c r="BK225" i="2"/>
  <c r="BI225" i="2"/>
  <c r="BJ225" i="2"/>
  <c r="BF225" i="2"/>
  <c r="BL225" i="2"/>
  <c r="BN225" i="2"/>
  <c r="BM225" i="2"/>
  <c r="BG225" i="2"/>
  <c r="BP225" i="2"/>
  <c r="BQ225" i="2" s="1"/>
  <c r="BT225" i="2" s="1"/>
  <c r="BU225" i="2" s="1"/>
  <c r="BV225" i="2" s="1"/>
  <c r="BW225" i="2" s="1"/>
  <c r="BE225" i="2"/>
  <c r="BJ80" i="2"/>
  <c r="BM80" i="2"/>
  <c r="BK80" i="2"/>
  <c r="BO80" i="2"/>
  <c r="BN80" i="2"/>
  <c r="BH80" i="2"/>
  <c r="BL80" i="2"/>
  <c r="BE80" i="2"/>
  <c r="BG80" i="2"/>
  <c r="BI80" i="2"/>
  <c r="BP80" i="2"/>
  <c r="BF80" i="2"/>
  <c r="BQ80" i="2" s="1"/>
  <c r="BT80" i="2" s="1"/>
  <c r="BU80" i="2" s="1"/>
  <c r="BV80" i="2" s="1"/>
  <c r="BW80" i="2" s="1"/>
  <c r="BG213" i="2"/>
  <c r="BI213" i="2"/>
  <c r="BN213" i="2"/>
  <c r="BE213" i="2"/>
  <c r="BJ213" i="2"/>
  <c r="BF213" i="2"/>
  <c r="BO213" i="2"/>
  <c r="BP213" i="2"/>
  <c r="BK213" i="2"/>
  <c r="BL213" i="2"/>
  <c r="BM213" i="2"/>
  <c r="BH213" i="2"/>
  <c r="BQ213" i="2" s="1"/>
  <c r="BT213" i="2" s="1"/>
  <c r="BU213" i="2" s="1"/>
  <c r="BV213" i="2" s="1"/>
  <c r="BW213" i="2" s="1"/>
  <c r="BM28" i="2"/>
  <c r="BP28" i="2"/>
  <c r="BN28" i="2"/>
  <c r="BL28" i="2"/>
  <c r="BH28" i="2"/>
  <c r="BJ28" i="2"/>
  <c r="BF28" i="2"/>
  <c r="BE28" i="2"/>
  <c r="BO28" i="2"/>
  <c r="BQ28" i="2" s="1"/>
  <c r="BT28" i="2" s="1"/>
  <c r="BU28" i="2" s="1"/>
  <c r="BV28" i="2" s="1"/>
  <c r="BW28" i="2" s="1"/>
  <c r="BK28" i="2"/>
  <c r="BI28" i="2"/>
  <c r="BG28" i="2"/>
  <c r="BG62" i="2"/>
  <c r="BL62" i="2"/>
  <c r="BJ62" i="2"/>
  <c r="BK62" i="2"/>
  <c r="BP62" i="2"/>
  <c r="BE62" i="2"/>
  <c r="BQ62" i="2" s="1"/>
  <c r="BT62" i="2" s="1"/>
  <c r="BU62" i="2" s="1"/>
  <c r="BV62" i="2" s="1"/>
  <c r="BW62" i="2" s="1"/>
  <c r="BO62" i="2"/>
  <c r="BI62" i="2"/>
  <c r="BN62" i="2"/>
  <c r="BH62" i="2"/>
  <c r="BM62" i="2"/>
  <c r="BF62" i="2"/>
  <c r="BN56" i="2"/>
  <c r="BO56" i="2"/>
  <c r="BQ56" i="2" s="1"/>
  <c r="BT56" i="2" s="1"/>
  <c r="BU56" i="2" s="1"/>
  <c r="BV56" i="2" s="1"/>
  <c r="BW56" i="2" s="1"/>
  <c r="BP56" i="2"/>
  <c r="BM56" i="2"/>
  <c r="BK56" i="2"/>
  <c r="BH56" i="2"/>
  <c r="BL56" i="2"/>
  <c r="BF56" i="2"/>
  <c r="BE56" i="2"/>
  <c r="BJ56" i="2"/>
  <c r="BI56" i="2"/>
  <c r="BG56" i="2"/>
  <c r="BM166" i="2"/>
  <c r="BN166" i="2"/>
  <c r="BP166" i="2"/>
  <c r="BH166" i="2"/>
  <c r="BQ166" i="2" s="1"/>
  <c r="BT166" i="2" s="1"/>
  <c r="BU166" i="2" s="1"/>
  <c r="BV166" i="2" s="1"/>
  <c r="BW166" i="2" s="1"/>
  <c r="BK166" i="2"/>
  <c r="BG166" i="2"/>
  <c r="BE166" i="2"/>
  <c r="BI166" i="2"/>
  <c r="BF166" i="2"/>
  <c r="BL166" i="2"/>
  <c r="BO166" i="2"/>
  <c r="BJ166" i="2"/>
  <c r="BN136" i="2"/>
  <c r="BO136" i="2"/>
  <c r="BK136" i="2"/>
  <c r="BI136" i="2"/>
  <c r="BJ136" i="2"/>
  <c r="BL136" i="2"/>
  <c r="BE136" i="2"/>
  <c r="BM136" i="2"/>
  <c r="BP136" i="2"/>
  <c r="BF136" i="2"/>
  <c r="BH136" i="2"/>
  <c r="BQ136" i="2" s="1"/>
  <c r="BT136" i="2" s="1"/>
  <c r="BU136" i="2" s="1"/>
  <c r="BV136" i="2" s="1"/>
  <c r="BW136" i="2" s="1"/>
  <c r="BG136" i="2"/>
  <c r="BN201" i="2"/>
  <c r="BO201" i="2"/>
  <c r="BM201" i="2"/>
  <c r="BH201" i="2"/>
  <c r="BF201" i="2"/>
  <c r="BP201" i="2"/>
  <c r="BL201" i="2"/>
  <c r="BK201" i="2"/>
  <c r="BJ201" i="2"/>
  <c r="BE201" i="2"/>
  <c r="BI201" i="2"/>
  <c r="BG201" i="2"/>
  <c r="BQ201" i="2" s="1"/>
  <c r="BT201" i="2" s="1"/>
  <c r="BU201" i="2" s="1"/>
  <c r="BV201" i="2" s="1"/>
  <c r="BW201" i="2" s="1"/>
  <c r="BP332" i="2"/>
  <c r="BI332" i="2"/>
  <c r="BG332" i="2"/>
  <c r="BL332" i="2"/>
  <c r="BK332" i="2"/>
  <c r="BF332" i="2"/>
  <c r="BN332" i="2"/>
  <c r="BE332" i="2"/>
  <c r="BQ332" i="2" s="1"/>
  <c r="BT332" i="2" s="1"/>
  <c r="BU332" i="2" s="1"/>
  <c r="BV332" i="2" s="1"/>
  <c r="BW332" i="2" s="1"/>
  <c r="BM332" i="2"/>
  <c r="BJ332" i="2"/>
  <c r="BH332" i="2"/>
  <c r="BO332" i="2"/>
  <c r="BP383" i="2"/>
  <c r="BQ383" i="2" s="1"/>
  <c r="BT383" i="2" s="1"/>
  <c r="BU383" i="2" s="1"/>
  <c r="BV383" i="2" s="1"/>
  <c r="BW383" i="2" s="1"/>
  <c r="BI383" i="2"/>
  <c r="BL383" i="2"/>
  <c r="BJ383" i="2"/>
  <c r="BO383" i="2"/>
  <c r="BN383" i="2"/>
  <c r="BE383" i="2"/>
  <c r="BH383" i="2"/>
  <c r="BM383" i="2"/>
  <c r="BK383" i="2"/>
  <c r="BF383" i="2"/>
  <c r="BG383" i="2"/>
  <c r="BN320" i="2"/>
  <c r="BM355" i="2"/>
  <c r="BN355" i="2"/>
  <c r="BI63" i="2"/>
  <c r="BF99" i="2"/>
  <c r="BF183" i="2"/>
  <c r="BK196" i="2"/>
  <c r="BQ196" i="2" s="1"/>
  <c r="BT196" i="2" s="1"/>
  <c r="BU196" i="2" s="1"/>
  <c r="BV196" i="2" s="1"/>
  <c r="BW196" i="2" s="1"/>
  <c r="BN379" i="2"/>
  <c r="BO199" i="2"/>
  <c r="BQ199" i="2" s="1"/>
  <c r="BT199" i="2" s="1"/>
  <c r="BU199" i="2" s="1"/>
  <c r="BV199" i="2" s="1"/>
  <c r="BW199" i="2" s="1"/>
  <c r="BF194" i="2"/>
  <c r="BF236" i="2"/>
  <c r="BP319" i="2"/>
  <c r="BQ319" i="2" s="1"/>
  <c r="BT319" i="2" s="1"/>
  <c r="BU319" i="2" s="1"/>
  <c r="BV319" i="2" s="1"/>
  <c r="BW319" i="2" s="1"/>
  <c r="BF128" i="2"/>
  <c r="BG94" i="2"/>
  <c r="BL69" i="2"/>
  <c r="BQ69" i="2" s="1"/>
  <c r="BT69" i="2" s="1"/>
  <c r="BU69" i="2" s="1"/>
  <c r="BV69" i="2" s="1"/>
  <c r="BW69" i="2" s="1"/>
  <c r="BP101" i="2"/>
  <c r="BE101" i="2"/>
  <c r="BI101" i="2"/>
  <c r="BM101" i="2"/>
  <c r="BF101" i="2"/>
  <c r="BQ101" i="2" s="1"/>
  <c r="BT101" i="2" s="1"/>
  <c r="BU101" i="2" s="1"/>
  <c r="BV101" i="2" s="1"/>
  <c r="BW101" i="2" s="1"/>
  <c r="BJ101" i="2"/>
  <c r="BN101" i="2"/>
  <c r="BG101" i="2"/>
  <c r="BK101" i="2"/>
  <c r="BO101" i="2"/>
  <c r="BH101" i="2"/>
  <c r="BL101" i="2"/>
  <c r="BM179" i="2"/>
  <c r="BQ179" i="2" s="1"/>
  <c r="BT179" i="2" s="1"/>
  <c r="BU179" i="2" s="1"/>
  <c r="BV179" i="2" s="1"/>
  <c r="BW179" i="2" s="1"/>
  <c r="BF284" i="2"/>
  <c r="BH365" i="2"/>
  <c r="BE73" i="2"/>
  <c r="BJ73" i="2"/>
  <c r="BF73" i="2"/>
  <c r="BK73" i="2"/>
  <c r="BN73" i="2"/>
  <c r="BG73" i="2"/>
  <c r="BL73" i="2"/>
  <c r="BH73" i="2"/>
  <c r="BI73" i="2"/>
  <c r="BL122" i="2"/>
  <c r="BJ175" i="2"/>
  <c r="BN313" i="2"/>
  <c r="BL341" i="2"/>
  <c r="BN370" i="2"/>
  <c r="BL98" i="2"/>
  <c r="BM77" i="2"/>
  <c r="BL194" i="2"/>
  <c r="BG345" i="2"/>
  <c r="BO117" i="2"/>
  <c r="BO266" i="2"/>
  <c r="BG344" i="2"/>
  <c r="BL272" i="2"/>
  <c r="BO288" i="2"/>
  <c r="BQ288" i="2" s="1"/>
  <c r="BT288" i="2" s="1"/>
  <c r="BU288" i="2" s="1"/>
  <c r="BV288" i="2" s="1"/>
  <c r="BW288" i="2" s="1"/>
  <c r="BG78" i="2"/>
  <c r="BM106" i="2"/>
  <c r="BJ191" i="2"/>
  <c r="BM360" i="2"/>
  <c r="BJ283" i="2"/>
  <c r="BM97" i="2"/>
  <c r="BK8" i="2"/>
  <c r="BF67" i="2"/>
  <c r="BN74" i="2"/>
  <c r="BK107" i="2"/>
  <c r="BL346" i="2"/>
  <c r="BE353" i="2"/>
  <c r="BG110" i="2"/>
  <c r="BH57" i="2"/>
  <c r="BG175" i="2"/>
  <c r="BE369" i="2"/>
  <c r="BM83" i="2"/>
  <c r="BE25" i="2"/>
  <c r="BQ25" i="2" s="1"/>
  <c r="BT25" i="2" s="1"/>
  <c r="BU25" i="2" s="1"/>
  <c r="BV25" i="2" s="1"/>
  <c r="BW25" i="2" s="1"/>
  <c r="BI25" i="2"/>
  <c r="BG25" i="2"/>
  <c r="BJ25" i="2"/>
  <c r="BM25" i="2"/>
  <c r="BL25" i="2"/>
  <c r="BH25" i="2"/>
  <c r="BK25" i="2"/>
  <c r="BN25" i="2"/>
  <c r="BP25" i="2"/>
  <c r="BO25" i="2"/>
  <c r="BF25" i="2"/>
  <c r="BO103" i="2"/>
  <c r="BL103" i="2"/>
  <c r="BM103" i="2"/>
  <c r="BJ103" i="2"/>
  <c r="BG103" i="2"/>
  <c r="BQ103" i="2" s="1"/>
  <c r="BT103" i="2" s="1"/>
  <c r="BU103" i="2" s="1"/>
  <c r="BV103" i="2" s="1"/>
  <c r="BW103" i="2" s="1"/>
  <c r="BE103" i="2"/>
  <c r="BN103" i="2"/>
  <c r="BK103" i="2"/>
  <c r="BP103" i="2"/>
  <c r="BF103" i="2"/>
  <c r="BH103" i="2"/>
  <c r="BI103" i="2"/>
  <c r="BL276" i="2"/>
  <c r="BO276" i="2"/>
  <c r="BQ276" i="2" s="1"/>
  <c r="BT276" i="2" s="1"/>
  <c r="BU276" i="2" s="1"/>
  <c r="BV276" i="2" s="1"/>
  <c r="BW276" i="2" s="1"/>
  <c r="BP276" i="2"/>
  <c r="BI276" i="2"/>
  <c r="BM276" i="2"/>
  <c r="BJ276" i="2"/>
  <c r="BN276" i="2"/>
  <c r="BG276" i="2"/>
  <c r="BF276" i="2"/>
  <c r="BK276" i="2"/>
  <c r="BE276" i="2"/>
  <c r="BH276" i="2"/>
  <c r="BI366" i="2"/>
  <c r="BL366" i="2"/>
  <c r="BQ366" i="2" s="1"/>
  <c r="BT366" i="2" s="1"/>
  <c r="BU366" i="2" s="1"/>
  <c r="BV366" i="2" s="1"/>
  <c r="BW366" i="2" s="1"/>
  <c r="BJ366" i="2"/>
  <c r="BO366" i="2"/>
  <c r="BM366" i="2"/>
  <c r="BP366" i="2"/>
  <c r="BN366" i="2"/>
  <c r="BE366" i="2"/>
  <c r="BH366" i="2"/>
  <c r="BK366" i="2"/>
  <c r="BG366" i="2"/>
  <c r="BF366" i="2"/>
  <c r="BK70" i="2"/>
  <c r="BP70" i="2"/>
  <c r="BQ70" i="2" s="1"/>
  <c r="BT70" i="2" s="1"/>
  <c r="BU70" i="2" s="1"/>
  <c r="BV70" i="2" s="1"/>
  <c r="BW70" i="2" s="1"/>
  <c r="BE70" i="2"/>
  <c r="BO70" i="2"/>
  <c r="BI70" i="2"/>
  <c r="BN70" i="2"/>
  <c r="BH70" i="2"/>
  <c r="BM70" i="2"/>
  <c r="BF70" i="2"/>
  <c r="BG70" i="2"/>
  <c r="BL70" i="2"/>
  <c r="BJ70" i="2"/>
  <c r="BN72" i="2"/>
  <c r="BO72" i="2"/>
  <c r="BP72" i="2"/>
  <c r="BQ72" i="2" s="1"/>
  <c r="BT72" i="2" s="1"/>
  <c r="BU72" i="2" s="1"/>
  <c r="BV72" i="2" s="1"/>
  <c r="BW72" i="2" s="1"/>
  <c r="BM72" i="2"/>
  <c r="BJ72" i="2"/>
  <c r="BL72" i="2"/>
  <c r="BE72" i="2"/>
  <c r="BK72" i="2"/>
  <c r="BG72" i="2"/>
  <c r="BI72" i="2"/>
  <c r="BH72" i="2"/>
  <c r="BF72" i="2"/>
  <c r="BJ144" i="2"/>
  <c r="BP144" i="2"/>
  <c r="BM144" i="2"/>
  <c r="BN144" i="2"/>
  <c r="BO144" i="2"/>
  <c r="BH144" i="2"/>
  <c r="BK144" i="2"/>
  <c r="BI144" i="2"/>
  <c r="BQ144" i="2" s="1"/>
  <c r="BT144" i="2" s="1"/>
  <c r="BU144" i="2" s="1"/>
  <c r="BV144" i="2" s="1"/>
  <c r="BW144" i="2" s="1"/>
  <c r="BG144" i="2"/>
  <c r="BE144" i="2"/>
  <c r="BL144" i="2"/>
  <c r="BF144" i="2"/>
  <c r="BN325" i="2"/>
  <c r="BP325" i="2"/>
  <c r="BO325" i="2"/>
  <c r="BM325" i="2"/>
  <c r="BG325" i="2"/>
  <c r="BI325" i="2"/>
  <c r="BL325" i="2"/>
  <c r="BF325" i="2"/>
  <c r="BQ325" i="2" s="1"/>
  <c r="BT325" i="2" s="1"/>
  <c r="BU325" i="2" s="1"/>
  <c r="BV325" i="2" s="1"/>
  <c r="BW325" i="2" s="1"/>
  <c r="BH325" i="2"/>
  <c r="BK325" i="2"/>
  <c r="BJ325" i="2"/>
  <c r="BE325" i="2"/>
  <c r="BK170" i="2"/>
  <c r="BP170" i="2"/>
  <c r="BL170" i="2"/>
  <c r="BJ170" i="2"/>
  <c r="BE170" i="2"/>
  <c r="BM170" i="2"/>
  <c r="BF170" i="2"/>
  <c r="BN170" i="2"/>
  <c r="BG170" i="2"/>
  <c r="BI170" i="2"/>
  <c r="BO170" i="2"/>
  <c r="BQ170" i="2" s="1"/>
  <c r="BT170" i="2" s="1"/>
  <c r="BU170" i="2" s="1"/>
  <c r="BV170" i="2" s="1"/>
  <c r="BW170" i="2" s="1"/>
  <c r="BH170" i="2"/>
  <c r="BN156" i="2"/>
  <c r="BI156" i="2"/>
  <c r="BL156" i="2"/>
  <c r="BH156" i="2"/>
  <c r="BF156" i="2"/>
  <c r="BK156" i="2"/>
  <c r="BE156" i="2"/>
  <c r="BQ156" i="2" s="1"/>
  <c r="BT156" i="2" s="1"/>
  <c r="BU156" i="2" s="1"/>
  <c r="BV156" i="2" s="1"/>
  <c r="BW156" i="2" s="1"/>
  <c r="BP156" i="2"/>
  <c r="BJ156" i="2"/>
  <c r="BO156" i="2"/>
  <c r="BG156" i="2"/>
  <c r="BM156" i="2"/>
  <c r="BP90" i="2"/>
  <c r="BM359" i="2"/>
  <c r="BF186" i="2"/>
  <c r="BQ186" i="2" s="1"/>
  <c r="BT186" i="2" s="1"/>
  <c r="BU186" i="2" s="1"/>
  <c r="BV186" i="2" s="1"/>
  <c r="BW186" i="2" s="1"/>
  <c r="BL186" i="2"/>
  <c r="BG186" i="2"/>
  <c r="BI186" i="2"/>
  <c r="BN186" i="2"/>
  <c r="BH186" i="2"/>
  <c r="BJ186" i="2"/>
  <c r="BE186" i="2"/>
  <c r="BK186" i="2"/>
  <c r="BH282" i="2"/>
  <c r="BK282" i="2"/>
  <c r="BN282" i="2"/>
  <c r="BE282" i="2"/>
  <c r="BL282" i="2"/>
  <c r="BF282" i="2"/>
  <c r="BI282" i="2"/>
  <c r="BG282" i="2"/>
  <c r="BJ282" i="2"/>
  <c r="BH132" i="2"/>
  <c r="BJ132" i="2"/>
  <c r="BE132" i="2"/>
  <c r="BK132" i="2"/>
  <c r="BF132" i="2"/>
  <c r="BL132" i="2"/>
  <c r="BQ132" i="2" s="1"/>
  <c r="BT132" i="2" s="1"/>
  <c r="BU132" i="2" s="1"/>
  <c r="BV132" i="2" s="1"/>
  <c r="BW132" i="2" s="1"/>
  <c r="BN132" i="2"/>
  <c r="BG132" i="2"/>
  <c r="BI132" i="2"/>
  <c r="BM132" i="2"/>
  <c r="BP132" i="2"/>
  <c r="BO132" i="2"/>
  <c r="BE243" i="2"/>
  <c r="BI243" i="2"/>
  <c r="BG243" i="2"/>
  <c r="BF243" i="2"/>
  <c r="BJ243" i="2"/>
  <c r="BQ243" i="2" s="1"/>
  <c r="BT243" i="2" s="1"/>
  <c r="BU243" i="2" s="1"/>
  <c r="BV243" i="2" s="1"/>
  <c r="BW243" i="2" s="1"/>
  <c r="BK243" i="2"/>
  <c r="BO243" i="2"/>
  <c r="BH243" i="2"/>
  <c r="BL243" i="2"/>
  <c r="BP243" i="2"/>
  <c r="BN243" i="2"/>
  <c r="BM243" i="2"/>
  <c r="BF265" i="2"/>
  <c r="BJ265" i="2"/>
  <c r="BG265" i="2"/>
  <c r="BK265" i="2"/>
  <c r="BO265" i="2"/>
  <c r="BQ265" i="2" s="1"/>
  <c r="BT265" i="2" s="1"/>
  <c r="BU265" i="2" s="1"/>
  <c r="BV265" i="2" s="1"/>
  <c r="BW265" i="2" s="1"/>
  <c r="BH265" i="2"/>
  <c r="BL265" i="2"/>
  <c r="BE265" i="2"/>
  <c r="BI265" i="2"/>
  <c r="BM265" i="2"/>
  <c r="BP265" i="2"/>
  <c r="BN265" i="2"/>
  <c r="BI54" i="2"/>
  <c r="BP54" i="2"/>
  <c r="BM54" i="2"/>
  <c r="BN54" i="2"/>
  <c r="BJ54" i="2"/>
  <c r="BO54" i="2"/>
  <c r="BQ54" i="2" s="1"/>
  <c r="BT54" i="2" s="1"/>
  <c r="BU54" i="2" s="1"/>
  <c r="BV54" i="2" s="1"/>
  <c r="BW54" i="2" s="1"/>
  <c r="BG54" i="2"/>
  <c r="BK54" i="2"/>
  <c r="BE54" i="2"/>
  <c r="BL54" i="2"/>
  <c r="BH54" i="2"/>
  <c r="BF54" i="2"/>
  <c r="BO75" i="2"/>
  <c r="BH75" i="2"/>
  <c r="BF75" i="2"/>
  <c r="BG75" i="2"/>
  <c r="BL75" i="2"/>
  <c r="BI75" i="2"/>
  <c r="BK75" i="2"/>
  <c r="BM75" i="2"/>
  <c r="BJ75" i="2"/>
  <c r="BP75" i="2"/>
  <c r="BQ75" i="2" s="1"/>
  <c r="BT75" i="2" s="1"/>
  <c r="BU75" i="2" s="1"/>
  <c r="BV75" i="2" s="1"/>
  <c r="BW75" i="2" s="1"/>
  <c r="BE75" i="2"/>
  <c r="BN75" i="2"/>
  <c r="BG91" i="2"/>
  <c r="BL91" i="2"/>
  <c r="BI91" i="2"/>
  <c r="BK91" i="2"/>
  <c r="BM91" i="2"/>
  <c r="BJ91" i="2"/>
  <c r="BP91" i="2"/>
  <c r="BQ91" i="2" s="1"/>
  <c r="BT91" i="2" s="1"/>
  <c r="BU91" i="2" s="1"/>
  <c r="BV91" i="2" s="1"/>
  <c r="BW91" i="2" s="1"/>
  <c r="BE91" i="2"/>
  <c r="BN91" i="2"/>
  <c r="BO91" i="2"/>
  <c r="BH91" i="2"/>
  <c r="BF91" i="2"/>
  <c r="BJ135" i="2"/>
  <c r="BH135" i="2"/>
  <c r="BO135" i="2"/>
  <c r="BP135" i="2"/>
  <c r="BE135" i="2"/>
  <c r="BL135" i="2"/>
  <c r="BM135" i="2"/>
  <c r="BQ135" i="2" s="1"/>
  <c r="BT135" i="2" s="1"/>
  <c r="BU135" i="2" s="1"/>
  <c r="BV135" i="2" s="1"/>
  <c r="BW135" i="2" s="1"/>
  <c r="BF135" i="2"/>
  <c r="BG135" i="2"/>
  <c r="BI135" i="2"/>
  <c r="BN135" i="2"/>
  <c r="BK135" i="2"/>
  <c r="BM241" i="2"/>
  <c r="BN241" i="2"/>
  <c r="BO241" i="2"/>
  <c r="BK241" i="2"/>
  <c r="BI241" i="2"/>
  <c r="BG241" i="2"/>
  <c r="BJ241" i="2"/>
  <c r="BL241" i="2"/>
  <c r="BQ241" i="2" s="1"/>
  <c r="BT241" i="2" s="1"/>
  <c r="BU241" i="2" s="1"/>
  <c r="BV241" i="2" s="1"/>
  <c r="BW241" i="2" s="1"/>
  <c r="BE241" i="2"/>
  <c r="BF241" i="2"/>
  <c r="BH241" i="2"/>
  <c r="BP241" i="2"/>
  <c r="BP251" i="2"/>
  <c r="BM251" i="2"/>
  <c r="BO251" i="2"/>
  <c r="BN251" i="2"/>
  <c r="BI251" i="2"/>
  <c r="BG251" i="2"/>
  <c r="BQ251" i="2" s="1"/>
  <c r="BT251" i="2" s="1"/>
  <c r="BU251" i="2" s="1"/>
  <c r="BV251" i="2" s="1"/>
  <c r="BW251" i="2" s="1"/>
  <c r="BE251" i="2"/>
  <c r="BH251" i="2"/>
  <c r="BK251" i="2"/>
  <c r="BL251" i="2"/>
  <c r="BJ251" i="2"/>
  <c r="BF251" i="2"/>
  <c r="BM329" i="2"/>
  <c r="BN329" i="2"/>
  <c r="BO329" i="2"/>
  <c r="BP329" i="2"/>
  <c r="BG329" i="2"/>
  <c r="BQ329" i="2" s="1"/>
  <c r="BT329" i="2" s="1"/>
  <c r="BU329" i="2" s="1"/>
  <c r="BV329" i="2" s="1"/>
  <c r="BW329" i="2" s="1"/>
  <c r="BL329" i="2"/>
  <c r="BK329" i="2"/>
  <c r="BF329" i="2"/>
  <c r="BE329" i="2"/>
  <c r="BI329" i="2"/>
  <c r="BH329" i="2"/>
  <c r="BJ329" i="2"/>
  <c r="BH373" i="2"/>
  <c r="BL373" i="2"/>
  <c r="BM373" i="2"/>
  <c r="BI373" i="2"/>
  <c r="BE373" i="2"/>
  <c r="BP373" i="2"/>
  <c r="BQ373" i="2" s="1"/>
  <c r="BT373" i="2" s="1"/>
  <c r="BU373" i="2" s="1"/>
  <c r="BV373" i="2" s="1"/>
  <c r="BW373" i="2" s="1"/>
  <c r="BG373" i="2"/>
  <c r="BK373" i="2"/>
  <c r="BN373" i="2"/>
  <c r="BJ373" i="2"/>
  <c r="BF373" i="2"/>
  <c r="BO373" i="2"/>
  <c r="BG48" i="2"/>
  <c r="BP48" i="2"/>
  <c r="BQ48" i="2" s="1"/>
  <c r="BT48" i="2" s="1"/>
  <c r="BU48" i="2" s="1"/>
  <c r="BV48" i="2" s="1"/>
  <c r="BW48" i="2" s="1"/>
  <c r="BJ48" i="2"/>
  <c r="BL48" i="2"/>
  <c r="BN48" i="2"/>
  <c r="BM48" i="2"/>
  <c r="BK48" i="2"/>
  <c r="BF48" i="2"/>
  <c r="BH48" i="2"/>
  <c r="BE48" i="2"/>
  <c r="BO48" i="2"/>
  <c r="BI48" i="2"/>
  <c r="BN127" i="2"/>
  <c r="BI127" i="2"/>
  <c r="BO127" i="2"/>
  <c r="BK127" i="2"/>
  <c r="BE127" i="2"/>
  <c r="BG127" i="2"/>
  <c r="BF127" i="2"/>
  <c r="BM127" i="2"/>
  <c r="BH127" i="2"/>
  <c r="BP127" i="2"/>
  <c r="BQ127" i="2" s="1"/>
  <c r="BT127" i="2" s="1"/>
  <c r="BU127" i="2" s="1"/>
  <c r="BV127" i="2" s="1"/>
  <c r="BW127" i="2" s="1"/>
  <c r="BJ127" i="2"/>
  <c r="BL127" i="2"/>
  <c r="BP169" i="2"/>
  <c r="BN169" i="2"/>
  <c r="BO169" i="2"/>
  <c r="BQ169" i="2" s="1"/>
  <c r="BT169" i="2" s="1"/>
  <c r="BU169" i="2" s="1"/>
  <c r="BV169" i="2" s="1"/>
  <c r="BW169" i="2" s="1"/>
  <c r="BH169" i="2"/>
  <c r="BM169" i="2"/>
  <c r="BF169" i="2"/>
  <c r="BI169" i="2"/>
  <c r="BE169" i="2"/>
  <c r="BL169" i="2"/>
  <c r="BG169" i="2"/>
  <c r="BK169" i="2"/>
  <c r="BJ169" i="2"/>
  <c r="BI223" i="2"/>
  <c r="BN223" i="2"/>
  <c r="BM223" i="2"/>
  <c r="BG223" i="2"/>
  <c r="BQ223" i="2" s="1"/>
  <c r="BT223" i="2" s="1"/>
  <c r="BU223" i="2" s="1"/>
  <c r="BV223" i="2" s="1"/>
  <c r="BW223" i="2" s="1"/>
  <c r="BF223" i="2"/>
  <c r="BH223" i="2"/>
  <c r="BK223" i="2"/>
  <c r="BE223" i="2"/>
  <c r="BL223" i="2"/>
  <c r="BP223" i="2"/>
  <c r="BJ223" i="2"/>
  <c r="BO223" i="2"/>
  <c r="BP246" i="2"/>
  <c r="BQ246" i="2" s="1"/>
  <c r="BT246" i="2" s="1"/>
  <c r="BU246" i="2" s="1"/>
  <c r="BV246" i="2" s="1"/>
  <c r="BW246" i="2" s="1"/>
  <c r="BF246" i="2"/>
  <c r="BM246" i="2"/>
  <c r="BG246" i="2"/>
  <c r="BK246" i="2"/>
  <c r="BN246" i="2"/>
  <c r="BH246" i="2"/>
  <c r="BL246" i="2"/>
  <c r="BE246" i="2"/>
  <c r="BI246" i="2"/>
  <c r="BO246" i="2"/>
  <c r="BJ246" i="2"/>
  <c r="BH296" i="2"/>
  <c r="BF296" i="2"/>
  <c r="BE296" i="2"/>
  <c r="BK296" i="2"/>
  <c r="BN296" i="2"/>
  <c r="BL296" i="2"/>
  <c r="BM296" i="2"/>
  <c r="BG296" i="2"/>
  <c r="BI296" i="2"/>
  <c r="BP296" i="2"/>
  <c r="BQ296" i="2" s="1"/>
  <c r="BT296" i="2" s="1"/>
  <c r="BU296" i="2" s="1"/>
  <c r="BV296" i="2" s="1"/>
  <c r="BW296" i="2" s="1"/>
  <c r="BJ296" i="2"/>
  <c r="BO296" i="2"/>
  <c r="BN294" i="2"/>
  <c r="BK294" i="2"/>
  <c r="BL294" i="2"/>
  <c r="BG294" i="2"/>
  <c r="BJ294" i="2"/>
  <c r="BH294" i="2"/>
  <c r="BQ294" i="2" s="1"/>
  <c r="BT294" i="2" s="1"/>
  <c r="BU294" i="2" s="1"/>
  <c r="BV294" i="2" s="1"/>
  <c r="BW294" i="2" s="1"/>
  <c r="BP294" i="2"/>
  <c r="BO294" i="2"/>
  <c r="BE294" i="2"/>
  <c r="BI294" i="2"/>
  <c r="BM294" i="2"/>
  <c r="BF294" i="2"/>
  <c r="BH320" i="2"/>
  <c r="BI385" i="2"/>
  <c r="BH99" i="2"/>
  <c r="BJ190" i="2"/>
  <c r="BH194" i="2"/>
  <c r="BO337" i="2"/>
  <c r="BQ337" i="2" s="1"/>
  <c r="BT337" i="2" s="1"/>
  <c r="BU337" i="2" s="1"/>
  <c r="BV337" i="2" s="1"/>
  <c r="BW337" i="2" s="1"/>
  <c r="BP82" i="2"/>
  <c r="BH128" i="2"/>
  <c r="BJ351" i="2"/>
  <c r="BM351" i="2"/>
  <c r="BK351" i="2"/>
  <c r="BO351" i="2"/>
  <c r="BQ351" i="2" s="1"/>
  <c r="BT351" i="2" s="1"/>
  <c r="BU351" i="2" s="1"/>
  <c r="BV351" i="2" s="1"/>
  <c r="BW351" i="2" s="1"/>
  <c r="BN351" i="2"/>
  <c r="BP351" i="2"/>
  <c r="BE351" i="2"/>
  <c r="BI351" i="2"/>
  <c r="BN85" i="2"/>
  <c r="BH284" i="2"/>
  <c r="BM200" i="2"/>
  <c r="BP190" i="2"/>
  <c r="BJ274" i="2"/>
  <c r="BE345" i="2"/>
  <c r="BK97" i="2"/>
  <c r="BH182" i="2"/>
  <c r="BN272" i="2"/>
  <c r="BP288" i="2"/>
  <c r="BM78" i="2"/>
  <c r="BH102" i="2"/>
  <c r="BI107" i="2"/>
  <c r="BJ353" i="2"/>
  <c r="BL369" i="2"/>
  <c r="BJ363" i="2"/>
  <c r="BH363" i="2"/>
  <c r="BL363" i="2"/>
  <c r="BO363" i="2"/>
  <c r="BQ363" i="2" s="1"/>
  <c r="BT363" i="2" s="1"/>
  <c r="BU363" i="2" s="1"/>
  <c r="BV363" i="2" s="1"/>
  <c r="BW363" i="2" s="1"/>
  <c r="BE363" i="2"/>
  <c r="BI363" i="2"/>
  <c r="BK363" i="2"/>
  <c r="BP363" i="2"/>
  <c r="BF363" i="2"/>
  <c r="BM363" i="2"/>
  <c r="BN363" i="2"/>
  <c r="BG363" i="2"/>
  <c r="BO335" i="2"/>
  <c r="BQ335" i="2" s="1"/>
  <c r="BT335" i="2" s="1"/>
  <c r="BU335" i="2" s="1"/>
  <c r="BV335" i="2" s="1"/>
  <c r="BW335" i="2" s="1"/>
  <c r="BP335" i="2"/>
  <c r="BG335" i="2"/>
  <c r="BM335" i="2"/>
  <c r="BL335" i="2"/>
  <c r="BJ335" i="2"/>
  <c r="BF335" i="2"/>
  <c r="BI335" i="2"/>
  <c r="BE335" i="2"/>
  <c r="BN335" i="2"/>
  <c r="BH335" i="2"/>
  <c r="BK335" i="2"/>
  <c r="BK227" i="2"/>
  <c r="BF227" i="2"/>
  <c r="BP227" i="2"/>
  <c r="BI227" i="2"/>
  <c r="BM227" i="2"/>
  <c r="BL227" i="2"/>
  <c r="BJ227" i="2"/>
  <c r="BN227" i="2"/>
  <c r="BG227" i="2"/>
  <c r="BO227" i="2"/>
  <c r="BQ227" i="2" s="1"/>
  <c r="BT227" i="2" s="1"/>
  <c r="BU227" i="2" s="1"/>
  <c r="BV227" i="2" s="1"/>
  <c r="BW227" i="2" s="1"/>
  <c r="BE227" i="2"/>
  <c r="BH227" i="2"/>
  <c r="BF216" i="2"/>
  <c r="BO216" i="2"/>
  <c r="BQ216" i="2" s="1"/>
  <c r="BT216" i="2" s="1"/>
  <c r="BU216" i="2" s="1"/>
  <c r="BV216" i="2" s="1"/>
  <c r="BW216" i="2" s="1"/>
  <c r="BN216" i="2"/>
  <c r="BK216" i="2"/>
  <c r="BP216" i="2"/>
  <c r="BG216" i="2"/>
  <c r="BL216" i="2"/>
  <c r="BI216" i="2"/>
  <c r="BH216" i="2"/>
  <c r="BE216" i="2"/>
  <c r="BJ216" i="2"/>
  <c r="BM216" i="2"/>
  <c r="BK171" i="2"/>
  <c r="BN171" i="2"/>
  <c r="BI171" i="2"/>
  <c r="BM171" i="2"/>
  <c r="BF171" i="2"/>
  <c r="BL171" i="2"/>
  <c r="BP171" i="2"/>
  <c r="BH171" i="2"/>
  <c r="BO171" i="2"/>
  <c r="BQ171" i="2" s="1"/>
  <c r="BT171" i="2" s="1"/>
  <c r="BU171" i="2" s="1"/>
  <c r="BV171" i="2" s="1"/>
  <c r="BW171" i="2" s="1"/>
  <c r="BE171" i="2"/>
  <c r="BJ171" i="2"/>
  <c r="BG171" i="2"/>
  <c r="BJ219" i="2"/>
  <c r="BO219" i="2"/>
  <c r="BI219" i="2"/>
  <c r="BP219" i="2"/>
  <c r="BQ219" i="2" s="1"/>
  <c r="BT219" i="2" s="1"/>
  <c r="BU219" i="2" s="1"/>
  <c r="BV219" i="2" s="1"/>
  <c r="BW219" i="2" s="1"/>
  <c r="BM219" i="2"/>
  <c r="BN219" i="2"/>
  <c r="BF219" i="2"/>
  <c r="BG219" i="2"/>
  <c r="BL219" i="2"/>
  <c r="BE219" i="2"/>
  <c r="BH219" i="2"/>
  <c r="BK219" i="2"/>
  <c r="BO197" i="2"/>
  <c r="BN197" i="2"/>
  <c r="BF197" i="2"/>
  <c r="BL197" i="2"/>
  <c r="BK197" i="2"/>
  <c r="BQ197" i="2" s="1"/>
  <c r="BT197" i="2" s="1"/>
  <c r="BU197" i="2" s="1"/>
  <c r="BV197" i="2" s="1"/>
  <c r="BW197" i="2" s="1"/>
  <c r="BI197" i="2"/>
  <c r="BP197" i="2"/>
  <c r="BH197" i="2"/>
  <c r="BG197" i="2"/>
  <c r="BJ197" i="2"/>
  <c r="BM197" i="2"/>
  <c r="BE197" i="2"/>
  <c r="BM249" i="2"/>
  <c r="BI249" i="2"/>
  <c r="BJ249" i="2"/>
  <c r="BO249" i="2"/>
  <c r="BN249" i="2"/>
  <c r="BP249" i="2"/>
  <c r="BK249" i="2"/>
  <c r="BH249" i="2"/>
  <c r="BF249" i="2"/>
  <c r="BG249" i="2"/>
  <c r="BL249" i="2"/>
  <c r="BE249" i="2"/>
  <c r="BQ249" i="2" s="1"/>
  <c r="BT249" i="2" s="1"/>
  <c r="BU249" i="2" s="1"/>
  <c r="BV249" i="2" s="1"/>
  <c r="BW249" i="2" s="1"/>
  <c r="BN108" i="2"/>
  <c r="BO108" i="2"/>
  <c r="BP108" i="2"/>
  <c r="BM108" i="2"/>
  <c r="BJ108" i="2"/>
  <c r="BI108" i="2"/>
  <c r="BK108" i="2"/>
  <c r="BE108" i="2"/>
  <c r="BF108" i="2"/>
  <c r="BG108" i="2"/>
  <c r="BQ108" i="2" s="1"/>
  <c r="BT108" i="2" s="1"/>
  <c r="BU108" i="2" s="1"/>
  <c r="BV108" i="2" s="1"/>
  <c r="BW108" i="2" s="1"/>
  <c r="BL108" i="2"/>
  <c r="BH108" i="2"/>
  <c r="BP162" i="2"/>
  <c r="BM162" i="2"/>
  <c r="BN162" i="2"/>
  <c r="BL162" i="2"/>
  <c r="BH162" i="2"/>
  <c r="BJ162" i="2"/>
  <c r="BF162" i="2"/>
  <c r="BQ162" i="2" s="1"/>
  <c r="BT162" i="2" s="1"/>
  <c r="BU162" i="2" s="1"/>
  <c r="BV162" i="2" s="1"/>
  <c r="BW162" i="2" s="1"/>
  <c r="BO162" i="2"/>
  <c r="BG162" i="2"/>
  <c r="BI162" i="2"/>
  <c r="BE162" i="2"/>
  <c r="BK162" i="2"/>
  <c r="BM204" i="2"/>
  <c r="BP204" i="2"/>
  <c r="BN204" i="2"/>
  <c r="BQ204" i="2" s="1"/>
  <c r="BT204" i="2" s="1"/>
  <c r="BU204" i="2" s="1"/>
  <c r="BV204" i="2" s="1"/>
  <c r="BW204" i="2" s="1"/>
  <c r="BK204" i="2"/>
  <c r="BF204" i="2"/>
  <c r="BL204" i="2"/>
  <c r="BI204" i="2"/>
  <c r="BG204" i="2"/>
  <c r="BE204" i="2"/>
  <c r="BH204" i="2"/>
  <c r="BO204" i="2"/>
  <c r="BJ204" i="2"/>
  <c r="BN237" i="2"/>
  <c r="BO237" i="2"/>
  <c r="BL237" i="2"/>
  <c r="BQ237" i="2" s="1"/>
  <c r="BT237" i="2" s="1"/>
  <c r="BU237" i="2" s="1"/>
  <c r="BV237" i="2" s="1"/>
  <c r="BW237" i="2" s="1"/>
  <c r="BE237" i="2"/>
  <c r="BF237" i="2"/>
  <c r="BP237" i="2"/>
  <c r="BI237" i="2"/>
  <c r="BJ237" i="2"/>
  <c r="BG237" i="2"/>
  <c r="BM237" i="2"/>
  <c r="BK237" i="2"/>
  <c r="BH237" i="2"/>
  <c r="BN231" i="2"/>
  <c r="BP231" i="2"/>
  <c r="BQ231" i="2" s="1"/>
  <c r="BT231" i="2" s="1"/>
  <c r="BU231" i="2" s="1"/>
  <c r="BV231" i="2" s="1"/>
  <c r="BW231" i="2" s="1"/>
  <c r="BO231" i="2"/>
  <c r="BM231" i="2"/>
  <c r="BG231" i="2"/>
  <c r="BI231" i="2"/>
  <c r="BH231" i="2"/>
  <c r="BL231" i="2"/>
  <c r="BF231" i="2"/>
  <c r="BK231" i="2"/>
  <c r="BJ231" i="2"/>
  <c r="BE231" i="2"/>
  <c r="BJ372" i="2"/>
  <c r="BH372" i="2"/>
  <c r="BE372" i="2"/>
  <c r="BL372" i="2"/>
  <c r="BM372" i="2"/>
  <c r="BI372" i="2"/>
  <c r="BN372" i="2"/>
  <c r="BF372" i="2"/>
  <c r="BP372" i="2"/>
  <c r="BK372" i="2"/>
  <c r="BQ372" i="2" s="1"/>
  <c r="BT372" i="2" s="1"/>
  <c r="BU372" i="2" s="1"/>
  <c r="BV372" i="2" s="1"/>
  <c r="BW372" i="2" s="1"/>
  <c r="BG372" i="2"/>
  <c r="BO372" i="2"/>
  <c r="BN221" i="2"/>
  <c r="BJ221" i="2"/>
  <c r="BL221" i="2"/>
  <c r="BP221" i="2"/>
  <c r="BQ221" i="2" s="1"/>
  <c r="BT221" i="2" s="1"/>
  <c r="BU221" i="2" s="1"/>
  <c r="BV221" i="2" s="1"/>
  <c r="BW221" i="2" s="1"/>
  <c r="BM221" i="2"/>
  <c r="BH221" i="2"/>
  <c r="BG221" i="2"/>
  <c r="BK221" i="2"/>
  <c r="BE221" i="2"/>
  <c r="BO221" i="2"/>
  <c r="BI221" i="2"/>
  <c r="BF221" i="2"/>
  <c r="BN256" i="2"/>
  <c r="BM256" i="2"/>
  <c r="BI256" i="2"/>
  <c r="BO256" i="2"/>
  <c r="BF256" i="2"/>
  <c r="BP256" i="2"/>
  <c r="BE256" i="2"/>
  <c r="BK256" i="2"/>
  <c r="BL256" i="2"/>
  <c r="BJ256" i="2"/>
  <c r="BH256" i="2"/>
  <c r="BG256" i="2"/>
  <c r="BQ256" i="2" s="1"/>
  <c r="BT256" i="2" s="1"/>
  <c r="BU256" i="2" s="1"/>
  <c r="BV256" i="2" s="1"/>
  <c r="BW256" i="2" s="1"/>
  <c r="BP318" i="2"/>
  <c r="BI318" i="2"/>
  <c r="BF318" i="2"/>
  <c r="BM318" i="2"/>
  <c r="BK318" i="2"/>
  <c r="BE318" i="2"/>
  <c r="BQ318" i="2" s="1"/>
  <c r="BT318" i="2" s="1"/>
  <c r="BU318" i="2" s="1"/>
  <c r="BV318" i="2" s="1"/>
  <c r="BW318" i="2" s="1"/>
  <c r="BL318" i="2"/>
  <c r="BJ318" i="2"/>
  <c r="BO318" i="2"/>
  <c r="BN318" i="2"/>
  <c r="BH318" i="2"/>
  <c r="BG318" i="2"/>
  <c r="BF69" i="2"/>
  <c r="BJ202" i="2"/>
  <c r="BP202" i="2"/>
  <c r="BQ202" i="2" s="1"/>
  <c r="BT202" i="2" s="1"/>
  <c r="BU202" i="2" s="1"/>
  <c r="BV202" i="2" s="1"/>
  <c r="BW202" i="2" s="1"/>
  <c r="BF202" i="2"/>
  <c r="BK202" i="2"/>
  <c r="BM202" i="2"/>
  <c r="BL202" i="2"/>
  <c r="BN202" i="2"/>
  <c r="BI202" i="2"/>
  <c r="BO202" i="2"/>
  <c r="BO99" i="2"/>
  <c r="BG183" i="2"/>
  <c r="BQ183" i="2" s="1"/>
  <c r="BT183" i="2" s="1"/>
  <c r="BU183" i="2" s="1"/>
  <c r="BV183" i="2" s="1"/>
  <c r="BW183" i="2" s="1"/>
  <c r="BH196" i="2"/>
  <c r="BO206" i="2"/>
  <c r="BQ206" i="2" s="1"/>
  <c r="BT206" i="2" s="1"/>
  <c r="BU206" i="2" s="1"/>
  <c r="BV206" i="2" s="1"/>
  <c r="BW206" i="2" s="1"/>
  <c r="BF322" i="2"/>
  <c r="BL322" i="2"/>
  <c r="BO322" i="2"/>
  <c r="BQ322" i="2" s="1"/>
  <c r="BT322" i="2" s="1"/>
  <c r="BU322" i="2" s="1"/>
  <c r="BV322" i="2" s="1"/>
  <c r="BW322" i="2" s="1"/>
  <c r="BI322" i="2"/>
  <c r="BP322" i="2"/>
  <c r="BJ322" i="2"/>
  <c r="BM322" i="2"/>
  <c r="BK322" i="2"/>
  <c r="BN322" i="2"/>
  <c r="BG82" i="2"/>
  <c r="BE97" i="2"/>
  <c r="BO282" i="2"/>
  <c r="BG351" i="2"/>
  <c r="BM66" i="2"/>
  <c r="BO85" i="2"/>
  <c r="BQ85" i="2" s="1"/>
  <c r="BT85" i="2" s="1"/>
  <c r="BU85" i="2" s="1"/>
  <c r="BV85" i="2" s="1"/>
  <c r="BW85" i="2" s="1"/>
  <c r="BN179" i="2"/>
  <c r="BG284" i="2"/>
  <c r="BQ284" i="2" s="1"/>
  <c r="BT284" i="2" s="1"/>
  <c r="BU284" i="2" s="1"/>
  <c r="BV284" i="2" s="1"/>
  <c r="BW284" i="2" s="1"/>
  <c r="BN303" i="2"/>
  <c r="BH303" i="2"/>
  <c r="BI303" i="2"/>
  <c r="BE303" i="2"/>
  <c r="BJ303" i="2"/>
  <c r="BF303" i="2"/>
  <c r="BK303" i="2"/>
  <c r="BG303" i="2"/>
  <c r="BL303" i="2"/>
  <c r="BE89" i="2"/>
  <c r="BM190" i="2"/>
  <c r="BG352" i="2"/>
  <c r="BH368" i="2"/>
  <c r="BI368" i="2"/>
  <c r="BE368" i="2"/>
  <c r="BJ368" i="2"/>
  <c r="BF368" i="2"/>
  <c r="BK368" i="2"/>
  <c r="BN368" i="2"/>
  <c r="BG368" i="2"/>
  <c r="BL368" i="2"/>
  <c r="BH93" i="2"/>
  <c r="BL93" i="2"/>
  <c r="BE93" i="2"/>
  <c r="BI93" i="2"/>
  <c r="BN93" i="2"/>
  <c r="BF93" i="2"/>
  <c r="BJ93" i="2"/>
  <c r="BG93" i="2"/>
  <c r="BK93" i="2"/>
  <c r="BE322" i="2"/>
  <c r="BG340" i="2"/>
  <c r="BH117" i="2"/>
  <c r="BL128" i="2"/>
  <c r="BH351" i="2"/>
  <c r="BE272" i="2"/>
  <c r="BP309" i="2"/>
  <c r="BQ309" i="2" s="1"/>
  <c r="BT309" i="2" s="1"/>
  <c r="BU309" i="2" s="1"/>
  <c r="BV309" i="2" s="1"/>
  <c r="BW309" i="2" s="1"/>
  <c r="BH78" i="2"/>
  <c r="BQ78" i="2" s="1"/>
  <c r="BT78" i="2" s="1"/>
  <c r="BU78" i="2" s="1"/>
  <c r="BV78" i="2" s="1"/>
  <c r="BW78" i="2" s="1"/>
  <c r="BO191" i="2"/>
  <c r="BO283" i="2"/>
  <c r="BP97" i="2"/>
  <c r="BQ97" i="2" s="1"/>
  <c r="BT97" i="2" s="1"/>
  <c r="BU97" i="2" s="1"/>
  <c r="BV97" i="2" s="1"/>
  <c r="BW97" i="2" s="1"/>
  <c r="BP8" i="2"/>
  <c r="BH107" i="2"/>
  <c r="BG353" i="2"/>
  <c r="BM110" i="2"/>
  <c r="BO369" i="2"/>
  <c r="BJ83" i="2"/>
  <c r="BO52" i="2"/>
  <c r="BH52" i="2"/>
  <c r="BL52" i="2"/>
  <c r="BE52" i="2"/>
  <c r="BI52" i="2"/>
  <c r="BK52" i="2"/>
  <c r="BJ52" i="2"/>
  <c r="BN52" i="2"/>
  <c r="BP52" i="2"/>
  <c r="BM52" i="2"/>
  <c r="BQ52" i="2" s="1"/>
  <c r="BT52" i="2" s="1"/>
  <c r="BU52" i="2" s="1"/>
  <c r="BV52" i="2" s="1"/>
  <c r="BW52" i="2" s="1"/>
  <c r="BG52" i="2"/>
  <c r="BF52" i="2"/>
  <c r="BK37" i="2"/>
  <c r="BI37" i="2"/>
  <c r="BH37" i="2"/>
  <c r="BJ37" i="2"/>
  <c r="BE37" i="2"/>
  <c r="BO37" i="2"/>
  <c r="BQ37" i="2" s="1"/>
  <c r="BT37" i="2" s="1"/>
  <c r="BU37" i="2" s="1"/>
  <c r="BV37" i="2" s="1"/>
  <c r="BW37" i="2" s="1"/>
  <c r="BG37" i="2"/>
  <c r="BF37" i="2"/>
  <c r="BL37" i="2"/>
  <c r="BM37" i="2"/>
  <c r="BP37" i="2"/>
  <c r="BN37" i="2"/>
  <c r="BK149" i="2"/>
  <c r="BJ149" i="2"/>
  <c r="BN149" i="2"/>
  <c r="BL149" i="2"/>
  <c r="BO149" i="2"/>
  <c r="BG149" i="2"/>
  <c r="BI149" i="2"/>
  <c r="BP149" i="2"/>
  <c r="BH149" i="2"/>
  <c r="BF149" i="2"/>
  <c r="BM149" i="2"/>
  <c r="BQ149" i="2" s="1"/>
  <c r="BT149" i="2" s="1"/>
  <c r="BU149" i="2" s="1"/>
  <c r="BV149" i="2" s="1"/>
  <c r="BW149" i="2" s="1"/>
  <c r="BE149" i="2"/>
  <c r="BK222" i="2"/>
  <c r="BP222" i="2"/>
  <c r="BF222" i="2"/>
  <c r="BL222" i="2"/>
  <c r="BM222" i="2"/>
  <c r="BG222" i="2"/>
  <c r="BI222" i="2"/>
  <c r="BN222" i="2"/>
  <c r="BH222" i="2"/>
  <c r="BJ222" i="2"/>
  <c r="BO222" i="2"/>
  <c r="BQ222" i="2" s="1"/>
  <c r="BT222" i="2" s="1"/>
  <c r="BU222" i="2" s="1"/>
  <c r="BV222" i="2" s="1"/>
  <c r="BW222" i="2" s="1"/>
  <c r="BE222" i="2"/>
  <c r="BO271" i="2"/>
  <c r="BP271" i="2"/>
  <c r="BM271" i="2"/>
  <c r="BN271" i="2"/>
  <c r="BI271" i="2"/>
  <c r="BJ271" i="2"/>
  <c r="BE271" i="2"/>
  <c r="BH271" i="2"/>
  <c r="BL271" i="2"/>
  <c r="BF271" i="2"/>
  <c r="BG271" i="2"/>
  <c r="BQ271" i="2" s="1"/>
  <c r="BT271" i="2" s="1"/>
  <c r="BU271" i="2" s="1"/>
  <c r="BV271" i="2" s="1"/>
  <c r="BW271" i="2" s="1"/>
  <c r="BK271" i="2"/>
  <c r="BJ381" i="2"/>
  <c r="BL381" i="2"/>
  <c r="BN381" i="2"/>
  <c r="BH381" i="2"/>
  <c r="BI381" i="2"/>
  <c r="BO381" i="2"/>
  <c r="BE381" i="2"/>
  <c r="BK381" i="2"/>
  <c r="BF381" i="2"/>
  <c r="BP381" i="2"/>
  <c r="BQ381" i="2" s="1"/>
  <c r="BT381" i="2" s="1"/>
  <c r="BU381" i="2" s="1"/>
  <c r="BV381" i="2" s="1"/>
  <c r="BW381" i="2" s="1"/>
  <c r="BG381" i="2"/>
  <c r="BM381" i="2"/>
  <c r="BM55" i="2"/>
  <c r="BP55" i="2"/>
  <c r="BQ55" i="2" s="1"/>
  <c r="BT55" i="2" s="1"/>
  <c r="BU55" i="2" s="1"/>
  <c r="BV55" i="2" s="1"/>
  <c r="BW55" i="2" s="1"/>
  <c r="BN55" i="2"/>
  <c r="BG55" i="2"/>
  <c r="BJ55" i="2"/>
  <c r="BL55" i="2"/>
  <c r="BH55" i="2"/>
  <c r="BO55" i="2"/>
  <c r="BF55" i="2"/>
  <c r="BK55" i="2"/>
  <c r="BE55" i="2"/>
  <c r="BI55" i="2"/>
  <c r="BM220" i="2"/>
  <c r="BP220" i="2"/>
  <c r="BN220" i="2"/>
  <c r="BO220" i="2"/>
  <c r="BQ220" i="2" s="1"/>
  <c r="BT220" i="2" s="1"/>
  <c r="BU220" i="2" s="1"/>
  <c r="BV220" i="2" s="1"/>
  <c r="BW220" i="2" s="1"/>
  <c r="BJ220" i="2"/>
  <c r="BL220" i="2"/>
  <c r="BH220" i="2"/>
  <c r="BF220" i="2"/>
  <c r="BE220" i="2"/>
  <c r="BG220" i="2"/>
  <c r="BK220" i="2"/>
  <c r="BI220" i="2"/>
  <c r="BP247" i="2"/>
  <c r="BQ247" i="2" s="1"/>
  <c r="BT247" i="2" s="1"/>
  <c r="BU247" i="2" s="1"/>
  <c r="BV247" i="2" s="1"/>
  <c r="BW247" i="2" s="1"/>
  <c r="BO247" i="2"/>
  <c r="BM247" i="2"/>
  <c r="BN247" i="2"/>
  <c r="BE247" i="2"/>
  <c r="BK247" i="2"/>
  <c r="BL247" i="2"/>
  <c r="BG247" i="2"/>
  <c r="BF247" i="2"/>
  <c r="BJ247" i="2"/>
  <c r="BH247" i="2"/>
  <c r="BI247" i="2"/>
  <c r="BM12" i="2"/>
  <c r="BG12" i="2"/>
  <c r="BP12" i="2"/>
  <c r="BK12" i="2"/>
  <c r="BF12" i="2"/>
  <c r="BH12" i="2"/>
  <c r="BJ12" i="2"/>
  <c r="BI12" i="2"/>
  <c r="BL12" i="2"/>
  <c r="BO12" i="2"/>
  <c r="BQ12" i="2" s="1"/>
  <c r="BT12" i="2" s="1"/>
  <c r="BU12" i="2" s="1"/>
  <c r="BV12" i="2" s="1"/>
  <c r="BW12" i="2" s="1"/>
  <c r="BN12" i="2"/>
  <c r="BE12" i="2"/>
  <c r="BM153" i="2"/>
  <c r="BE153" i="2"/>
  <c r="BK153" i="2"/>
  <c r="BL153" i="2"/>
  <c r="BG153" i="2"/>
  <c r="BI153" i="2"/>
  <c r="BN153" i="2"/>
  <c r="BH153" i="2"/>
  <c r="BQ153" i="2" s="1"/>
  <c r="BT153" i="2" s="1"/>
  <c r="BU153" i="2" s="1"/>
  <c r="BV153" i="2" s="1"/>
  <c r="BW153" i="2" s="1"/>
  <c r="BF153" i="2"/>
  <c r="BP153" i="2"/>
  <c r="BO153" i="2"/>
  <c r="BJ153" i="2"/>
  <c r="BE172" i="2"/>
  <c r="BL172" i="2"/>
  <c r="BF172" i="2"/>
  <c r="BM172" i="2"/>
  <c r="BN172" i="2"/>
  <c r="BH172" i="2"/>
  <c r="BJ172" i="2"/>
  <c r="BK172" i="2"/>
  <c r="BP172" i="2"/>
  <c r="BQ172" i="2" s="1"/>
  <c r="BT172" i="2" s="1"/>
  <c r="BU172" i="2" s="1"/>
  <c r="BV172" i="2" s="1"/>
  <c r="BW172" i="2" s="1"/>
  <c r="BG172" i="2"/>
  <c r="BI172" i="2"/>
  <c r="BO172" i="2"/>
  <c r="BH356" i="2"/>
  <c r="BF356" i="2"/>
  <c r="BK356" i="2"/>
  <c r="BM356" i="2"/>
  <c r="BL356" i="2"/>
  <c r="BQ356" i="2" s="1"/>
  <c r="BT356" i="2" s="1"/>
  <c r="BU356" i="2" s="1"/>
  <c r="BV356" i="2" s="1"/>
  <c r="BW356" i="2" s="1"/>
  <c r="BN356" i="2"/>
  <c r="BP356" i="2"/>
  <c r="BG356" i="2"/>
  <c r="BE356" i="2"/>
  <c r="BJ356" i="2"/>
  <c r="BO356" i="2"/>
  <c r="BI356" i="2"/>
  <c r="BJ320" i="2"/>
  <c r="BJ57" i="2"/>
  <c r="BL190" i="2"/>
  <c r="BJ379" i="2"/>
  <c r="BL77" i="2"/>
  <c r="BG124" i="2"/>
  <c r="BK124" i="2"/>
  <c r="BN124" i="2"/>
  <c r="BQ124" i="2" s="1"/>
  <c r="BT124" i="2" s="1"/>
  <c r="BU124" i="2" s="1"/>
  <c r="BV124" i="2" s="1"/>
  <c r="BW124" i="2" s="1"/>
  <c r="BL124" i="2"/>
  <c r="BO124" i="2"/>
  <c r="BF124" i="2"/>
  <c r="BI124" i="2"/>
  <c r="BP124" i="2"/>
  <c r="BJ124" i="2"/>
  <c r="BM124" i="2"/>
  <c r="BI317" i="2"/>
  <c r="BJ82" i="2"/>
  <c r="BH198" i="2"/>
  <c r="BP66" i="2"/>
  <c r="BP85" i="2"/>
  <c r="BM121" i="2"/>
  <c r="BI179" i="2"/>
  <c r="BP57" i="2"/>
  <c r="BQ57" i="2" s="1"/>
  <c r="BT57" i="2" s="1"/>
  <c r="BU57" i="2" s="1"/>
  <c r="BV57" i="2" s="1"/>
  <c r="BW57" i="2" s="1"/>
  <c r="BK105" i="2"/>
  <c r="BG200" i="2"/>
  <c r="BN190" i="2"/>
  <c r="BP352" i="2"/>
  <c r="BJ370" i="2"/>
  <c r="BH98" i="2"/>
  <c r="BL236" i="2"/>
  <c r="BO345" i="2"/>
  <c r="BQ345" i="2" s="1"/>
  <c r="BT345" i="2" s="1"/>
  <c r="BU345" i="2" s="1"/>
  <c r="BV345" i="2" s="1"/>
  <c r="BW345" i="2" s="1"/>
  <c r="BK117" i="2"/>
  <c r="BL351" i="2"/>
  <c r="BH272" i="2"/>
  <c r="BO309" i="2"/>
  <c r="BO78" i="2"/>
  <c r="BF191" i="2"/>
  <c r="BP274" i="2"/>
  <c r="BJ102" i="2"/>
  <c r="BP128" i="2"/>
  <c r="BN79" i="2"/>
  <c r="BJ74" i="2"/>
  <c r="BG107" i="2"/>
  <c r="BE385" i="2"/>
  <c r="BH126" i="2"/>
  <c r="BE275" i="2"/>
  <c r="BJ369" i="2"/>
  <c r="BK44" i="2"/>
  <c r="BO44" i="2"/>
  <c r="BM44" i="2"/>
  <c r="BG44" i="2"/>
  <c r="BQ44" i="2" s="1"/>
  <c r="BT44" i="2" s="1"/>
  <c r="BU44" i="2" s="1"/>
  <c r="BV44" i="2" s="1"/>
  <c r="BW44" i="2" s="1"/>
  <c r="BL44" i="2"/>
  <c r="BP44" i="2"/>
  <c r="BN44" i="2"/>
  <c r="BH44" i="2"/>
  <c r="BE44" i="2"/>
  <c r="BI44" i="2"/>
  <c r="BF44" i="2"/>
  <c r="BJ44" i="2"/>
  <c r="BK138" i="2"/>
  <c r="BQ138" i="2" s="1"/>
  <c r="BT138" i="2" s="1"/>
  <c r="BU138" i="2" s="1"/>
  <c r="BV138" i="2" s="1"/>
  <c r="BW138" i="2" s="1"/>
  <c r="BP138" i="2"/>
  <c r="BN138" i="2"/>
  <c r="BL138" i="2"/>
  <c r="BI138" i="2"/>
  <c r="BE138" i="2"/>
  <c r="BJ138" i="2"/>
  <c r="BG138" i="2"/>
  <c r="BF138" i="2"/>
  <c r="BO138" i="2"/>
  <c r="BM138" i="2"/>
  <c r="BH138" i="2"/>
  <c r="BF333" i="2"/>
  <c r="BE333" i="2"/>
  <c r="BG333" i="2"/>
  <c r="BK333" i="2"/>
  <c r="BJ333" i="2"/>
  <c r="BH333" i="2"/>
  <c r="BO333" i="2"/>
  <c r="BQ333" i="2" s="1"/>
  <c r="BT333" i="2" s="1"/>
  <c r="BU333" i="2" s="1"/>
  <c r="BV333" i="2" s="1"/>
  <c r="BW333" i="2" s="1"/>
  <c r="BL333" i="2"/>
  <c r="BP333" i="2"/>
  <c r="BI333" i="2"/>
  <c r="BM333" i="2"/>
  <c r="BN333" i="2"/>
  <c r="BP59" i="2"/>
  <c r="BE59" i="2"/>
  <c r="BN59" i="2"/>
  <c r="BO59" i="2"/>
  <c r="BQ59" i="2" s="1"/>
  <c r="BT59" i="2" s="1"/>
  <c r="BU59" i="2" s="1"/>
  <c r="BV59" i="2" s="1"/>
  <c r="BW59" i="2" s="1"/>
  <c r="BH59" i="2"/>
  <c r="BF59" i="2"/>
  <c r="BG59" i="2"/>
  <c r="BL59" i="2"/>
  <c r="BI59" i="2"/>
  <c r="BK59" i="2"/>
  <c r="BM59" i="2"/>
  <c r="BJ59" i="2"/>
  <c r="BJ84" i="2"/>
  <c r="BP84" i="2"/>
  <c r="BK84" i="2"/>
  <c r="BO84" i="2"/>
  <c r="BQ84" i="2" s="1"/>
  <c r="BT84" i="2" s="1"/>
  <c r="BU84" i="2" s="1"/>
  <c r="BV84" i="2" s="1"/>
  <c r="BW84" i="2" s="1"/>
  <c r="BM84" i="2"/>
  <c r="BH84" i="2"/>
  <c r="BG84" i="2"/>
  <c r="BL84" i="2"/>
  <c r="BN84" i="2"/>
  <c r="BE84" i="2"/>
  <c r="BI84" i="2"/>
  <c r="BF84" i="2"/>
  <c r="BO119" i="2"/>
  <c r="BE119" i="2"/>
  <c r="BL119" i="2"/>
  <c r="BP119" i="2"/>
  <c r="BF119" i="2"/>
  <c r="BG119" i="2"/>
  <c r="BI119" i="2"/>
  <c r="BM119" i="2"/>
  <c r="BK119" i="2"/>
  <c r="BJ119" i="2"/>
  <c r="BQ119" i="2" s="1"/>
  <c r="BT119" i="2" s="1"/>
  <c r="BU119" i="2" s="1"/>
  <c r="BV119" i="2" s="1"/>
  <c r="BW119" i="2" s="1"/>
  <c r="BN119" i="2"/>
  <c r="BH119" i="2"/>
  <c r="BI250" i="2"/>
  <c r="BM250" i="2"/>
  <c r="BL250" i="2"/>
  <c r="BJ250" i="2"/>
  <c r="BN250" i="2"/>
  <c r="BO250" i="2"/>
  <c r="BP250" i="2"/>
  <c r="BQ250" i="2" s="1"/>
  <c r="BT250" i="2" s="1"/>
  <c r="BU250" i="2" s="1"/>
  <c r="BV250" i="2" s="1"/>
  <c r="BW250" i="2" s="1"/>
  <c r="BK250" i="2"/>
  <c r="BH250" i="2"/>
  <c r="BG250" i="2"/>
  <c r="BF250" i="2"/>
  <c r="BE250" i="2"/>
  <c r="BL328" i="2"/>
  <c r="BO328" i="2"/>
  <c r="BN328" i="2"/>
  <c r="BP328" i="2"/>
  <c r="BI328" i="2"/>
  <c r="BJ328" i="2"/>
  <c r="BM328" i="2"/>
  <c r="BF328" i="2"/>
  <c r="BE328" i="2"/>
  <c r="BK328" i="2"/>
  <c r="BG328" i="2"/>
  <c r="BQ328" i="2" s="1"/>
  <c r="BT328" i="2" s="1"/>
  <c r="BU328" i="2" s="1"/>
  <c r="BV328" i="2" s="1"/>
  <c r="BW328" i="2" s="1"/>
  <c r="BH328" i="2"/>
  <c r="BO11" i="2"/>
  <c r="BQ11" i="2" s="1"/>
  <c r="BT11" i="2" s="1"/>
  <c r="BU11" i="2" s="1"/>
  <c r="BV11" i="2" s="1"/>
  <c r="BW11" i="2" s="1"/>
  <c r="BP11" i="2"/>
  <c r="BL11" i="2"/>
  <c r="BG11" i="2"/>
  <c r="BE11" i="2"/>
  <c r="BN11" i="2"/>
  <c r="BF11" i="2"/>
  <c r="BH11" i="2"/>
  <c r="BI11" i="2"/>
  <c r="BK11" i="2"/>
  <c r="BM11" i="2"/>
  <c r="BJ11" i="2"/>
  <c r="BP36" i="2"/>
  <c r="BM36" i="2"/>
  <c r="BN36" i="2"/>
  <c r="BI36" i="2"/>
  <c r="BJ36" i="2"/>
  <c r="BK36" i="2"/>
  <c r="BO36" i="2"/>
  <c r="BE36" i="2"/>
  <c r="BH36" i="2"/>
  <c r="BL36" i="2"/>
  <c r="BQ36" i="2" s="1"/>
  <c r="BT36" i="2" s="1"/>
  <c r="BU36" i="2" s="1"/>
  <c r="BV36" i="2" s="1"/>
  <c r="BW36" i="2" s="1"/>
  <c r="BG36" i="2"/>
  <c r="BF36" i="2"/>
  <c r="BN115" i="2"/>
  <c r="BP115" i="2"/>
  <c r="BQ115" i="2" s="1"/>
  <c r="BT115" i="2" s="1"/>
  <c r="BU115" i="2" s="1"/>
  <c r="BV115" i="2" s="1"/>
  <c r="BW115" i="2" s="1"/>
  <c r="BM115" i="2"/>
  <c r="BG115" i="2"/>
  <c r="BE115" i="2"/>
  <c r="BL115" i="2"/>
  <c r="BO115" i="2"/>
  <c r="BF115" i="2"/>
  <c r="BI115" i="2"/>
  <c r="BJ115" i="2"/>
  <c r="BH115" i="2"/>
  <c r="BK115" i="2"/>
  <c r="BP176" i="2"/>
  <c r="BN176" i="2"/>
  <c r="BM176" i="2"/>
  <c r="BH176" i="2"/>
  <c r="BE176" i="2"/>
  <c r="BK176" i="2"/>
  <c r="BI176" i="2"/>
  <c r="BL176" i="2"/>
  <c r="BF176" i="2"/>
  <c r="BO176" i="2"/>
  <c r="BQ176" i="2" s="1"/>
  <c r="BT176" i="2" s="1"/>
  <c r="BU176" i="2" s="1"/>
  <c r="BV176" i="2" s="1"/>
  <c r="BW176" i="2" s="1"/>
  <c r="BJ176" i="2"/>
  <c r="BG176" i="2"/>
  <c r="BO350" i="2"/>
  <c r="BL350" i="2"/>
  <c r="BP350" i="2"/>
  <c r="BQ350" i="2" s="1"/>
  <c r="BT350" i="2" s="1"/>
  <c r="BU350" i="2" s="1"/>
  <c r="BV350" i="2" s="1"/>
  <c r="BW350" i="2" s="1"/>
  <c r="BM350" i="2"/>
  <c r="BI350" i="2"/>
  <c r="BG350" i="2"/>
  <c r="BN350" i="2"/>
  <c r="BF350" i="2"/>
  <c r="BJ350" i="2"/>
  <c r="BH350" i="2"/>
  <c r="BK350" i="2"/>
  <c r="BE350" i="2"/>
  <c r="BP342" i="2"/>
  <c r="BN342" i="2"/>
  <c r="BM342" i="2"/>
  <c r="BI342" i="2"/>
  <c r="BF342" i="2"/>
  <c r="BE342" i="2"/>
  <c r="BQ342" i="2" s="1"/>
  <c r="BT342" i="2" s="1"/>
  <c r="BU342" i="2" s="1"/>
  <c r="BV342" i="2" s="1"/>
  <c r="BW342" i="2" s="1"/>
  <c r="BK342" i="2"/>
  <c r="BO342" i="2"/>
  <c r="BJ342" i="2"/>
  <c r="BL342" i="2"/>
  <c r="BH342" i="2"/>
  <c r="BG342" i="2"/>
  <c r="BN380" i="2"/>
  <c r="BM380" i="2"/>
  <c r="BE380" i="2"/>
  <c r="BI380" i="2"/>
  <c r="BK380" i="2"/>
  <c r="BG380" i="2"/>
  <c r="BF380" i="2"/>
  <c r="BO380" i="2"/>
  <c r="BP380" i="2"/>
  <c r="BJ380" i="2"/>
  <c r="BH380" i="2"/>
  <c r="BL380" i="2"/>
  <c r="BQ380" i="2" s="1"/>
  <c r="BT380" i="2" s="1"/>
  <c r="BU380" i="2" s="1"/>
  <c r="BV380" i="2" s="1"/>
  <c r="BW380" i="2" s="1"/>
  <c r="BL21" i="2"/>
  <c r="BG21" i="2"/>
  <c r="BI21" i="2"/>
  <c r="BM21" i="2"/>
  <c r="BH21" i="2"/>
  <c r="BF21" i="2"/>
  <c r="BE21" i="2"/>
  <c r="BK21" i="2"/>
  <c r="BN21" i="2"/>
  <c r="BJ21" i="2"/>
  <c r="BP21" i="2"/>
  <c r="BO21" i="2"/>
  <c r="BQ21" i="2" s="1"/>
  <c r="BT21" i="2" s="1"/>
  <c r="BU21" i="2" s="1"/>
  <c r="BV21" i="2" s="1"/>
  <c r="BW21" i="2" s="1"/>
  <c r="BH40" i="2"/>
  <c r="BF40" i="2"/>
  <c r="BN40" i="2"/>
  <c r="BP40" i="2"/>
  <c r="BK40" i="2"/>
  <c r="BL40" i="2"/>
  <c r="BG40" i="2"/>
  <c r="BE40" i="2"/>
  <c r="BM40" i="2"/>
  <c r="BQ40" i="2" s="1"/>
  <c r="BT40" i="2" s="1"/>
  <c r="BU40" i="2" s="1"/>
  <c r="BV40" i="2" s="1"/>
  <c r="BW40" i="2" s="1"/>
  <c r="BJ40" i="2"/>
  <c r="BI40" i="2"/>
  <c r="BO40" i="2"/>
  <c r="BN189" i="2"/>
  <c r="BM189" i="2"/>
  <c r="BP189" i="2"/>
  <c r="BH189" i="2"/>
  <c r="BK189" i="2"/>
  <c r="BE189" i="2"/>
  <c r="BJ189" i="2"/>
  <c r="BG189" i="2"/>
  <c r="BL189" i="2"/>
  <c r="BF189" i="2"/>
  <c r="BI189" i="2"/>
  <c r="BO189" i="2"/>
  <c r="BE257" i="2"/>
  <c r="BL257" i="2"/>
  <c r="BI257" i="2"/>
  <c r="BM257" i="2"/>
  <c r="BG257" i="2"/>
  <c r="BF257" i="2"/>
  <c r="BN257" i="2"/>
  <c r="BH257" i="2"/>
  <c r="BK257" i="2"/>
  <c r="BP257" i="2"/>
  <c r="BO257" i="2"/>
  <c r="BQ257" i="2" s="1"/>
  <c r="BT257" i="2" s="1"/>
  <c r="BU257" i="2" s="1"/>
  <c r="BV257" i="2" s="1"/>
  <c r="BW257" i="2" s="1"/>
  <c r="BJ257" i="2"/>
  <c r="BL90" i="2"/>
  <c r="BI359" i="2"/>
  <c r="BL348" i="2"/>
  <c r="BE348" i="2"/>
  <c r="BP348" i="2"/>
  <c r="BF348" i="2"/>
  <c r="BJ348" i="2"/>
  <c r="BG348" i="2"/>
  <c r="BO348" i="2"/>
  <c r="BQ348" i="2" s="1"/>
  <c r="BT348" i="2" s="1"/>
  <c r="BU348" i="2" s="1"/>
  <c r="BV348" i="2" s="1"/>
  <c r="BW348" i="2" s="1"/>
  <c r="BM348" i="2"/>
  <c r="BH348" i="2"/>
  <c r="BK348" i="2"/>
  <c r="BG89" i="2"/>
  <c r="BQ89" i="2" s="1"/>
  <c r="BT89" i="2" s="1"/>
  <c r="BU89" i="2" s="1"/>
  <c r="BV89" i="2" s="1"/>
  <c r="BW89" i="2" s="1"/>
  <c r="BG104" i="2"/>
  <c r="BK104" i="2"/>
  <c r="BJ104" i="2"/>
  <c r="BH104" i="2"/>
  <c r="BO104" i="2"/>
  <c r="BE104" i="2"/>
  <c r="BQ104" i="2" s="1"/>
  <c r="BT104" i="2" s="1"/>
  <c r="BU104" i="2" s="1"/>
  <c r="BV104" i="2" s="1"/>
  <c r="BW104" i="2" s="1"/>
  <c r="BL104" i="2"/>
  <c r="BF104" i="2"/>
  <c r="BI104" i="2"/>
  <c r="BN104" i="2"/>
  <c r="BP104" i="2"/>
  <c r="BM104" i="2"/>
  <c r="BI165" i="2"/>
  <c r="BJ165" i="2"/>
  <c r="BH165" i="2"/>
  <c r="BF165" i="2"/>
  <c r="BO165" i="2"/>
  <c r="BQ165" i="2" s="1"/>
  <c r="BT165" i="2" s="1"/>
  <c r="BU165" i="2" s="1"/>
  <c r="BV165" i="2" s="1"/>
  <c r="BW165" i="2" s="1"/>
  <c r="BE165" i="2"/>
  <c r="BK165" i="2"/>
  <c r="BP165" i="2"/>
  <c r="BL165" i="2"/>
  <c r="BM165" i="2"/>
  <c r="BN165" i="2"/>
  <c r="BG165" i="2"/>
  <c r="BK154" i="2"/>
  <c r="BJ154" i="2"/>
  <c r="BM154" i="2"/>
  <c r="BL154" i="2"/>
  <c r="BO154" i="2"/>
  <c r="BQ154" i="2" s="1"/>
  <c r="BT154" i="2" s="1"/>
  <c r="BU154" i="2" s="1"/>
  <c r="BV154" i="2" s="1"/>
  <c r="BW154" i="2" s="1"/>
  <c r="BN154" i="2"/>
  <c r="BE154" i="2"/>
  <c r="BP154" i="2"/>
  <c r="BG154" i="2"/>
  <c r="BF154" i="2"/>
  <c r="BI154" i="2"/>
  <c r="BH154" i="2"/>
  <c r="BH269" i="2"/>
  <c r="BI269" i="2"/>
  <c r="BG269" i="2"/>
  <c r="BE269" i="2"/>
  <c r="BQ269" i="2" s="1"/>
  <c r="BT269" i="2" s="1"/>
  <c r="BU269" i="2" s="1"/>
  <c r="BV269" i="2" s="1"/>
  <c r="BW269" i="2" s="1"/>
  <c r="BJ269" i="2"/>
  <c r="BF269" i="2"/>
  <c r="BO269" i="2"/>
  <c r="BK269" i="2"/>
  <c r="BL269" i="2"/>
  <c r="BN269" i="2"/>
  <c r="BM269" i="2"/>
  <c r="BP269" i="2"/>
  <c r="BJ39" i="2"/>
  <c r="BO39" i="2"/>
  <c r="BQ39" i="2" s="1"/>
  <c r="BT39" i="2" s="1"/>
  <c r="BU39" i="2" s="1"/>
  <c r="BV39" i="2" s="1"/>
  <c r="BW39" i="2" s="1"/>
  <c r="BN39" i="2"/>
  <c r="BI39" i="2"/>
  <c r="BP39" i="2"/>
  <c r="BM39" i="2"/>
  <c r="BG39" i="2"/>
  <c r="BL39" i="2"/>
  <c r="BE39" i="2"/>
  <c r="BF39" i="2"/>
  <c r="BK39" i="2"/>
  <c r="BH39" i="2"/>
  <c r="BO60" i="2"/>
  <c r="BN60" i="2"/>
  <c r="BH60" i="2"/>
  <c r="BQ60" i="2" s="1"/>
  <c r="BT60" i="2" s="1"/>
  <c r="BU60" i="2" s="1"/>
  <c r="BV60" i="2" s="1"/>
  <c r="BW60" i="2" s="1"/>
  <c r="BG60" i="2"/>
  <c r="BL60" i="2"/>
  <c r="BE60" i="2"/>
  <c r="BI60" i="2"/>
  <c r="BP60" i="2"/>
  <c r="BF60" i="2"/>
  <c r="BJ60" i="2"/>
  <c r="BM60" i="2"/>
  <c r="BK60" i="2"/>
  <c r="BL155" i="2"/>
  <c r="BN155" i="2"/>
  <c r="BE155" i="2"/>
  <c r="BI155" i="2"/>
  <c r="BF155" i="2"/>
  <c r="BG155" i="2"/>
  <c r="BJ155" i="2"/>
  <c r="BP155" i="2"/>
  <c r="BK155" i="2"/>
  <c r="BO155" i="2"/>
  <c r="BQ155" i="2" s="1"/>
  <c r="BT155" i="2" s="1"/>
  <c r="BU155" i="2" s="1"/>
  <c r="BV155" i="2" s="1"/>
  <c r="BW155" i="2" s="1"/>
  <c r="BM155" i="2"/>
  <c r="BH155" i="2"/>
  <c r="BJ164" i="2"/>
  <c r="BN164" i="2"/>
  <c r="BG164" i="2"/>
  <c r="BK164" i="2"/>
  <c r="BO164" i="2"/>
  <c r="BQ164" i="2" s="1"/>
  <c r="BT164" i="2" s="1"/>
  <c r="BU164" i="2" s="1"/>
  <c r="BV164" i="2" s="1"/>
  <c r="BW164" i="2" s="1"/>
  <c r="BH164" i="2"/>
  <c r="BL164" i="2"/>
  <c r="BP164" i="2"/>
  <c r="BE164" i="2"/>
  <c r="BI164" i="2"/>
  <c r="BM164" i="2"/>
  <c r="BF164" i="2"/>
  <c r="BO203" i="2"/>
  <c r="BH203" i="2"/>
  <c r="BF203" i="2"/>
  <c r="BG203" i="2"/>
  <c r="BL203" i="2"/>
  <c r="BM203" i="2"/>
  <c r="BK203" i="2"/>
  <c r="BE203" i="2"/>
  <c r="BJ203" i="2"/>
  <c r="BP203" i="2"/>
  <c r="BQ203" i="2" s="1"/>
  <c r="BT203" i="2" s="1"/>
  <c r="BU203" i="2" s="1"/>
  <c r="BV203" i="2" s="1"/>
  <c r="BW203" i="2" s="1"/>
  <c r="BI203" i="2"/>
  <c r="BN203" i="2"/>
  <c r="BI181" i="2"/>
  <c r="BN181" i="2"/>
  <c r="BK181" i="2"/>
  <c r="BJ181" i="2"/>
  <c r="BH181" i="2"/>
  <c r="BO181" i="2"/>
  <c r="BP181" i="2"/>
  <c r="BQ181" i="2" s="1"/>
  <c r="BT181" i="2" s="1"/>
  <c r="BU181" i="2" s="1"/>
  <c r="BV181" i="2" s="1"/>
  <c r="BW181" i="2" s="1"/>
  <c r="BE181" i="2"/>
  <c r="BG181" i="2"/>
  <c r="BL181" i="2"/>
  <c r="BM181" i="2"/>
  <c r="BF181" i="2"/>
  <c r="BI258" i="2"/>
  <c r="BE258" i="2"/>
  <c r="BM258" i="2"/>
  <c r="BP258" i="2"/>
  <c r="BG258" i="2"/>
  <c r="BK258" i="2"/>
  <c r="BJ258" i="2"/>
  <c r="BH258" i="2"/>
  <c r="BL258" i="2"/>
  <c r="BN258" i="2"/>
  <c r="BF258" i="2"/>
  <c r="BO258" i="2"/>
  <c r="BQ258" i="2" s="1"/>
  <c r="BT258" i="2" s="1"/>
  <c r="BU258" i="2" s="1"/>
  <c r="BV258" i="2" s="1"/>
  <c r="BW258" i="2" s="1"/>
  <c r="BP254" i="2"/>
  <c r="BN254" i="2"/>
  <c r="BI254" i="2"/>
  <c r="BJ254" i="2"/>
  <c r="BL254" i="2"/>
  <c r="BO254" i="2"/>
  <c r="BQ254" i="2" s="1"/>
  <c r="BT254" i="2" s="1"/>
  <c r="BU254" i="2" s="1"/>
  <c r="BV254" i="2" s="1"/>
  <c r="BW254" i="2" s="1"/>
  <c r="BM254" i="2"/>
  <c r="BF254" i="2"/>
  <c r="BG254" i="2"/>
  <c r="BE254" i="2"/>
  <c r="BH254" i="2"/>
  <c r="BK254" i="2"/>
  <c r="BN211" i="2"/>
  <c r="BM211" i="2"/>
  <c r="BF211" i="2"/>
  <c r="BI211" i="2"/>
  <c r="BL211" i="2"/>
  <c r="BE211" i="2"/>
  <c r="BJ211" i="2"/>
  <c r="BH211" i="2"/>
  <c r="BO211" i="2"/>
  <c r="BP211" i="2"/>
  <c r="BQ211" i="2" s="1"/>
  <c r="BT211" i="2" s="1"/>
  <c r="BU211" i="2" s="1"/>
  <c r="BV211" i="2" s="1"/>
  <c r="BW211" i="2" s="1"/>
  <c r="BK211" i="2"/>
  <c r="BG211" i="2"/>
  <c r="BO192" i="2"/>
  <c r="BE192" i="2"/>
  <c r="BN192" i="2"/>
  <c r="BH192" i="2"/>
  <c r="BI192" i="2"/>
  <c r="BF192" i="2"/>
  <c r="BG192" i="2"/>
  <c r="BL192" i="2"/>
  <c r="BJ192" i="2"/>
  <c r="BK192" i="2"/>
  <c r="BP192" i="2"/>
  <c r="BQ192" i="2" s="1"/>
  <c r="BT192" i="2" s="1"/>
  <c r="BU192" i="2" s="1"/>
  <c r="BV192" i="2" s="1"/>
  <c r="BW192" i="2" s="1"/>
  <c r="BM192" i="2"/>
  <c r="BN279" i="2"/>
  <c r="BK279" i="2"/>
  <c r="BM279" i="2"/>
  <c r="BF279" i="2"/>
  <c r="BO279" i="2"/>
  <c r="BQ279" i="2" s="1"/>
  <c r="BT279" i="2" s="1"/>
  <c r="BU279" i="2" s="1"/>
  <c r="BV279" i="2" s="1"/>
  <c r="BW279" i="2" s="1"/>
  <c r="BH279" i="2"/>
  <c r="BJ279" i="2"/>
  <c r="BL279" i="2"/>
  <c r="BE279" i="2"/>
  <c r="BG279" i="2"/>
  <c r="BP279" i="2"/>
  <c r="BI279" i="2"/>
  <c r="BH334" i="2"/>
  <c r="BN334" i="2"/>
  <c r="BP334" i="2"/>
  <c r="BG334" i="2"/>
  <c r="BM334" i="2"/>
  <c r="BJ334" i="2"/>
  <c r="BE334" i="2"/>
  <c r="BO334" i="2"/>
  <c r="BQ334" i="2" s="1"/>
  <c r="BT334" i="2" s="1"/>
  <c r="BU334" i="2" s="1"/>
  <c r="BV334" i="2" s="1"/>
  <c r="BW334" i="2" s="1"/>
  <c r="BL334" i="2"/>
  <c r="BF334" i="2"/>
  <c r="BI334" i="2"/>
  <c r="BK334" i="2"/>
  <c r="BM364" i="2"/>
  <c r="BP364" i="2"/>
  <c r="BQ364" i="2" s="1"/>
  <c r="BT364" i="2" s="1"/>
  <c r="BU364" i="2" s="1"/>
  <c r="BV364" i="2" s="1"/>
  <c r="BW364" i="2" s="1"/>
  <c r="BE364" i="2"/>
  <c r="BK364" i="2"/>
  <c r="BF364" i="2"/>
  <c r="BG364" i="2"/>
  <c r="BI364" i="2"/>
  <c r="BJ364" i="2"/>
  <c r="BO364" i="2"/>
  <c r="BN364" i="2"/>
  <c r="BH364" i="2"/>
  <c r="BL364" i="2"/>
  <c r="BN53" i="2"/>
  <c r="BK53" i="2"/>
  <c r="BM53" i="2"/>
  <c r="BE53" i="2"/>
  <c r="BJ53" i="2"/>
  <c r="BI53" i="2"/>
  <c r="BG53" i="2"/>
  <c r="BP53" i="2"/>
  <c r="BH53" i="2"/>
  <c r="BL53" i="2"/>
  <c r="BF53" i="2"/>
  <c r="BO53" i="2"/>
  <c r="BQ53" i="2" s="1"/>
  <c r="BT53" i="2" s="1"/>
  <c r="BU53" i="2" s="1"/>
  <c r="BV53" i="2" s="1"/>
  <c r="BW53" i="2" s="1"/>
  <c r="BG253" i="2"/>
  <c r="BF253" i="2"/>
  <c r="BN253" i="2"/>
  <c r="BH253" i="2"/>
  <c r="BK253" i="2"/>
  <c r="BM253" i="2"/>
  <c r="BE253" i="2"/>
  <c r="BL253" i="2"/>
  <c r="BI253" i="2"/>
  <c r="BJ253" i="2"/>
  <c r="BO253" i="2"/>
  <c r="BQ253" i="2" s="1"/>
  <c r="BT253" i="2" s="1"/>
  <c r="BU253" i="2" s="1"/>
  <c r="BV253" i="2" s="1"/>
  <c r="BW253" i="2" s="1"/>
  <c r="BP253" i="2"/>
  <c r="BH226" i="2"/>
  <c r="BK226" i="2"/>
  <c r="BJ226" i="2"/>
  <c r="BE226" i="2"/>
  <c r="BF226" i="2"/>
  <c r="BN226" i="2"/>
  <c r="BP226" i="2"/>
  <c r="BL226" i="2"/>
  <c r="BG226" i="2"/>
  <c r="BM226" i="2"/>
  <c r="BO226" i="2"/>
  <c r="BQ226" i="2" s="1"/>
  <c r="BT226" i="2" s="1"/>
  <c r="BU226" i="2" s="1"/>
  <c r="BV226" i="2" s="1"/>
  <c r="BW226" i="2" s="1"/>
  <c r="BI226" i="2"/>
  <c r="BN357" i="2"/>
  <c r="BM357" i="2"/>
  <c r="BF357" i="2"/>
  <c r="BJ357" i="2"/>
  <c r="BI357" i="2"/>
  <c r="BK357" i="2"/>
  <c r="BO357" i="2"/>
  <c r="BP357" i="2"/>
  <c r="BQ357" i="2" s="1"/>
  <c r="BT357" i="2" s="1"/>
  <c r="BU357" i="2" s="1"/>
  <c r="BV357" i="2" s="1"/>
  <c r="BW357" i="2" s="1"/>
  <c r="BG357" i="2"/>
  <c r="BL357" i="2"/>
  <c r="BE357" i="2"/>
  <c r="BH357" i="2"/>
  <c r="BI85" i="2"/>
  <c r="BP99" i="2"/>
  <c r="BH183" i="2"/>
  <c r="BM196" i="2"/>
  <c r="BE274" i="2"/>
  <c r="BL82" i="2"/>
  <c r="BM385" i="2"/>
  <c r="BI200" i="2"/>
  <c r="BM345" i="2"/>
  <c r="BM117" i="2"/>
  <c r="BH288" i="2"/>
  <c r="BI78" i="2"/>
  <c r="BP194" i="2"/>
  <c r="BO97" i="2"/>
  <c r="BE173" i="2"/>
  <c r="BJ173" i="2"/>
  <c r="BO173" i="2"/>
  <c r="BQ173" i="2" s="1"/>
  <c r="BT173" i="2" s="1"/>
  <c r="BU173" i="2" s="1"/>
  <c r="BV173" i="2" s="1"/>
  <c r="BW173" i="2" s="1"/>
  <c r="BL173" i="2"/>
  <c r="BH173" i="2"/>
  <c r="BI173" i="2"/>
  <c r="BK173" i="2"/>
  <c r="BG173" i="2"/>
  <c r="BM173" i="2"/>
  <c r="BP173" i="2"/>
  <c r="BN173" i="2"/>
  <c r="BF173" i="2"/>
  <c r="BO293" i="2"/>
  <c r="BP293" i="2"/>
  <c r="BM293" i="2"/>
  <c r="BQ293" i="2" s="1"/>
  <c r="BT293" i="2" s="1"/>
  <c r="BU293" i="2" s="1"/>
  <c r="BV293" i="2" s="1"/>
  <c r="BW293" i="2" s="1"/>
  <c r="BH293" i="2"/>
  <c r="BE293" i="2"/>
  <c r="BN293" i="2"/>
  <c r="BF293" i="2"/>
  <c r="BI293" i="2"/>
  <c r="BL293" i="2"/>
  <c r="BG293" i="2"/>
  <c r="BK293" i="2"/>
  <c r="BJ293" i="2"/>
  <c r="BF327" i="2"/>
  <c r="BJ327" i="2"/>
  <c r="BG327" i="2"/>
  <c r="BK327" i="2"/>
  <c r="BO327" i="2"/>
  <c r="BQ327" i="2" s="1"/>
  <c r="BT327" i="2" s="1"/>
  <c r="BU327" i="2" s="1"/>
  <c r="BV327" i="2" s="1"/>
  <c r="BW327" i="2" s="1"/>
  <c r="BH327" i="2"/>
  <c r="BL327" i="2"/>
  <c r="BP327" i="2"/>
  <c r="BN327" i="2"/>
  <c r="BE327" i="2"/>
  <c r="BI327" i="2"/>
  <c r="BM327" i="2"/>
  <c r="BK377" i="2"/>
  <c r="BN377" i="2"/>
  <c r="BL377" i="2"/>
  <c r="BI377" i="2"/>
  <c r="BF377" i="2"/>
  <c r="BO377" i="2"/>
  <c r="BM377" i="2"/>
  <c r="BG377" i="2"/>
  <c r="BE377" i="2"/>
  <c r="BP377" i="2"/>
  <c r="BQ377" i="2" s="1"/>
  <c r="BT377" i="2" s="1"/>
  <c r="BU377" i="2" s="1"/>
  <c r="BV377" i="2" s="1"/>
  <c r="BW377" i="2" s="1"/>
  <c r="BJ377" i="2"/>
  <c r="BH377" i="2"/>
  <c r="BJ29" i="2"/>
  <c r="BP29" i="2"/>
  <c r="BF29" i="2"/>
  <c r="BO29" i="2"/>
  <c r="BQ29" i="2" s="1"/>
  <c r="BT29" i="2" s="1"/>
  <c r="BU29" i="2" s="1"/>
  <c r="BV29" i="2" s="1"/>
  <c r="BW29" i="2" s="1"/>
  <c r="BM29" i="2"/>
  <c r="BK29" i="2"/>
  <c r="BG29" i="2"/>
  <c r="BL29" i="2"/>
  <c r="BN29" i="2"/>
  <c r="BH29" i="2"/>
  <c r="BI29" i="2"/>
  <c r="BE29" i="2"/>
  <c r="BJ76" i="2"/>
  <c r="BN76" i="2"/>
  <c r="BK76" i="2"/>
  <c r="BG76" i="2"/>
  <c r="BO76" i="2"/>
  <c r="BQ76" i="2" s="1"/>
  <c r="BT76" i="2" s="1"/>
  <c r="BU76" i="2" s="1"/>
  <c r="BV76" i="2" s="1"/>
  <c r="BW76" i="2" s="1"/>
  <c r="BH76" i="2"/>
  <c r="BL76" i="2"/>
  <c r="BP76" i="2"/>
  <c r="BE76" i="2"/>
  <c r="BI76" i="2"/>
  <c r="BM76" i="2"/>
  <c r="BF76" i="2"/>
  <c r="BM145" i="2"/>
  <c r="BJ145" i="2"/>
  <c r="BQ145" i="2" s="1"/>
  <c r="BT145" i="2" s="1"/>
  <c r="BU145" i="2" s="1"/>
  <c r="BV145" i="2" s="1"/>
  <c r="BW145" i="2" s="1"/>
  <c r="BI145" i="2"/>
  <c r="BO145" i="2"/>
  <c r="BP145" i="2"/>
  <c r="BN145" i="2"/>
  <c r="BG145" i="2"/>
  <c r="BF145" i="2"/>
  <c r="BK145" i="2"/>
  <c r="BE145" i="2"/>
  <c r="BL145" i="2"/>
  <c r="BH145" i="2"/>
  <c r="BO177" i="2"/>
  <c r="BQ177" i="2" s="1"/>
  <c r="BT177" i="2" s="1"/>
  <c r="BU177" i="2" s="1"/>
  <c r="BV177" i="2" s="1"/>
  <c r="BW177" i="2" s="1"/>
  <c r="BN177" i="2"/>
  <c r="BH177" i="2"/>
  <c r="BG177" i="2"/>
  <c r="BL177" i="2"/>
  <c r="BE177" i="2"/>
  <c r="BI177" i="2"/>
  <c r="BP177" i="2"/>
  <c r="BF177" i="2"/>
  <c r="BJ177" i="2"/>
  <c r="BM177" i="2"/>
  <c r="BK177" i="2"/>
  <c r="BO125" i="2"/>
  <c r="BI125" i="2"/>
  <c r="BN125" i="2"/>
  <c r="BH125" i="2"/>
  <c r="BM125" i="2"/>
  <c r="BF125" i="2"/>
  <c r="BG125" i="2"/>
  <c r="BL125" i="2"/>
  <c r="BJ125" i="2"/>
  <c r="BK125" i="2"/>
  <c r="BP125" i="2"/>
  <c r="BQ125" i="2" s="1"/>
  <c r="BT125" i="2" s="1"/>
  <c r="BU125" i="2" s="1"/>
  <c r="BV125" i="2" s="1"/>
  <c r="BW125" i="2" s="1"/>
  <c r="BE125" i="2"/>
  <c r="BJ160" i="2"/>
  <c r="BN160" i="2"/>
  <c r="BO160" i="2"/>
  <c r="BP160" i="2"/>
  <c r="BM160" i="2"/>
  <c r="BF160" i="2"/>
  <c r="BH160" i="2"/>
  <c r="BI160" i="2"/>
  <c r="BL160" i="2"/>
  <c r="BG160" i="2"/>
  <c r="BE160" i="2"/>
  <c r="BQ160" i="2" s="1"/>
  <c r="BT160" i="2" s="1"/>
  <c r="BU160" i="2" s="1"/>
  <c r="BV160" i="2" s="1"/>
  <c r="BW160" i="2" s="1"/>
  <c r="BK160" i="2"/>
  <c r="BO210" i="2"/>
  <c r="BP210" i="2"/>
  <c r="BJ210" i="2"/>
  <c r="BM210" i="2"/>
  <c r="BN210" i="2"/>
  <c r="BH210" i="2"/>
  <c r="BE210" i="2"/>
  <c r="BK210" i="2"/>
  <c r="BQ210" i="2" s="1"/>
  <c r="BT210" i="2" s="1"/>
  <c r="BU210" i="2" s="1"/>
  <c r="BV210" i="2" s="1"/>
  <c r="BW210" i="2" s="1"/>
  <c r="BG210" i="2"/>
  <c r="BI210" i="2"/>
  <c r="BL210" i="2"/>
  <c r="BF210" i="2"/>
  <c r="BP305" i="2"/>
  <c r="BM305" i="2"/>
  <c r="BN305" i="2"/>
  <c r="BJ305" i="2"/>
  <c r="BK305" i="2"/>
  <c r="BF305" i="2"/>
  <c r="BO305" i="2"/>
  <c r="BQ305" i="2" s="1"/>
  <c r="BT305" i="2" s="1"/>
  <c r="BU305" i="2" s="1"/>
  <c r="BV305" i="2" s="1"/>
  <c r="BW305" i="2" s="1"/>
  <c r="BI305" i="2"/>
  <c r="BE305" i="2"/>
  <c r="BL305" i="2"/>
  <c r="BG305" i="2"/>
  <c r="BH305" i="2"/>
  <c r="BG9" i="2"/>
  <c r="BI9" i="2"/>
  <c r="BO9" i="2"/>
  <c r="BH9" i="2"/>
  <c r="BM9" i="2"/>
  <c r="BQ9" i="2" s="1"/>
  <c r="BT9" i="2" s="1"/>
  <c r="BU9" i="2" s="1"/>
  <c r="BV9" i="2" s="1"/>
  <c r="BW9" i="2" s="1"/>
  <c r="BP9" i="2"/>
  <c r="BL9" i="2"/>
  <c r="BN9" i="2"/>
  <c r="BJ9" i="2"/>
  <c r="BF9" i="2"/>
  <c r="BE9" i="2"/>
  <c r="BK9" i="2"/>
  <c r="BE133" i="2"/>
  <c r="BF133" i="2"/>
  <c r="BK133" i="2"/>
  <c r="BN133" i="2"/>
  <c r="BG133" i="2"/>
  <c r="BL133" i="2"/>
  <c r="BM133" i="2"/>
  <c r="BH133" i="2"/>
  <c r="BI133" i="2"/>
  <c r="BO133" i="2"/>
  <c r="BQ133" i="2" s="1"/>
  <c r="BT133" i="2" s="1"/>
  <c r="BU133" i="2" s="1"/>
  <c r="BV133" i="2" s="1"/>
  <c r="BW133" i="2" s="1"/>
  <c r="BJ133" i="2"/>
  <c r="BP133" i="2"/>
  <c r="BN143" i="2"/>
  <c r="BO143" i="2"/>
  <c r="BG143" i="2"/>
  <c r="BL143" i="2"/>
  <c r="BJ143" i="2"/>
  <c r="BK143" i="2"/>
  <c r="BQ143" i="2" s="1"/>
  <c r="BT143" i="2" s="1"/>
  <c r="BU143" i="2" s="1"/>
  <c r="BV143" i="2" s="1"/>
  <c r="BW143" i="2" s="1"/>
  <c r="BE143" i="2"/>
  <c r="BP143" i="2"/>
  <c r="BF143" i="2"/>
  <c r="BH143" i="2"/>
  <c r="BM143" i="2"/>
  <c r="BI143" i="2"/>
  <c r="BJ85" i="2"/>
  <c r="BO186" i="2"/>
  <c r="BO320" i="2"/>
  <c r="BN348" i="2"/>
  <c r="BK99" i="2"/>
  <c r="BO183" i="2"/>
  <c r="BP196" i="2"/>
  <c r="BF274" i="2"/>
  <c r="BF311" i="2"/>
  <c r="BQ311" i="2" s="1"/>
  <c r="BT311" i="2" s="1"/>
  <c r="BU311" i="2" s="1"/>
  <c r="BV311" i="2" s="1"/>
  <c r="BW311" i="2" s="1"/>
  <c r="BJ311" i="2"/>
  <c r="BM311" i="2"/>
  <c r="BK311" i="2"/>
  <c r="BN311" i="2"/>
  <c r="BL311" i="2"/>
  <c r="BO311" i="2"/>
  <c r="BI311" i="2"/>
  <c r="BP311" i="2"/>
  <c r="BO319" i="2"/>
  <c r="BP337" i="2"/>
  <c r="BE128" i="2"/>
  <c r="BQ128" i="2" s="1"/>
  <c r="BT128" i="2" s="1"/>
  <c r="BU128" i="2" s="1"/>
  <c r="BV128" i="2" s="1"/>
  <c r="BW128" i="2" s="1"/>
  <c r="BP94" i="2"/>
  <c r="BI66" i="2"/>
  <c r="BN121" i="2"/>
  <c r="BJ179" i="2"/>
  <c r="BG365" i="2"/>
  <c r="BH200" i="2"/>
  <c r="BK274" i="2"/>
  <c r="BI352" i="2"/>
  <c r="BK194" i="2"/>
  <c r="BL97" i="2"/>
  <c r="BE182" i="2"/>
  <c r="BP69" i="2"/>
  <c r="BM288" i="2"/>
  <c r="BL309" i="2"/>
  <c r="BP78" i="2"/>
  <c r="BO274" i="2"/>
  <c r="BM194" i="2"/>
  <c r="BO102" i="2"/>
  <c r="BQ102" i="2" s="1"/>
  <c r="BT102" i="2" s="1"/>
  <c r="BU102" i="2" s="1"/>
  <c r="BV102" i="2" s="1"/>
  <c r="BW102" i="2" s="1"/>
  <c r="BO128" i="2"/>
  <c r="BO67" i="2"/>
  <c r="BQ67" i="2" s="1"/>
  <c r="BT67" i="2" s="1"/>
  <c r="BU67" i="2" s="1"/>
  <c r="BV67" i="2" s="1"/>
  <c r="BW67" i="2" s="1"/>
  <c r="BL353" i="2"/>
  <c r="BI110" i="2"/>
  <c r="BQ110" i="2" s="1"/>
  <c r="BT110" i="2" s="1"/>
  <c r="BU110" i="2" s="1"/>
  <c r="BV110" i="2" s="1"/>
  <c r="BW110" i="2" s="1"/>
  <c r="BG57" i="2"/>
  <c r="BI175" i="2"/>
  <c r="BN175" i="2"/>
  <c r="BK369" i="2"/>
  <c r="BE77" i="2"/>
  <c r="BE18" i="2"/>
  <c r="BO18" i="2"/>
  <c r="BF18" i="2"/>
  <c r="BP18" i="2"/>
  <c r="BQ18" i="2" s="1"/>
  <c r="BT18" i="2" s="1"/>
  <c r="BU18" i="2" s="1"/>
  <c r="BV18" i="2" s="1"/>
  <c r="BW18" i="2" s="1"/>
  <c r="BK18" i="2"/>
  <c r="BI18" i="2"/>
  <c r="BM18" i="2"/>
  <c r="BG18" i="2"/>
  <c r="BL18" i="2"/>
  <c r="BJ18" i="2"/>
  <c r="BN18" i="2"/>
  <c r="BH18" i="2"/>
  <c r="BN224" i="2"/>
  <c r="BP224" i="2"/>
  <c r="BJ224" i="2"/>
  <c r="BE224" i="2"/>
  <c r="BL224" i="2"/>
  <c r="BF224" i="2"/>
  <c r="BM224" i="2"/>
  <c r="BG224" i="2"/>
  <c r="BK224" i="2"/>
  <c r="BI224" i="2"/>
  <c r="BO224" i="2"/>
  <c r="BQ224" i="2" s="1"/>
  <c r="BT224" i="2" s="1"/>
  <c r="BU224" i="2" s="1"/>
  <c r="BV224" i="2" s="1"/>
  <c r="BW224" i="2" s="1"/>
  <c r="BH224" i="2"/>
  <c r="BK263" i="2"/>
  <c r="BJ263" i="2"/>
  <c r="BH263" i="2"/>
  <c r="BL263" i="2"/>
  <c r="BO263" i="2"/>
  <c r="BE263" i="2"/>
  <c r="BI263" i="2"/>
  <c r="BP263" i="2"/>
  <c r="BF263" i="2"/>
  <c r="BM263" i="2"/>
  <c r="BN263" i="2"/>
  <c r="BG263" i="2"/>
  <c r="BQ263" i="2" s="1"/>
  <c r="BT263" i="2" s="1"/>
  <c r="BU263" i="2" s="1"/>
  <c r="BV263" i="2" s="1"/>
  <c r="BW263" i="2" s="1"/>
  <c r="BG292" i="2"/>
  <c r="BF292" i="2"/>
  <c r="BK292" i="2"/>
  <c r="BM292" i="2"/>
  <c r="BI292" i="2"/>
  <c r="BN292" i="2"/>
  <c r="BJ292" i="2"/>
  <c r="BO292" i="2"/>
  <c r="BQ292" i="2" s="1"/>
  <c r="BT292" i="2" s="1"/>
  <c r="BU292" i="2" s="1"/>
  <c r="BV292" i="2" s="1"/>
  <c r="BW292" i="2" s="1"/>
  <c r="BL292" i="2"/>
  <c r="BP292" i="2"/>
  <c r="BH292" i="2"/>
  <c r="BE292" i="2"/>
  <c r="BE362" i="2"/>
  <c r="BI362" i="2"/>
  <c r="BF362" i="2"/>
  <c r="BL362" i="2"/>
  <c r="BJ362" i="2"/>
  <c r="BK362" i="2"/>
  <c r="BH362" i="2"/>
  <c r="BP362" i="2"/>
  <c r="BQ362" i="2" s="1"/>
  <c r="BT362" i="2" s="1"/>
  <c r="BU362" i="2" s="1"/>
  <c r="BV362" i="2" s="1"/>
  <c r="BW362" i="2" s="1"/>
  <c r="BM362" i="2"/>
  <c r="BN362" i="2"/>
  <c r="BO362" i="2"/>
  <c r="BG362" i="2"/>
  <c r="BJ41" i="2"/>
  <c r="BN41" i="2"/>
  <c r="BF41" i="2"/>
  <c r="BO41" i="2"/>
  <c r="BK41" i="2"/>
  <c r="BL41" i="2"/>
  <c r="BP41" i="2"/>
  <c r="BQ41" i="2" s="1"/>
  <c r="BT41" i="2" s="1"/>
  <c r="BU41" i="2" s="1"/>
  <c r="BV41" i="2" s="1"/>
  <c r="BW41" i="2" s="1"/>
  <c r="BH41" i="2"/>
  <c r="BG41" i="2"/>
  <c r="BI41" i="2"/>
  <c r="BM41" i="2"/>
  <c r="BE41" i="2"/>
  <c r="BL123" i="2"/>
  <c r="BN123" i="2"/>
  <c r="BK123" i="2"/>
  <c r="BI123" i="2"/>
  <c r="BH123" i="2"/>
  <c r="BJ123" i="2"/>
  <c r="BP123" i="2"/>
  <c r="BE123" i="2"/>
  <c r="BG123" i="2"/>
  <c r="BO123" i="2"/>
  <c r="BM123" i="2"/>
  <c r="BF123" i="2"/>
  <c r="BQ123" i="2" s="1"/>
  <c r="BT123" i="2" s="1"/>
  <c r="BU123" i="2" s="1"/>
  <c r="BV123" i="2" s="1"/>
  <c r="BW123" i="2" s="1"/>
  <c r="BJ148" i="2"/>
  <c r="BP148" i="2"/>
  <c r="BQ148" i="2" s="1"/>
  <c r="BT148" i="2" s="1"/>
  <c r="BU148" i="2" s="1"/>
  <c r="BV148" i="2" s="1"/>
  <c r="BW148" i="2" s="1"/>
  <c r="BG148" i="2"/>
  <c r="BK148" i="2"/>
  <c r="BM148" i="2"/>
  <c r="BH148" i="2"/>
  <c r="BL148" i="2"/>
  <c r="BN148" i="2"/>
  <c r="BE148" i="2"/>
  <c r="BI148" i="2"/>
  <c r="BO148" i="2"/>
  <c r="BF148" i="2"/>
  <c r="BO193" i="2"/>
  <c r="BQ193" i="2" s="1"/>
  <c r="BT193" i="2" s="1"/>
  <c r="BU193" i="2" s="1"/>
  <c r="BV193" i="2" s="1"/>
  <c r="BW193" i="2" s="1"/>
  <c r="BP193" i="2"/>
  <c r="BF193" i="2"/>
  <c r="BL193" i="2"/>
  <c r="BM193" i="2"/>
  <c r="BK193" i="2"/>
  <c r="BI193" i="2"/>
  <c r="BN193" i="2"/>
  <c r="BH193" i="2"/>
  <c r="BG193" i="2"/>
  <c r="BJ193" i="2"/>
  <c r="BE193" i="2"/>
  <c r="BJ252" i="2"/>
  <c r="BM252" i="2"/>
  <c r="BG252" i="2"/>
  <c r="BQ252" i="2" s="1"/>
  <c r="BT252" i="2" s="1"/>
  <c r="BU252" i="2" s="1"/>
  <c r="BV252" i="2" s="1"/>
  <c r="BW252" i="2" s="1"/>
  <c r="BK252" i="2"/>
  <c r="BN252" i="2"/>
  <c r="BH252" i="2"/>
  <c r="BL252" i="2"/>
  <c r="BO252" i="2"/>
  <c r="BE252" i="2"/>
  <c r="BI252" i="2"/>
  <c r="BP252" i="2"/>
  <c r="BF252" i="2"/>
  <c r="BJ361" i="2"/>
  <c r="BH361" i="2"/>
  <c r="BL361" i="2"/>
  <c r="BO361" i="2"/>
  <c r="BM361" i="2"/>
  <c r="BF361" i="2"/>
  <c r="BI361" i="2"/>
  <c r="BN361" i="2"/>
  <c r="BK361" i="2"/>
  <c r="BG361" i="2"/>
  <c r="BE361" i="2"/>
  <c r="BP361" i="2"/>
  <c r="BQ361" i="2" s="1"/>
  <c r="BT361" i="2" s="1"/>
  <c r="BU361" i="2" s="1"/>
  <c r="BV361" i="2" s="1"/>
  <c r="BW361" i="2" s="1"/>
  <c r="BN22" i="2"/>
  <c r="BG22" i="2"/>
  <c r="BP22" i="2"/>
  <c r="BQ22" i="2" s="1"/>
  <c r="BT22" i="2" s="1"/>
  <c r="BU22" i="2" s="1"/>
  <c r="BV22" i="2" s="1"/>
  <c r="BW22" i="2" s="1"/>
  <c r="BM22" i="2"/>
  <c r="BK22" i="2"/>
  <c r="BH22" i="2"/>
  <c r="BO22" i="2"/>
  <c r="BJ22" i="2"/>
  <c r="BE22" i="2"/>
  <c r="BF22" i="2"/>
  <c r="BL22" i="2"/>
  <c r="BI22" i="2"/>
  <c r="BO45" i="2"/>
  <c r="BQ45" i="2" s="1"/>
  <c r="BT45" i="2" s="1"/>
  <c r="BU45" i="2" s="1"/>
  <c r="BV45" i="2" s="1"/>
  <c r="BW45" i="2" s="1"/>
  <c r="BM45" i="2"/>
  <c r="BN45" i="2"/>
  <c r="BP45" i="2"/>
  <c r="BK45" i="2"/>
  <c r="BI45" i="2"/>
  <c r="BF45" i="2"/>
  <c r="BG45" i="2"/>
  <c r="BL45" i="2"/>
  <c r="BE45" i="2"/>
  <c r="BH45" i="2"/>
  <c r="BJ45" i="2"/>
  <c r="BL51" i="2"/>
  <c r="BM51" i="2"/>
  <c r="BK51" i="2"/>
  <c r="BN51" i="2"/>
  <c r="BI51" i="2"/>
  <c r="BJ51" i="2"/>
  <c r="BE51" i="2"/>
  <c r="BH51" i="2"/>
  <c r="BG51" i="2"/>
  <c r="BP51" i="2"/>
  <c r="BF51" i="2"/>
  <c r="BO51" i="2"/>
  <c r="BQ51" i="2" s="1"/>
  <c r="BT51" i="2" s="1"/>
  <c r="BU51" i="2" s="1"/>
  <c r="BV51" i="2" s="1"/>
  <c r="BW51" i="2" s="1"/>
  <c r="BM141" i="2"/>
  <c r="BN141" i="2"/>
  <c r="BJ141" i="2"/>
  <c r="BE141" i="2"/>
  <c r="BG141" i="2"/>
  <c r="BF141" i="2"/>
  <c r="BL141" i="2"/>
  <c r="BP141" i="2"/>
  <c r="BQ141" i="2" s="1"/>
  <c r="BT141" i="2" s="1"/>
  <c r="BU141" i="2" s="1"/>
  <c r="BV141" i="2" s="1"/>
  <c r="BW141" i="2" s="1"/>
  <c r="BI141" i="2"/>
  <c r="BK141" i="2"/>
  <c r="BH141" i="2"/>
  <c r="BO141" i="2"/>
  <c r="BP240" i="2"/>
  <c r="BM240" i="2"/>
  <c r="BN240" i="2"/>
  <c r="BJ240" i="2"/>
  <c r="BO240" i="2"/>
  <c r="BF240" i="2"/>
  <c r="BG240" i="2"/>
  <c r="BI240" i="2"/>
  <c r="BH240" i="2"/>
  <c r="BL240" i="2"/>
  <c r="BE240" i="2"/>
  <c r="BQ240" i="2" s="1"/>
  <c r="BT240" i="2" s="1"/>
  <c r="BU240" i="2" s="1"/>
  <c r="BV240" i="2" s="1"/>
  <c r="BW240" i="2" s="1"/>
  <c r="BK240" i="2"/>
  <c r="BN285" i="2"/>
  <c r="BO285" i="2"/>
  <c r="BQ285" i="2" s="1"/>
  <c r="BT285" i="2" s="1"/>
  <c r="BU285" i="2" s="1"/>
  <c r="BV285" i="2" s="1"/>
  <c r="BW285" i="2" s="1"/>
  <c r="BP285" i="2"/>
  <c r="BM285" i="2"/>
  <c r="BF285" i="2"/>
  <c r="BI285" i="2"/>
  <c r="BG285" i="2"/>
  <c r="BE285" i="2"/>
  <c r="BL285" i="2"/>
  <c r="BH285" i="2"/>
  <c r="BJ285" i="2"/>
  <c r="BK285" i="2"/>
  <c r="AZ389" i="2"/>
  <c r="AV389" i="2"/>
  <c r="AR389" i="2"/>
  <c r="AY389" i="2"/>
  <c r="AU389" i="2"/>
  <c r="AQ389" i="2"/>
  <c r="AX389" i="2"/>
  <c r="AT389" i="2"/>
  <c r="AP389" i="2"/>
  <c r="AW389" i="2"/>
  <c r="AS389" i="2"/>
  <c r="AO389" i="2"/>
  <c r="BN30" i="2"/>
  <c r="BF30" i="2"/>
  <c r="BE30" i="2"/>
  <c r="BP30" i="2"/>
  <c r="BL30" i="2"/>
  <c r="BK30" i="2"/>
  <c r="BJ30" i="2"/>
  <c r="BI30" i="2"/>
  <c r="BH30" i="2"/>
  <c r="BM30" i="2"/>
  <c r="BO30" i="2"/>
  <c r="BG30" i="2"/>
  <c r="BQ30" i="2" s="1"/>
  <c r="BT30" i="2" s="1"/>
  <c r="BU30" i="2" s="1"/>
  <c r="BV30" i="2" s="1"/>
  <c r="BW30" i="2" s="1"/>
  <c r="BG69" i="2"/>
  <c r="BI286" i="2"/>
  <c r="BN286" i="2"/>
  <c r="BJ286" i="2"/>
  <c r="BO286" i="2"/>
  <c r="BQ286" i="2" s="1"/>
  <c r="BT286" i="2" s="1"/>
  <c r="BU286" i="2" s="1"/>
  <c r="BV286" i="2" s="1"/>
  <c r="BW286" i="2" s="1"/>
  <c r="BK286" i="2"/>
  <c r="BP286" i="2"/>
  <c r="BF286" i="2"/>
  <c r="BL286" i="2"/>
  <c r="BM286" i="2"/>
  <c r="BO385" i="2"/>
  <c r="BE105" i="2"/>
  <c r="BP206" i="2"/>
  <c r="BP93" i="2"/>
  <c r="BQ93" i="2" s="1"/>
  <c r="BT93" i="2" s="1"/>
  <c r="BU93" i="2" s="1"/>
  <c r="BV93" i="2" s="1"/>
  <c r="BW93" i="2" s="1"/>
  <c r="BJ81" i="2"/>
  <c r="BP81" i="2"/>
  <c r="BF81" i="2"/>
  <c r="BK81" i="2"/>
  <c r="BM81" i="2"/>
  <c r="BL81" i="2"/>
  <c r="BN81" i="2"/>
  <c r="BI81" i="2"/>
  <c r="BO81" i="2"/>
  <c r="BQ81" i="2" s="1"/>
  <c r="BT81" i="2" s="1"/>
  <c r="BU81" i="2" s="1"/>
  <c r="BV81" i="2" s="1"/>
  <c r="BW81" i="2" s="1"/>
  <c r="BL266" i="2"/>
  <c r="BL274" i="2"/>
  <c r="BE311" i="2"/>
  <c r="BH340" i="2"/>
  <c r="BH81" i="2"/>
  <c r="BI128" i="2"/>
  <c r="BM69" i="2"/>
  <c r="BP105" i="2"/>
  <c r="BQ105" i="2" s="1"/>
  <c r="BT105" i="2" s="1"/>
  <c r="BU105" i="2" s="1"/>
  <c r="BV105" i="2" s="1"/>
  <c r="BW105" i="2" s="1"/>
  <c r="BM198" i="2"/>
  <c r="BG85" i="2"/>
  <c r="BH92" i="2"/>
  <c r="BL92" i="2"/>
  <c r="BG92" i="2"/>
  <c r="BE92" i="2"/>
  <c r="BQ92" i="2" s="1"/>
  <c r="BT92" i="2" s="1"/>
  <c r="BU92" i="2" s="1"/>
  <c r="BV92" i="2" s="1"/>
  <c r="BW92" i="2" s="1"/>
  <c r="BI92" i="2"/>
  <c r="BF92" i="2"/>
  <c r="BJ92" i="2"/>
  <c r="BK92" i="2"/>
  <c r="BO92" i="2"/>
  <c r="BM92" i="2"/>
  <c r="BP92" i="2"/>
  <c r="BN92" i="2"/>
  <c r="BN152" i="2"/>
  <c r="BH152" i="2"/>
  <c r="BK152" i="2"/>
  <c r="BQ152" i="2" s="1"/>
  <c r="BT152" i="2" s="1"/>
  <c r="BU152" i="2" s="1"/>
  <c r="BV152" i="2" s="1"/>
  <c r="BW152" i="2" s="1"/>
  <c r="BE152" i="2"/>
  <c r="BL152" i="2"/>
  <c r="BF152" i="2"/>
  <c r="BI152" i="2"/>
  <c r="BG152" i="2"/>
  <c r="BJ152" i="2"/>
  <c r="BO152" i="2"/>
  <c r="BM152" i="2"/>
  <c r="BP152" i="2"/>
  <c r="BH306" i="2"/>
  <c r="BJ306" i="2"/>
  <c r="BE306" i="2"/>
  <c r="BO306" i="2"/>
  <c r="BG306" i="2"/>
  <c r="BF306" i="2"/>
  <c r="BL306" i="2"/>
  <c r="BK306" i="2"/>
  <c r="BQ306" i="2" s="1"/>
  <c r="BT306" i="2" s="1"/>
  <c r="BU306" i="2" s="1"/>
  <c r="BV306" i="2" s="1"/>
  <c r="BW306" i="2" s="1"/>
  <c r="BI306" i="2"/>
  <c r="BP306" i="2"/>
  <c r="BN306" i="2"/>
  <c r="BM306" i="2"/>
  <c r="BK367" i="2"/>
  <c r="BO367" i="2"/>
  <c r="BQ367" i="2" s="1"/>
  <c r="BT367" i="2" s="1"/>
  <c r="BU367" i="2" s="1"/>
  <c r="BV367" i="2" s="1"/>
  <c r="BW367" i="2" s="1"/>
  <c r="BH367" i="2"/>
  <c r="BL367" i="2"/>
  <c r="BG367" i="2"/>
  <c r="BE367" i="2"/>
  <c r="BI367" i="2"/>
  <c r="BF367" i="2"/>
  <c r="BJ367" i="2"/>
  <c r="BN367" i="2"/>
  <c r="BP367" i="2"/>
  <c r="BM367" i="2"/>
  <c r="BL139" i="2"/>
  <c r="BP139" i="2"/>
  <c r="BE139" i="2"/>
  <c r="BG139" i="2"/>
  <c r="BI139" i="2"/>
  <c r="BM139" i="2"/>
  <c r="BF139" i="2"/>
  <c r="BJ139" i="2"/>
  <c r="BN139" i="2"/>
  <c r="BK139" i="2"/>
  <c r="BO139" i="2"/>
  <c r="BQ139" i="2" s="1"/>
  <c r="BT139" i="2" s="1"/>
  <c r="BU139" i="2" s="1"/>
  <c r="BV139" i="2" s="1"/>
  <c r="BW139" i="2" s="1"/>
  <c r="BH139" i="2"/>
  <c r="BI161" i="2"/>
  <c r="BM161" i="2"/>
  <c r="BJ161" i="2"/>
  <c r="BN161" i="2"/>
  <c r="BO161" i="2"/>
  <c r="BQ161" i="2" s="1"/>
  <c r="BT161" i="2" s="1"/>
  <c r="BU161" i="2" s="1"/>
  <c r="BV161" i="2" s="1"/>
  <c r="BW161" i="2" s="1"/>
  <c r="BP161" i="2"/>
  <c r="BL161" i="2"/>
  <c r="BK161" i="2"/>
  <c r="BH161" i="2"/>
  <c r="BG161" i="2"/>
  <c r="BF161" i="2"/>
  <c r="BE161" i="2"/>
  <c r="BE228" i="2"/>
  <c r="BJ228" i="2"/>
  <c r="BP228" i="2"/>
  <c r="BQ228" i="2" s="1"/>
  <c r="BT228" i="2" s="1"/>
  <c r="BU228" i="2" s="1"/>
  <c r="BV228" i="2" s="1"/>
  <c r="BW228" i="2" s="1"/>
  <c r="BN228" i="2"/>
  <c r="BK228" i="2"/>
  <c r="BG228" i="2"/>
  <c r="BL228" i="2"/>
  <c r="BH228" i="2"/>
  <c r="BM228" i="2"/>
  <c r="BF228" i="2"/>
  <c r="BO228" i="2"/>
  <c r="BI228" i="2"/>
  <c r="BL230" i="2"/>
  <c r="BI230" i="2"/>
  <c r="BN230" i="2"/>
  <c r="BQ230" i="2" s="1"/>
  <c r="BT230" i="2" s="1"/>
  <c r="BU230" i="2" s="1"/>
  <c r="BV230" i="2" s="1"/>
  <c r="BW230" i="2" s="1"/>
  <c r="BJ230" i="2"/>
  <c r="BO230" i="2"/>
  <c r="BP230" i="2"/>
  <c r="BM230" i="2"/>
  <c r="BE230" i="2"/>
  <c r="BG230" i="2"/>
  <c r="BK230" i="2"/>
  <c r="BH230" i="2"/>
  <c r="BF230" i="2"/>
  <c r="BI301" i="2"/>
  <c r="BJ301" i="2"/>
  <c r="BO301" i="2"/>
  <c r="BM301" i="2"/>
  <c r="BL301" i="2"/>
  <c r="BQ301" i="2" s="1"/>
  <c r="BT301" i="2" s="1"/>
  <c r="BU301" i="2" s="1"/>
  <c r="BV301" i="2" s="1"/>
  <c r="BW301" i="2" s="1"/>
  <c r="BP301" i="2"/>
  <c r="BN301" i="2"/>
  <c r="BE301" i="2"/>
  <c r="BG301" i="2"/>
  <c r="BF301" i="2"/>
  <c r="BH301" i="2"/>
  <c r="BK301" i="2"/>
  <c r="BH386" i="2"/>
  <c r="BN386" i="2"/>
  <c r="BK386" i="2"/>
  <c r="BI386" i="2"/>
  <c r="BF386" i="2"/>
  <c r="BO386" i="2"/>
  <c r="BL386" i="2"/>
  <c r="BM386" i="2"/>
  <c r="BG386" i="2"/>
  <c r="BP386" i="2"/>
  <c r="BQ386" i="2" s="1"/>
  <c r="BT386" i="2" s="1"/>
  <c r="BU386" i="2" s="1"/>
  <c r="BV386" i="2" s="1"/>
  <c r="BW386" i="2" s="1"/>
  <c r="BE386" i="2"/>
  <c r="BJ386" i="2"/>
  <c r="BJ118" i="2"/>
  <c r="BL118" i="2"/>
  <c r="BM118" i="2"/>
  <c r="BG118" i="2"/>
  <c r="BQ118" i="2" s="1"/>
  <c r="BT118" i="2" s="1"/>
  <c r="BU118" i="2" s="1"/>
  <c r="BV118" i="2" s="1"/>
  <c r="BW118" i="2" s="1"/>
  <c r="BP118" i="2"/>
  <c r="BE118" i="2"/>
  <c r="BN118" i="2"/>
  <c r="BK118" i="2"/>
  <c r="BI118" i="2"/>
  <c r="BF118" i="2"/>
  <c r="BO118" i="2"/>
  <c r="BH118" i="2"/>
  <c r="BN140" i="2"/>
  <c r="BJ140" i="2"/>
  <c r="BO140" i="2"/>
  <c r="BP140" i="2"/>
  <c r="BM140" i="2"/>
  <c r="BL140" i="2"/>
  <c r="BQ140" i="2" s="1"/>
  <c r="BT140" i="2" s="1"/>
  <c r="BU140" i="2" s="1"/>
  <c r="BV140" i="2" s="1"/>
  <c r="BW140" i="2" s="1"/>
  <c r="BI140" i="2"/>
  <c r="BG140" i="2"/>
  <c r="BK140" i="2"/>
  <c r="BF140" i="2"/>
  <c r="BE140" i="2"/>
  <c r="BH140" i="2"/>
  <c r="BM233" i="2"/>
  <c r="BN233" i="2"/>
  <c r="BI233" i="2"/>
  <c r="BH233" i="2"/>
  <c r="BG233" i="2"/>
  <c r="BO233" i="2"/>
  <c r="BL233" i="2"/>
  <c r="BF233" i="2"/>
  <c r="BE233" i="2"/>
  <c r="BJ233" i="2"/>
  <c r="BP233" i="2"/>
  <c r="BQ233" i="2" s="1"/>
  <c r="BT233" i="2" s="1"/>
  <c r="BU233" i="2" s="1"/>
  <c r="BV233" i="2" s="1"/>
  <c r="BW233" i="2" s="1"/>
  <c r="BK233" i="2"/>
  <c r="BO235" i="2"/>
  <c r="BM235" i="2"/>
  <c r="BN235" i="2"/>
  <c r="BP235" i="2"/>
  <c r="BH235" i="2"/>
  <c r="BK235" i="2"/>
  <c r="BJ235" i="2"/>
  <c r="BF235" i="2"/>
  <c r="BL235" i="2"/>
  <c r="BQ235" i="2" s="1"/>
  <c r="BT235" i="2" s="1"/>
  <c r="BU235" i="2" s="1"/>
  <c r="BV235" i="2" s="1"/>
  <c r="BW235" i="2" s="1"/>
  <c r="BG235" i="2"/>
  <c r="BI235" i="2"/>
  <c r="BE235" i="2"/>
  <c r="BN304" i="2"/>
  <c r="BM304" i="2"/>
  <c r="BF304" i="2"/>
  <c r="BH304" i="2"/>
  <c r="BJ304" i="2"/>
  <c r="BK304" i="2"/>
  <c r="BE304" i="2"/>
  <c r="BP304" i="2"/>
  <c r="BQ304" i="2" s="1"/>
  <c r="BT304" i="2" s="1"/>
  <c r="BU304" i="2" s="1"/>
  <c r="BV304" i="2" s="1"/>
  <c r="BW304" i="2" s="1"/>
  <c r="BI304" i="2"/>
  <c r="BO304" i="2"/>
  <c r="BG304" i="2"/>
  <c r="BL304" i="2"/>
  <c r="BO374" i="2"/>
  <c r="BG374" i="2"/>
  <c r="BH374" i="2"/>
  <c r="BL374" i="2"/>
  <c r="BQ374" i="2" s="1"/>
  <c r="BT374" i="2" s="1"/>
  <c r="BU374" i="2" s="1"/>
  <c r="BV374" i="2" s="1"/>
  <c r="BW374" i="2" s="1"/>
  <c r="BE374" i="2"/>
  <c r="BN374" i="2"/>
  <c r="BP374" i="2"/>
  <c r="BF374" i="2"/>
  <c r="BK374" i="2"/>
  <c r="BI374" i="2"/>
  <c r="BJ374" i="2"/>
  <c r="BM374" i="2"/>
  <c r="BN147" i="2"/>
  <c r="BG147" i="2"/>
  <c r="BF147" i="2"/>
  <c r="BO147" i="2"/>
  <c r="BQ147" i="2" s="1"/>
  <c r="BT147" i="2" s="1"/>
  <c r="BU147" i="2" s="1"/>
  <c r="BV147" i="2" s="1"/>
  <c r="BW147" i="2" s="1"/>
  <c r="BI147" i="2"/>
  <c r="BE147" i="2"/>
  <c r="BH147" i="2"/>
  <c r="BM147" i="2"/>
  <c r="BJ147" i="2"/>
  <c r="BK147" i="2"/>
  <c r="BP147" i="2"/>
  <c r="BL147" i="2"/>
  <c r="BN217" i="2"/>
  <c r="BO217" i="2"/>
  <c r="BQ217" i="2" s="1"/>
  <c r="BT217" i="2" s="1"/>
  <c r="BU217" i="2" s="1"/>
  <c r="BV217" i="2" s="1"/>
  <c r="BW217" i="2" s="1"/>
  <c r="BE217" i="2"/>
  <c r="BK217" i="2"/>
  <c r="BG217" i="2"/>
  <c r="BI217" i="2"/>
  <c r="BL217" i="2"/>
  <c r="BF217" i="2"/>
  <c r="BJ217" i="2"/>
  <c r="BM217" i="2"/>
  <c r="BP217" i="2"/>
  <c r="BH217" i="2"/>
  <c r="BP354" i="2"/>
  <c r="BQ354" i="2" s="1"/>
  <c r="BT354" i="2" s="1"/>
  <c r="BU354" i="2" s="1"/>
  <c r="BV354" i="2" s="1"/>
  <c r="BW354" i="2" s="1"/>
  <c r="BG354" i="2"/>
  <c r="BK354" i="2"/>
  <c r="BM354" i="2"/>
  <c r="BH354" i="2"/>
  <c r="BL354" i="2"/>
  <c r="BF354" i="2"/>
  <c r="BI354" i="2"/>
  <c r="BJ354" i="2"/>
  <c r="BE354" i="2"/>
  <c r="BN354" i="2"/>
  <c r="BO354" i="2"/>
  <c r="AM384" i="3" l="1"/>
  <c r="BQ4" i="3"/>
  <c r="BD384" i="3"/>
  <c r="BE384" i="3" s="1"/>
  <c r="BF384" i="3" s="1"/>
  <c r="BG384" i="3" s="1"/>
  <c r="CF4" i="3"/>
  <c r="AM385" i="3"/>
  <c r="BQ5" i="3"/>
  <c r="AK385" i="3"/>
  <c r="BP5" i="3" s="1"/>
  <c r="BO5" i="3"/>
  <c r="AK384" i="3"/>
  <c r="BP4" i="3" s="1"/>
  <c r="BO4" i="3"/>
  <c r="AM386" i="3"/>
  <c r="BR6" i="3" s="1"/>
  <c r="CF7" i="3" s="1"/>
  <c r="CI4" i="3" s="1"/>
  <c r="CJ4" i="3" s="1"/>
  <c r="CK4" i="3" s="1"/>
  <c r="CL4" i="3" s="1"/>
  <c r="BQ6" i="3"/>
  <c r="AK386" i="3"/>
  <c r="BP6" i="3" s="1"/>
  <c r="BO6" i="3"/>
  <c r="BA8" i="3"/>
  <c r="BD8" i="3" s="1"/>
  <c r="BE8" i="3" s="1"/>
  <c r="BF8" i="3" s="1"/>
  <c r="BG8" i="3" s="1"/>
  <c r="BA7" i="3"/>
  <c r="BD7" i="3" s="1"/>
  <c r="BE7" i="3" s="1"/>
  <c r="BF7" i="3" s="1"/>
  <c r="BG7" i="3" s="1"/>
  <c r="BY5" i="2"/>
  <c r="BY7" i="2" s="1"/>
  <c r="BQ190" i="2"/>
  <c r="BT190" i="2" s="1"/>
  <c r="BU190" i="2" s="1"/>
  <c r="BV190" i="2" s="1"/>
  <c r="BW190" i="2" s="1"/>
  <c r="BY6" i="2" s="1"/>
  <c r="BZ6" i="2" s="1"/>
  <c r="BQ189" i="2"/>
  <c r="BT189" i="2" s="1"/>
  <c r="BU189" i="2" s="1"/>
  <c r="BV189" i="2" s="1"/>
  <c r="BW189" i="2" s="1"/>
  <c r="CN6" i="3" l="1"/>
  <c r="CO6" i="3" s="1"/>
  <c r="CN5" i="3"/>
  <c r="CN7" i="3" s="1"/>
  <c r="BR5" i="3"/>
  <c r="BA386" i="3"/>
  <c r="BR4" i="3"/>
  <c r="BA385" i="3"/>
  <c r="BD385" i="3" l="1"/>
  <c r="BE385" i="3" s="1"/>
  <c r="BF385" i="3" s="1"/>
  <c r="BG385" i="3" s="1"/>
  <c r="CF5" i="3"/>
  <c r="BD386" i="3"/>
  <c r="BE386" i="3" s="1"/>
  <c r="BF386" i="3" s="1"/>
  <c r="BG386" i="3" s="1"/>
  <c r="CF6" i="3"/>
  <c r="BI6" i="3" l="1"/>
  <c r="BJ6" i="3" s="1"/>
  <c r="BI5" i="3"/>
  <c r="BI7" i="3" s="1"/>
</calcChain>
</file>

<file path=xl/sharedStrings.xml><?xml version="1.0" encoding="utf-8"?>
<sst xmlns="http://schemas.openxmlformats.org/spreadsheetml/2006/main" count="2861" uniqueCount="935">
  <si>
    <t>periode</t>
  </si>
  <si>
    <t>tanggal</t>
  </si>
  <si>
    <t>harga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</si>
  <si>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</si>
  <si>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</si>
  <si>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</si>
  <si>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</si>
  <si>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</si>
  <si>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</si>
  <si>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</si>
  <si>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</si>
  <si>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</si>
  <si>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</si>
  <si>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</si>
  <si>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</si>
  <si>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</si>
  <si>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</si>
  <si>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</si>
  <si>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</si>
  <si>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</si>
  <si>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</si>
  <si>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</si>
  <si>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</si>
  <si>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</si>
  <si>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</si>
  <si>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</si>
  <si>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</si>
  <si>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</si>
  <si>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</si>
  <si>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</si>
  <si>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</si>
  <si>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</si>
  <si>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</si>
  <si>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</si>
  <si>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</si>
  <si>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</si>
  <si>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</si>
  <si>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</si>
  <si>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</si>
  <si>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</si>
  <si>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</si>
  <si>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</si>
  <si>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</si>
  <si>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</si>
  <si>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</si>
  <si>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</si>
  <si>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</si>
  <si>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</si>
  <si>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</si>
  <si>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</si>
  <si>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</si>
  <si>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</si>
  <si>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</si>
  <si>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</si>
  <si>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</si>
  <si>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</si>
  <si>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</si>
  <si>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</si>
  <si>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</si>
  <si>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</si>
  <si>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</si>
  <si>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</si>
  <si>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</si>
  <si>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</si>
  <si>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</si>
  <si>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</si>
  <si>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</si>
  <si>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</si>
  <si>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</si>
  <si>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</si>
  <si>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</si>
  <si>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</si>
  <si>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</si>
  <si>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</si>
  <si>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</si>
  <si>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</si>
  <si>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</si>
  <si>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</si>
  <si>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</si>
  <si>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</si>
  <si>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</si>
  <si>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</si>
  <si>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</si>
  <si>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</si>
  <si>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</si>
  <si>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</si>
  <si>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</si>
  <si>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</si>
  <si>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</si>
  <si>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</si>
  <si>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</si>
  <si>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</si>
  <si>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</si>
  <si>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</si>
  <si>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</si>
  <si>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</si>
  <si>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</si>
  <si>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</si>
  <si>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</si>
  <si>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</si>
  <si>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</si>
  <si>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</si>
  <si>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</si>
  <si>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</si>
  <si>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</si>
  <si>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</si>
  <si>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</si>
  <si>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</si>
  <si>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</si>
  <si>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</si>
  <si>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</si>
  <si>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</si>
  <si>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</si>
  <si>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</si>
  <si>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</si>
  <si>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</si>
  <si>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</si>
  <si>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</si>
  <si>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</si>
  <si>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</si>
  <si>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</si>
  <si>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</si>
  <si>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</si>
  <si>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</si>
  <si>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</si>
  <si>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</si>
  <si>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</si>
  <si>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</si>
  <si>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</si>
  <si>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</si>
  <si>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</si>
  <si>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</si>
  <si>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</si>
  <si>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</si>
  <si>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</si>
  <si>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</si>
  <si>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</si>
  <si>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</si>
  <si>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</si>
  <si>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</si>
  <si>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</si>
  <si>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</si>
  <si>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</si>
  <si>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</si>
  <si>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</si>
  <si>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</si>
  <si>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</si>
  <si>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</si>
  <si>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</si>
  <si>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</si>
  <si>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</si>
  <si>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</si>
  <si>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</si>
  <si>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</si>
  <si>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</si>
  <si>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</si>
  <si>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</si>
  <si>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</si>
  <si>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</si>
  <si>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</si>
  <si>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</si>
  <si>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</si>
  <si>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</si>
  <si>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</si>
  <si>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</si>
  <si>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</si>
  <si>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</si>
  <si>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</si>
  <si>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</si>
  <si>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</si>
  <si>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</si>
  <si>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</si>
  <si>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</si>
  <si>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</si>
  <si>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</si>
  <si>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</si>
  <si>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</si>
  <si>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</si>
  <si>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</si>
  <si>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</si>
  <si>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</si>
  <si>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</si>
  <si>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</si>
  <si>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</si>
  <si>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</si>
  <si>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</si>
  <si>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</si>
  <si>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</si>
  <si>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</si>
  <si>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</si>
  <si>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</si>
  <si>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</si>
  <si>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</si>
  <si>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</si>
  <si>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</si>
  <si>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</si>
  <si>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</si>
  <si>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</si>
  <si>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</si>
  <si>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</si>
  <si>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</si>
  <si>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</si>
  <si>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</si>
  <si>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</si>
  <si>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</si>
  <si>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</si>
  <si>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</si>
  <si>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</si>
  <si>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</si>
  <si>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</si>
  <si>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</si>
  <si>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</si>
  <si>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</si>
  <si>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</si>
  <si>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</si>
  <si>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</si>
  <si>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</si>
  <si>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</si>
  <si>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</si>
  <si>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</si>
  <si>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</si>
  <si>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</si>
  <si>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</si>
  <si>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</si>
  <si>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</si>
  <si>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</si>
  <si>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</si>
  <si>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</si>
  <si>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</si>
  <si>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</si>
  <si>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</si>
  <si>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</si>
  <si>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</si>
  <si>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</si>
  <si>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</si>
  <si>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</si>
  <si>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</si>
  <si>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</si>
  <si>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</si>
  <si>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</si>
  <si>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</si>
  <si>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</si>
  <si>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</si>
  <si>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</si>
  <si>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</si>
  <si>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</si>
  <si>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</si>
  <si>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</si>
  <si>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</si>
  <si>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</si>
  <si>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</si>
  <si>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</si>
  <si>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</si>
  <si>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</si>
  <si>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</si>
  <si>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</si>
  <si>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</si>
  <si>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</si>
  <si>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</si>
  <si>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</si>
  <si>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</si>
  <si>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</si>
  <si>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</si>
  <si>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</si>
  <si>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</si>
  <si>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</si>
  <si>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</si>
  <si>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</si>
  <si>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</si>
  <si>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</si>
  <si>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</si>
  <si>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</si>
  <si>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</si>
  <si>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</si>
  <si>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</si>
  <si>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</si>
  <si>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</si>
  <si>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</si>
  <si>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</si>
  <si>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</si>
  <si>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</si>
  <si>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</si>
  <si>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</si>
  <si>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</si>
  <si>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</si>
  <si>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</si>
  <si>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</si>
  <si>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</si>
  <si>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</si>
  <si>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</si>
  <si>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</si>
  <si>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</si>
  <si>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</si>
  <si>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</si>
  <si>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</si>
  <si>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</si>
  <si>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</si>
  <si>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</si>
  <si>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</si>
  <si>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</si>
  <si>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</si>
  <si>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</si>
  <si>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</si>
  <si>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</si>
  <si>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</si>
  <si>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</si>
  <si>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</si>
  <si>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</si>
  <si>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</si>
  <si>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</si>
  <si>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</si>
  <si>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</si>
  <si>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</si>
  <si>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</si>
  <si>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</si>
  <si>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</si>
  <si>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</si>
  <si>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</si>
  <si>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</si>
  <si>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</si>
  <si>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</si>
  <si>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</si>
  <si>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</si>
  <si>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</si>
  <si>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</si>
  <si>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</si>
  <si>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</si>
  <si>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</si>
  <si>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</si>
  <si>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</si>
  <si>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</si>
  <si>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</si>
  <si>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</si>
  <si>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</si>
  <si>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</si>
  <si>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</si>
  <si>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</si>
  <si>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</si>
  <si>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</si>
  <si>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</si>
  <si>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</si>
  <si>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</si>
  <si>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</si>
  <si>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</si>
  <si>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</si>
  <si>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</si>
  <si>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</si>
  <si>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</si>
  <si>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</si>
  <si>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</si>
  <si>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</si>
  <si>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</si>
  <si>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</si>
  <si>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</si>
  <si>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</si>
  <si>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</si>
  <si>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</si>
  <si>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</si>
  <si>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</si>
  <si>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</si>
  <si>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</si>
  <si>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</si>
  <si>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</si>
  <si>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</si>
  <si>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</si>
  <si>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</si>
  <si>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</si>
  <si>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</si>
  <si>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</si>
  <si>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</si>
  <si>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</si>
  <si>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</si>
  <si>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</si>
  <si>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</si>
  <si>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</si>
  <si>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</si>
  <si>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</si>
  <si>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</si>
  <si>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</si>
  <si>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</si>
  <si>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</si>
  <si>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</si>
  <si>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</si>
  <si>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</si>
  <si>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</si>
  <si>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</si>
  <si>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</si>
  <si>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</si>
  <si>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</si>
  <si>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</si>
  <si>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</si>
  <si>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</si>
  <si>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</si>
  <si>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</si>
  <si>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</si>
  <si>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</si>
  <si>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</si>
  <si>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</si>
  <si>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</si>
  <si>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</si>
  <si>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</si>
  <si>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</si>
  <si>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</si>
  <si>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</si>
  <si>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</si>
  <si>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</si>
  <si>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</si>
  <si>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</si>
  <si>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</si>
  <si>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</si>
  <si>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</si>
  <si>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</si>
  <si>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</si>
  <si>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</si>
  <si>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</si>
  <si>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</si>
  <si>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</si>
  <si>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</si>
  <si>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</si>
  <si>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</si>
  <si>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</si>
  <si>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</si>
  <si>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</si>
  <si>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</si>
  <si>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</si>
  <si>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</si>
  <si>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</si>
  <si>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</si>
  <si>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Training</t>
  </si>
  <si>
    <t>Testing</t>
  </si>
  <si>
    <t>Column1</t>
  </si>
  <si>
    <t>D1</t>
  </si>
  <si>
    <t>interval dari himpunan semesta</t>
  </si>
  <si>
    <t>Hasil Fuzzyfikasi</t>
  </si>
  <si>
    <t>FLR</t>
  </si>
  <si>
    <t>FLRG</t>
  </si>
  <si>
    <t>defuzzikasi</t>
  </si>
  <si>
    <t>peramalan</t>
  </si>
  <si>
    <t>Error Training</t>
  </si>
  <si>
    <t>Mean</t>
  </si>
  <si>
    <t>D2</t>
  </si>
  <si>
    <t>ui</t>
  </si>
  <si>
    <t>interval</t>
  </si>
  <si>
    <t>Fuzzyfikasi</t>
  </si>
  <si>
    <t>Tanggal</t>
  </si>
  <si>
    <t>Harga Cabai Rawit</t>
  </si>
  <si>
    <t>Current state</t>
  </si>
  <si>
    <t>Next state</t>
  </si>
  <si>
    <t>Periode</t>
  </si>
  <si>
    <t>Harga</t>
  </si>
  <si>
    <t>m[*Ai]</t>
  </si>
  <si>
    <t>m[*Aj]</t>
  </si>
  <si>
    <t>Di</t>
  </si>
  <si>
    <t>Wi</t>
  </si>
  <si>
    <t>Wwi</t>
  </si>
  <si>
    <t>Xi</t>
  </si>
  <si>
    <t>Xxi</t>
  </si>
  <si>
    <t>Yi</t>
  </si>
  <si>
    <t>Yyi</t>
  </si>
  <si>
    <t>Zi</t>
  </si>
  <si>
    <t>Zzi</t>
  </si>
  <si>
    <t>Gi</t>
  </si>
  <si>
    <t>Ggi</t>
  </si>
  <si>
    <t>Hi</t>
  </si>
  <si>
    <t>Hhi</t>
  </si>
  <si>
    <t>Peramalan</t>
  </si>
  <si>
    <t>Error</t>
  </si>
  <si>
    <t>|error|</t>
  </si>
  <si>
    <t>|error|/Xt</t>
  </si>
  <si>
    <t>Standard Error</t>
  </si>
  <si>
    <t>U</t>
  </si>
  <si>
    <t>batas atas</t>
  </si>
  <si>
    <t>batas bawah</t>
  </si>
  <si>
    <t>A1</t>
  </si>
  <si>
    <t>&gt;</t>
  </si>
  <si>
    <t>-</t>
  </si>
  <si>
    <t>Median</t>
  </si>
  <si>
    <t>log10</t>
  </si>
  <si>
    <t>A2</t>
  </si>
  <si>
    <t>A2,A3</t>
  </si>
  <si>
    <t>sum</t>
  </si>
  <si>
    <t>Mode</t>
  </si>
  <si>
    <t>k</t>
  </si>
  <si>
    <t>A3</t>
  </si>
  <si>
    <t>A2,A3,A4</t>
  </si>
  <si>
    <t>MAPE</t>
  </si>
  <si>
    <t>Standard Deviation</t>
  </si>
  <si>
    <t>l</t>
  </si>
  <si>
    <t>A4</t>
  </si>
  <si>
    <t>A3,A4,A5</t>
  </si>
  <si>
    <t>Sample Variance</t>
  </si>
  <si>
    <t>A5</t>
  </si>
  <si>
    <t>A4,A5,A6</t>
  </si>
  <si>
    <t>Kurtosis</t>
  </si>
  <si>
    <t>interval himpunan semesta</t>
  </si>
  <si>
    <t>A6</t>
  </si>
  <si>
    <t>A5,A6,A7</t>
  </si>
  <si>
    <t>Skewness</t>
  </si>
  <si>
    <t>nilai tengah</t>
  </si>
  <si>
    <t>A7</t>
  </si>
  <si>
    <t>A6,A7,A8,A9</t>
  </si>
  <si>
    <t>Range</t>
  </si>
  <si>
    <t>A8</t>
  </si>
  <si>
    <t>A7,A8,A9,A10</t>
  </si>
  <si>
    <t>Minimum</t>
  </si>
  <si>
    <t>A9</t>
  </si>
  <si>
    <t>A8,A9,A10</t>
  </si>
  <si>
    <t>Maximum</t>
  </si>
  <si>
    <t>A10</t>
  </si>
  <si>
    <t>Sum</t>
  </si>
  <si>
    <t>Count</t>
  </si>
  <si>
    <t>Fuzzykasi</t>
  </si>
  <si>
    <t>Hasil Peramalan Data Training</t>
  </si>
  <si>
    <t>Hasil Peramalan Data Testing</t>
  </si>
  <si>
    <t>Error Testing</t>
  </si>
  <si>
    <t>aktual</t>
  </si>
  <si>
    <t>fuzzykasi</t>
  </si>
  <si>
    <t>Hail Peramalan</t>
  </si>
  <si>
    <t>state</t>
  </si>
  <si>
    <t>nilai Tengah</t>
  </si>
  <si>
    <t>point</t>
  </si>
  <si>
    <t>actual</t>
  </si>
  <si>
    <t>relative</t>
  </si>
  <si>
    <t>forecasted</t>
  </si>
  <si>
    <t>(2023,1)</t>
  </si>
  <si>
    <t>A2-x-NA</t>
  </si>
  <si>
    <t>(2023,2)</t>
  </si>
  <si>
    <t>A2&lt;--A2</t>
  </si>
  <si>
    <t>(2023,3)</t>
  </si>
  <si>
    <t>A3&lt;--A2</t>
  </si>
  <si>
    <t>(2023,4)</t>
  </si>
  <si>
    <t>A2&lt;--A3</t>
  </si>
  <si>
    <t>(2023,5)</t>
  </si>
  <si>
    <t>(2023,6)</t>
  </si>
  <si>
    <t>(2023,7)</t>
  </si>
  <si>
    <t>(2023,8)</t>
  </si>
  <si>
    <t>(2023,9)</t>
  </si>
  <si>
    <t>(2023,10)</t>
  </si>
  <si>
    <t>(2023,11)</t>
  </si>
  <si>
    <t>(2023,12)</t>
  </si>
  <si>
    <t>(2023,13)</t>
  </si>
  <si>
    <t>(2023,14)</t>
  </si>
  <si>
    <t>(2023,15)</t>
  </si>
  <si>
    <t>(2023,16)</t>
  </si>
  <si>
    <t>(2023,17)</t>
  </si>
  <si>
    <t>(2023,18)</t>
  </si>
  <si>
    <t>(2023,19)</t>
  </si>
  <si>
    <t>(2023,20)</t>
  </si>
  <si>
    <t>(2023,21)</t>
  </si>
  <si>
    <t>A3&lt;--A3</t>
  </si>
  <si>
    <t>(2023,22)</t>
  </si>
  <si>
    <t>(2023,23)</t>
  </si>
  <si>
    <t>(2023,24)</t>
  </si>
  <si>
    <t>(2023,25)</t>
  </si>
  <si>
    <t>(2023,26)</t>
  </si>
  <si>
    <t>(2023,27)</t>
  </si>
  <si>
    <t>(2023,28)</t>
  </si>
  <si>
    <t>(2023,29)</t>
  </si>
  <si>
    <t>A4&lt;--A3</t>
  </si>
  <si>
    <t>(2023,30)</t>
  </si>
  <si>
    <t>A4&lt;--A4</t>
  </si>
  <si>
    <t>(2023,31)</t>
  </si>
  <si>
    <t>(2023,32)</t>
  </si>
  <si>
    <t>(2023,33)</t>
  </si>
  <si>
    <t>(2023,34)</t>
  </si>
  <si>
    <t>(2023,35)</t>
  </si>
  <si>
    <t>(2023,36)</t>
  </si>
  <si>
    <t>A5&lt;--A4</t>
  </si>
  <si>
    <t>(2023,37)</t>
  </si>
  <si>
    <t>A5&lt;--A5</t>
  </si>
  <si>
    <t>(2023,38)</t>
  </si>
  <si>
    <t>(2023,39)</t>
  </si>
  <si>
    <t>(2023,40)</t>
  </si>
  <si>
    <t>(2023,41)</t>
  </si>
  <si>
    <t>(2023,42)</t>
  </si>
  <si>
    <t>A6&lt;--A5</t>
  </si>
  <si>
    <t>(2023,43)</t>
  </si>
  <si>
    <t>A5&lt;--A6</t>
  </si>
  <si>
    <t>(2023,44)</t>
  </si>
  <si>
    <t>(2023,45)</t>
  </si>
  <si>
    <t>(2023,46)</t>
  </si>
  <si>
    <t>(2023,47)</t>
  </si>
  <si>
    <t>(2023,48)</t>
  </si>
  <si>
    <t>(2023,49)</t>
  </si>
  <si>
    <t>(2023,50)</t>
  </si>
  <si>
    <t>(2023,51)</t>
  </si>
  <si>
    <t>(2023,52)</t>
  </si>
  <si>
    <t>(2023,53)</t>
  </si>
  <si>
    <t>(2023,54)</t>
  </si>
  <si>
    <t>(2023,55)</t>
  </si>
  <si>
    <t>(2023,56)</t>
  </si>
  <si>
    <t>A6&lt;--A6</t>
  </si>
  <si>
    <t>(2023,57)</t>
  </si>
  <si>
    <t>(2023,58)</t>
  </si>
  <si>
    <t>(2023,59)</t>
  </si>
  <si>
    <t>(2023,60)</t>
  </si>
  <si>
    <t>(2023,61)</t>
  </si>
  <si>
    <t>(2023,62)</t>
  </si>
  <si>
    <t>(2023,63)</t>
  </si>
  <si>
    <t>(2023,64)</t>
  </si>
  <si>
    <t>(2023,65)</t>
  </si>
  <si>
    <t>(2023,66)</t>
  </si>
  <si>
    <t>(2023,67)</t>
  </si>
  <si>
    <t>(2023,68)</t>
  </si>
  <si>
    <t>(2023,69)</t>
  </si>
  <si>
    <t>(2023,70)</t>
  </si>
  <si>
    <t>(2023,71)</t>
  </si>
  <si>
    <t>(2023,72)</t>
  </si>
  <si>
    <t>(2023,73)</t>
  </si>
  <si>
    <t>(2023,74)</t>
  </si>
  <si>
    <t>(2023,75)</t>
  </si>
  <si>
    <t>(2023,76)</t>
  </si>
  <si>
    <t>(2023,77)</t>
  </si>
  <si>
    <t>(2023,78)</t>
  </si>
  <si>
    <t>(2023,79)</t>
  </si>
  <si>
    <t>(2023,80)</t>
  </si>
  <si>
    <t>(2023,81)</t>
  </si>
  <si>
    <t>(2023,82)</t>
  </si>
  <si>
    <t>(2023,83)</t>
  </si>
  <si>
    <t>(2023,84)</t>
  </si>
  <si>
    <t>(2023,85)</t>
  </si>
  <si>
    <t>(2023,86)</t>
  </si>
  <si>
    <t>(2023,87)</t>
  </si>
  <si>
    <t>(2023,88)</t>
  </si>
  <si>
    <t>(2023,89)</t>
  </si>
  <si>
    <t>(2023,90)</t>
  </si>
  <si>
    <t>(2023,91)</t>
  </si>
  <si>
    <t>(2023,92)</t>
  </si>
  <si>
    <t>(2023,93)</t>
  </si>
  <si>
    <t>(2023,94)</t>
  </si>
  <si>
    <t>(2023,95)</t>
  </si>
  <si>
    <t>(2023,96)</t>
  </si>
  <si>
    <t>(2023,97)</t>
  </si>
  <si>
    <t>(2023,98)</t>
  </si>
  <si>
    <t>(2023,99)</t>
  </si>
  <si>
    <t>(2023,100)</t>
  </si>
  <si>
    <t>(2023,101)</t>
  </si>
  <si>
    <t>(2023,102)</t>
  </si>
  <si>
    <t>(2023,103)</t>
  </si>
  <si>
    <t>(2023,104)</t>
  </si>
  <si>
    <t>(2023,105)</t>
  </si>
  <si>
    <t>(2023,106)</t>
  </si>
  <si>
    <t>(2023,107)</t>
  </si>
  <si>
    <t>(2023,108)</t>
  </si>
  <si>
    <t>(2023,109)</t>
  </si>
  <si>
    <t>(2023,110)</t>
  </si>
  <si>
    <t>(2023,111)</t>
  </si>
  <si>
    <t>(2023,112)</t>
  </si>
  <si>
    <t>A4&lt;--A5</t>
  </si>
  <si>
    <t>(2023,113)</t>
  </si>
  <si>
    <t>(2023,114)</t>
  </si>
  <si>
    <t>A3&lt;--A4</t>
  </si>
  <si>
    <t>(2023,115)</t>
  </si>
  <si>
    <t>(2023,116)</t>
  </si>
  <si>
    <t>(2023,117)</t>
  </si>
  <si>
    <t>(2023,118)</t>
  </si>
  <si>
    <t>(2023,119)</t>
  </si>
  <si>
    <t>(2023,120)</t>
  </si>
  <si>
    <t>(2023,121)</t>
  </si>
  <si>
    <t>(2023,122)</t>
  </si>
  <si>
    <t>(2023,123)</t>
  </si>
  <si>
    <t>(2023,124)</t>
  </si>
  <si>
    <t>(2023,125)</t>
  </si>
  <si>
    <t>(2023,126)</t>
  </si>
  <si>
    <t>(2023,127)</t>
  </si>
  <si>
    <t>(2023,128)</t>
  </si>
  <si>
    <t>(2023,129)</t>
  </si>
  <si>
    <t>(2023,130)</t>
  </si>
  <si>
    <t>(2023,131)</t>
  </si>
  <si>
    <t>(2023,132)</t>
  </si>
  <si>
    <t>(2023,133)</t>
  </si>
  <si>
    <t>(2023,134)</t>
  </si>
  <si>
    <t>(2023,135)</t>
  </si>
  <si>
    <t>(2023,136)</t>
  </si>
  <si>
    <t>(2023,137)</t>
  </si>
  <si>
    <t>(2023,138)</t>
  </si>
  <si>
    <t>(2023,139)</t>
  </si>
  <si>
    <t>(2023,140)</t>
  </si>
  <si>
    <t>(2023,141)</t>
  </si>
  <si>
    <t>(2023,142)</t>
  </si>
  <si>
    <t>(2023,143)</t>
  </si>
  <si>
    <t>(2023,144)</t>
  </si>
  <si>
    <t>(2023,145)</t>
  </si>
  <si>
    <t>(2023,146)</t>
  </si>
  <si>
    <t>(2023,147)</t>
  </si>
  <si>
    <t>(2023,148)</t>
  </si>
  <si>
    <t>(2023,149)</t>
  </si>
  <si>
    <t>(2023,150)</t>
  </si>
  <si>
    <t>(2023,151)</t>
  </si>
  <si>
    <t>(2023,152)</t>
  </si>
  <si>
    <t>(2023,153)</t>
  </si>
  <si>
    <t>(2023,154)</t>
  </si>
  <si>
    <t>(2023,155)</t>
  </si>
  <si>
    <t>(2023,156)</t>
  </si>
  <si>
    <t>(2023,157)</t>
  </si>
  <si>
    <t>(2023,158)</t>
  </si>
  <si>
    <t>(2023,159)</t>
  </si>
  <si>
    <t>(2023,160)</t>
  </si>
  <si>
    <t>(2023,161)</t>
  </si>
  <si>
    <t>(2023,162)</t>
  </si>
  <si>
    <t>(2023,163)</t>
  </si>
  <si>
    <t>(2023,164)</t>
  </si>
  <si>
    <t>(2023,165)</t>
  </si>
  <si>
    <t>(2023,166)</t>
  </si>
  <si>
    <t>A7&lt;--A6</t>
  </si>
  <si>
    <t>(2023,167)</t>
  </si>
  <si>
    <t>A7&lt;--A7</t>
  </si>
  <si>
    <t>(2023,168)</t>
  </si>
  <si>
    <t>(2023,169)</t>
  </si>
  <si>
    <t>(2023,170)</t>
  </si>
  <si>
    <t>(2023,171)</t>
  </si>
  <si>
    <t>(2023,172)</t>
  </si>
  <si>
    <t>A8&lt;--A7</t>
  </si>
  <si>
    <t>(2023,173)</t>
  </si>
  <si>
    <t>A8&lt;--A8</t>
  </si>
  <si>
    <t>(2023,174)</t>
  </si>
  <si>
    <t>A9&lt;--A8</t>
  </si>
  <si>
    <t>(2023,175)</t>
  </si>
  <si>
    <t>A9&lt;--A9</t>
  </si>
  <si>
    <t>(2023,176)</t>
  </si>
  <si>
    <t>(2023,177)</t>
  </si>
  <si>
    <t>A10&lt;--A9</t>
  </si>
  <si>
    <t>(2023,178)</t>
  </si>
  <si>
    <t>A9&lt;--A10</t>
  </si>
  <si>
    <t>(2023,179)</t>
  </si>
  <si>
    <t>(2023,180)</t>
  </si>
  <si>
    <t>(2023,181)</t>
  </si>
  <si>
    <t>(2023,182)</t>
  </si>
  <si>
    <t>(2023,183)</t>
  </si>
  <si>
    <t>(2023,184)</t>
  </si>
  <si>
    <t>(2023,185)</t>
  </si>
  <si>
    <t>(2023,186)</t>
  </si>
  <si>
    <t>(2023,187)</t>
  </si>
  <si>
    <t>(2023,188)</t>
  </si>
  <si>
    <t>(2023,189)</t>
  </si>
  <si>
    <t>(2023,190)</t>
  </si>
  <si>
    <t>(2023,191)</t>
  </si>
  <si>
    <t>(2023,192)</t>
  </si>
  <si>
    <t>(2023,193)</t>
  </si>
  <si>
    <t>(2023,194)</t>
  </si>
  <si>
    <t>(2023,195)</t>
  </si>
  <si>
    <t>A8&lt;--A9</t>
  </si>
  <si>
    <t>(2023,196)</t>
  </si>
  <si>
    <t>A10&lt;--A8</t>
  </si>
  <si>
    <t>(2023,197)</t>
  </si>
  <si>
    <t>(2023,198)</t>
  </si>
  <si>
    <t>(2023,199)</t>
  </si>
  <si>
    <t>A10&lt;--A10</t>
  </si>
  <si>
    <t>(2023,200)</t>
  </si>
  <si>
    <t>(2023,201)</t>
  </si>
  <si>
    <t>(2023,202)</t>
  </si>
  <si>
    <t>(2023,203)</t>
  </si>
  <si>
    <t>(2023,204)</t>
  </si>
  <si>
    <t>(2023,205)</t>
  </si>
  <si>
    <t>(2023,206)</t>
  </si>
  <si>
    <t>(2023,207)</t>
  </si>
  <si>
    <t>(2023,208)</t>
  </si>
  <si>
    <t>(2023,209)</t>
  </si>
  <si>
    <t>(2023,210)</t>
  </si>
  <si>
    <t>(2023,211)</t>
  </si>
  <si>
    <t>(2023,212)</t>
  </si>
  <si>
    <t>(2023,213)</t>
  </si>
  <si>
    <t>(2023,214)</t>
  </si>
  <si>
    <t>(2023,215)</t>
  </si>
  <si>
    <t>(2023,216)</t>
  </si>
  <si>
    <t>(2023,217)</t>
  </si>
  <si>
    <t>(2023,218)</t>
  </si>
  <si>
    <t>(2023,219)</t>
  </si>
  <si>
    <t>(2023,220)</t>
  </si>
  <si>
    <t>(2023,221)</t>
  </si>
  <si>
    <t>(2023,222)</t>
  </si>
  <si>
    <t>(2023,223)</t>
  </si>
  <si>
    <t>(2023,224)</t>
  </si>
  <si>
    <t>(2023,225)</t>
  </si>
  <si>
    <t>A8&lt;--A10</t>
  </si>
  <si>
    <t>(2023,226)</t>
  </si>
  <si>
    <t>(2023,227)</t>
  </si>
  <si>
    <t>(2023,228)</t>
  </si>
  <si>
    <t>(2023,229)</t>
  </si>
  <si>
    <t>(2023,230)</t>
  </si>
  <si>
    <t>(2023,231)</t>
  </si>
  <si>
    <t>(2023,232)</t>
  </si>
  <si>
    <t>A7&lt;--A8</t>
  </si>
  <si>
    <t>(2023,233)</t>
  </si>
  <si>
    <t>(2023,234)</t>
  </si>
  <si>
    <t>(2023,235)</t>
  </si>
  <si>
    <t>(2023,236)</t>
  </si>
  <si>
    <t>(2023,237)</t>
  </si>
  <si>
    <t>(2023,238)</t>
  </si>
  <si>
    <t>(2023,239)</t>
  </si>
  <si>
    <t>(2023,240)</t>
  </si>
  <si>
    <t>(2023,241)</t>
  </si>
  <si>
    <t>(2023,242)</t>
  </si>
  <si>
    <t>(2023,243)</t>
  </si>
  <si>
    <t>(2023,244)</t>
  </si>
  <si>
    <t>A6&lt;--A7</t>
  </si>
  <si>
    <t>(2023,245)</t>
  </si>
  <si>
    <t>(2023,246)</t>
  </si>
  <si>
    <t>(2023,247)</t>
  </si>
  <si>
    <t>(2023,248)</t>
  </si>
  <si>
    <t>(2023,249)</t>
  </si>
  <si>
    <t>(2023,250)</t>
  </si>
  <si>
    <t>(2023,251)</t>
  </si>
  <si>
    <t>(2023,252)</t>
  </si>
  <si>
    <t>(2023,253)</t>
  </si>
  <si>
    <t>(2023,254)</t>
  </si>
  <si>
    <t>(2023,255)</t>
  </si>
  <si>
    <t>(2023,256)</t>
  </si>
  <si>
    <t>(2023,257)</t>
  </si>
  <si>
    <t>(2023,258)</t>
  </si>
  <si>
    <t>(2023,259)</t>
  </si>
  <si>
    <t>(2023,260)</t>
  </si>
  <si>
    <t>(2023,261)</t>
  </si>
  <si>
    <t>(2023,262)</t>
  </si>
  <si>
    <t>(2023,263)</t>
  </si>
  <si>
    <t>(2023,264)</t>
  </si>
  <si>
    <t>(2023,265)</t>
  </si>
  <si>
    <t>(2023,266)</t>
  </si>
  <si>
    <t>(2023,267)</t>
  </si>
  <si>
    <t>(2023,268)</t>
  </si>
  <si>
    <t>(2023,269)</t>
  </si>
  <si>
    <t>(2023,270)</t>
  </si>
  <si>
    <t>(2023,271)</t>
  </si>
  <si>
    <t>(2023,272)</t>
  </si>
  <si>
    <t>(2023,273)</t>
  </si>
  <si>
    <t>(2023,274)</t>
  </si>
  <si>
    <t>(2023,275)</t>
  </si>
  <si>
    <t>(2023,276)</t>
  </si>
  <si>
    <t>(2023,277)</t>
  </si>
  <si>
    <t>(2023,278)</t>
  </si>
  <si>
    <t>(2023,279)</t>
  </si>
  <si>
    <t>(2023,280)</t>
  </si>
  <si>
    <t>(2023,281)</t>
  </si>
  <si>
    <t>(2023,282)</t>
  </si>
  <si>
    <t>(2023,283)</t>
  </si>
  <si>
    <t>(2023,284)</t>
  </si>
  <si>
    <t>(2023,285)</t>
  </si>
  <si>
    <t>(2023,286)</t>
  </si>
  <si>
    <t>(2023,287)</t>
  </si>
  <si>
    <t>(2023,288)</t>
  </si>
  <si>
    <t>(2023,289)</t>
  </si>
  <si>
    <t>(2023,290)</t>
  </si>
  <si>
    <t>(2023,291)</t>
  </si>
  <si>
    <t>(2023,292)</t>
  </si>
  <si>
    <t>(2023,293)</t>
  </si>
  <si>
    <t>(2023,294)</t>
  </si>
  <si>
    <t>(2023,295)</t>
  </si>
  <si>
    <t>(2023,296)</t>
  </si>
  <si>
    <t>(2023,297)</t>
  </si>
  <si>
    <t>(2023,298)</t>
  </si>
  <si>
    <t>(2023,299)</t>
  </si>
  <si>
    <t>(2023,300)</t>
  </si>
  <si>
    <t>(2023,301)</t>
  </si>
  <si>
    <t>(2023,302)</t>
  </si>
  <si>
    <t>(2023,303)</t>
  </si>
  <si>
    <t>(2023,304)</t>
  </si>
  <si>
    <t>(2023,305)</t>
  </si>
  <si>
    <t>(2023,306)</t>
  </si>
  <si>
    <t>(2023,307)</t>
  </si>
  <si>
    <t>(2023,308)</t>
  </si>
  <si>
    <t>(2023,309)</t>
  </si>
  <si>
    <t>(2023,310)</t>
  </si>
  <si>
    <t>(2023,311)</t>
  </si>
  <si>
    <t>(2023,312)</t>
  </si>
  <si>
    <t>(2023,313)</t>
  </si>
  <si>
    <t>(2023,314)</t>
  </si>
  <si>
    <t>(2023,315)</t>
  </si>
  <si>
    <t>(2023,316)</t>
  </si>
  <si>
    <t>(2023,317)</t>
  </si>
  <si>
    <t>(2023,318)</t>
  </si>
  <si>
    <t>(2023,319)</t>
  </si>
  <si>
    <t>(2023,320)</t>
  </si>
  <si>
    <t>(2023,321)</t>
  </si>
  <si>
    <t>(2023,322)</t>
  </si>
  <si>
    <t>(2023,323)</t>
  </si>
  <si>
    <t>(2023,324)</t>
  </si>
  <si>
    <t>(2023,325)</t>
  </si>
  <si>
    <t>(2023,326)</t>
  </si>
  <si>
    <t>(2023,327)</t>
  </si>
  <si>
    <t>(2023,328)</t>
  </si>
  <si>
    <t>(2023,329)</t>
  </si>
  <si>
    <t>(2023,330)</t>
  </si>
  <si>
    <t>(2023,331)</t>
  </si>
  <si>
    <t>(2023,332)</t>
  </si>
  <si>
    <t>(2023,333)</t>
  </si>
  <si>
    <t>(2023,334)</t>
  </si>
  <si>
    <t>(2023,335)</t>
  </si>
  <si>
    <t>(2023,336)</t>
  </si>
  <si>
    <t>(2023,337)</t>
  </si>
  <si>
    <t>(2023,338)</t>
  </si>
  <si>
    <t>(2023,339)</t>
  </si>
  <si>
    <t>(2023,340)</t>
  </si>
  <si>
    <t>(2023,341)</t>
  </si>
  <si>
    <t>(2023,342)</t>
  </si>
  <si>
    <t>(2023,343)</t>
  </si>
  <si>
    <t>(2023,344)</t>
  </si>
  <si>
    <t>(2023,345)</t>
  </si>
  <si>
    <t>(2023,346)</t>
  </si>
  <si>
    <t>(2023,347)</t>
  </si>
  <si>
    <t>(2023,348)</t>
  </si>
  <si>
    <t>(2023,349)</t>
  </si>
  <si>
    <t>(2023,350)</t>
  </si>
  <si>
    <t>(2023,351)</t>
  </si>
  <si>
    <t>(2023,352)</t>
  </si>
  <si>
    <t>(2023,353)</t>
  </si>
  <si>
    <t>(2023,354)</t>
  </si>
  <si>
    <t>(2023,355)</t>
  </si>
  <si>
    <t>(2023,356)</t>
  </si>
  <si>
    <t>(2023,357)</t>
  </si>
  <si>
    <t>(2023,358)</t>
  </si>
  <si>
    <t>(2023,359)</t>
  </si>
  <si>
    <t>(2023,360)</t>
  </si>
  <si>
    <t>(2023,361)</t>
  </si>
  <si>
    <t>(2023,362)</t>
  </si>
  <si>
    <t>(2023,363)</t>
  </si>
  <si>
    <t>(2023,364)</t>
  </si>
  <si>
    <t>(2023,365)</t>
  </si>
  <si>
    <t>(2024,1)</t>
  </si>
  <si>
    <t>(2024,2)</t>
  </si>
  <si>
    <t>(2024,3)</t>
  </si>
  <si>
    <t>(2024,4)</t>
  </si>
  <si>
    <t>(2024,5)</t>
  </si>
  <si>
    <t>(2024,6)</t>
  </si>
  <si>
    <t>(2024,7)</t>
  </si>
  <si>
    <t>(2024,8)</t>
  </si>
  <si>
    <t>(2024,9)</t>
  </si>
  <si>
    <t>(2024,10)</t>
  </si>
  <si>
    <t>(2024,11)</t>
  </si>
  <si>
    <t>(2024,12)</t>
  </si>
  <si>
    <t>(2024,13)</t>
  </si>
  <si>
    <t>(2024,14)</t>
  </si>
  <si>
    <t>(2024,15)</t>
  </si>
  <si>
    <t>(2024,16)</t>
  </si>
  <si>
    <t>(2024,17)</t>
  </si>
  <si>
    <t>(2024,18)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</si>
</sst>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i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lef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0" fontId="5" fillId="0" borderId="0" xfId="0" applyFont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7" borderId="0" xfId="0" applyFill="1"/>
    <xf numFmtId="0" fontId="0" fillId="7" borderId="0" xfId="0" applyFill="1" applyAlignment="1">
      <alignment horizontal="left"/>
    </xf>
    <xf numFmtId="0" fontId="0" fillId="4" borderId="0" xfId="0" applyFill="1"/>
    <xf numFmtId="0" fontId="0" fillId="8" borderId="0" xfId="0" applyFill="1" applyAlignment="1">
      <alignment horizontal="center" vertical="center"/>
    </xf>
    <xf numFmtId="0" fontId="0" fillId="0" borderId="2" xfId="0" applyBorder="1"/>
    <xf numFmtId="1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top" wrapText="1"/>
    </xf>
    <xf numFmtId="165" fontId="0" fillId="0" borderId="0" xfId="0" applyNumberFormat="1" applyAlignment="1">
      <alignment horizontal="center"/>
    </xf>
    <xf numFmtId="17" fontId="2" fillId="0" borderId="0" xfId="0" applyNumberFormat="1" applyFont="1"/>
    <xf numFmtId="1" fontId="2" fillId="0" borderId="0" xfId="0" applyNumberFormat="1" applyFont="1"/>
    <xf numFmtId="0" fontId="0" fillId="10" borderId="0" xfId="0" applyFill="1"/>
    <xf numFmtId="165" fontId="1" fillId="0" borderId="0" xfId="0" applyNumberFormat="1" applyFont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879E-CE39-44C0-80E4-5862E34FF4C9}">
  <dimension ref="A1:L426"/>
  <sheetViews>
    <sheetView workbookViewId="0">
      <selection activeCell="F1" sqref="F1:L1048576"/>
    </sheetView>
  </sheetViews>
  <sheetFormatPr defaultRowHeight="15"/>
  <cols>
    <col min="2" max="2" width="13" customWidth="1"/>
    <col min="11" max="11" width="10.28515625" customWidth="1"/>
  </cols>
  <sheetData>
    <row r="1" spans="1:12">
      <c r="A1" t="s">
        <v>0</v>
      </c>
      <c r="B1" s="1" t="s">
        <v>1</v>
      </c>
      <c r="C1" s="1" t="s">
        <v>2</v>
      </c>
      <c r="G1" s="2" t="s">
        <v>428</v>
      </c>
      <c r="H1" s="2"/>
      <c r="K1" s="2" t="s">
        <v>429</v>
      </c>
      <c r="L1" s="2"/>
    </row>
    <row r="2" spans="1:12">
      <c r="A2">
        <v>1</v>
      </c>
      <c r="B2" s="1" t="s">
        <v>3</v>
      </c>
      <c r="C2" s="1">
        <v>51720</v>
      </c>
      <c r="G2" s="1" t="s">
        <v>1</v>
      </c>
      <c r="H2" s="1" t="s">
        <v>2</v>
      </c>
      <c r="K2" s="1" t="s">
        <v>1</v>
      </c>
      <c r="L2" s="1" t="s">
        <v>2</v>
      </c>
    </row>
    <row r="3" spans="1:12">
      <c r="A3">
        <v>2</v>
      </c>
      <c r="B3" s="1" t="s">
        <v>4</v>
      </c>
      <c r="C3" s="1">
        <v>51660</v>
      </c>
      <c r="F3">
        <v>1</v>
      </c>
      <c r="G3" s="1" t="s">
        <v>3</v>
      </c>
      <c r="H3" s="1">
        <v>51720</v>
      </c>
      <c r="J3">
        <v>1</v>
      </c>
      <c r="K3" s="1" t="s">
        <v>386</v>
      </c>
      <c r="L3" s="1">
        <v>69390</v>
      </c>
    </row>
    <row r="4" spans="1:12">
      <c r="A4">
        <v>3</v>
      </c>
      <c r="B4" s="1" t="s">
        <v>5</v>
      </c>
      <c r="C4" s="1">
        <v>54390</v>
      </c>
      <c r="F4">
        <v>2</v>
      </c>
      <c r="G4" s="1" t="s">
        <v>4</v>
      </c>
      <c r="H4" s="1">
        <v>51660</v>
      </c>
      <c r="J4">
        <v>2</v>
      </c>
      <c r="K4" s="1" t="s">
        <v>387</v>
      </c>
      <c r="L4" s="1">
        <v>69790</v>
      </c>
    </row>
    <row r="5" spans="1:12">
      <c r="A5">
        <v>4</v>
      </c>
      <c r="B5" s="1" t="s">
        <v>6</v>
      </c>
      <c r="C5" s="1">
        <v>50560</v>
      </c>
      <c r="F5">
        <v>3</v>
      </c>
      <c r="G5" s="1" t="s">
        <v>5</v>
      </c>
      <c r="H5" s="1">
        <v>54390</v>
      </c>
      <c r="J5">
        <v>3</v>
      </c>
      <c r="K5" s="1" t="s">
        <v>388</v>
      </c>
      <c r="L5" s="1">
        <v>71770</v>
      </c>
    </row>
    <row r="6" spans="1:12">
      <c r="A6">
        <v>5</v>
      </c>
      <c r="B6" s="1" t="s">
        <v>7</v>
      </c>
      <c r="C6" s="1">
        <v>50750</v>
      </c>
      <c r="F6">
        <v>4</v>
      </c>
      <c r="G6" s="1" t="s">
        <v>6</v>
      </c>
      <c r="H6" s="1">
        <v>50560</v>
      </c>
      <c r="J6">
        <v>4</v>
      </c>
      <c r="K6" s="1" t="s">
        <v>389</v>
      </c>
      <c r="L6" s="1">
        <v>71440</v>
      </c>
    </row>
    <row r="7" spans="1:12">
      <c r="A7">
        <v>6</v>
      </c>
      <c r="B7" s="1" t="s">
        <v>8</v>
      </c>
      <c r="C7" s="1">
        <v>50410</v>
      </c>
      <c r="F7">
        <v>5</v>
      </c>
      <c r="G7" s="1" t="s">
        <v>7</v>
      </c>
      <c r="H7" s="1">
        <v>50750</v>
      </c>
      <c r="J7">
        <v>5</v>
      </c>
      <c r="K7" s="1" t="s">
        <v>390</v>
      </c>
      <c r="L7" s="1">
        <v>70770</v>
      </c>
    </row>
    <row r="8" spans="1:12">
      <c r="A8">
        <v>7</v>
      </c>
      <c r="B8" s="1" t="s">
        <v>9</v>
      </c>
      <c r="C8" s="1">
        <v>50690</v>
      </c>
      <c r="F8">
        <v>6</v>
      </c>
      <c r="G8" s="1" t="s">
        <v>8</v>
      </c>
      <c r="H8" s="1">
        <v>50410</v>
      </c>
      <c r="J8">
        <v>6</v>
      </c>
      <c r="K8" s="1" t="s">
        <v>391</v>
      </c>
      <c r="L8" s="1">
        <v>70620</v>
      </c>
    </row>
    <row r="9" spans="1:12">
      <c r="A9">
        <v>8</v>
      </c>
      <c r="B9" s="1" t="s">
        <v>10</v>
      </c>
      <c r="C9" s="1">
        <v>50820</v>
      </c>
      <c r="F9">
        <v>7</v>
      </c>
      <c r="G9" s="1" t="s">
        <v>9</v>
      </c>
      <c r="H9" s="1">
        <v>50690</v>
      </c>
      <c r="J9">
        <v>7</v>
      </c>
      <c r="K9" s="1" t="s">
        <v>392</v>
      </c>
      <c r="L9" s="1">
        <v>70810</v>
      </c>
    </row>
    <row r="10" spans="1:12">
      <c r="A10">
        <v>9</v>
      </c>
      <c r="B10" s="1" t="s">
        <v>11</v>
      </c>
      <c r="C10" s="1">
        <v>51070</v>
      </c>
      <c r="F10">
        <v>8</v>
      </c>
      <c r="G10" s="1" t="s">
        <v>10</v>
      </c>
      <c r="H10" s="1">
        <v>50820</v>
      </c>
      <c r="J10">
        <v>8</v>
      </c>
      <c r="K10" s="1" t="s">
        <v>393</v>
      </c>
      <c r="L10" s="1">
        <v>70310</v>
      </c>
    </row>
    <row r="11" spans="1:12">
      <c r="A11">
        <v>10</v>
      </c>
      <c r="B11" s="1" t="s">
        <v>12</v>
      </c>
      <c r="C11" s="1">
        <v>50630</v>
      </c>
      <c r="F11">
        <v>9</v>
      </c>
      <c r="G11" s="1" t="s">
        <v>11</v>
      </c>
      <c r="H11" s="1">
        <v>51070</v>
      </c>
      <c r="J11">
        <v>9</v>
      </c>
      <c r="K11" s="1" t="s">
        <v>394</v>
      </c>
      <c r="L11" s="1">
        <v>68150</v>
      </c>
    </row>
    <row r="12" spans="1:12">
      <c r="A12">
        <v>11</v>
      </c>
      <c r="B12" s="1" t="s">
        <v>13</v>
      </c>
      <c r="C12" s="1">
        <v>49290</v>
      </c>
      <c r="F12">
        <v>10</v>
      </c>
      <c r="G12" s="1" t="s">
        <v>12</v>
      </c>
      <c r="H12" s="1">
        <v>50630</v>
      </c>
      <c r="J12">
        <v>10</v>
      </c>
      <c r="K12" s="1" t="s">
        <v>395</v>
      </c>
      <c r="L12" s="1">
        <v>68870</v>
      </c>
    </row>
    <row r="13" spans="1:12">
      <c r="A13">
        <v>12</v>
      </c>
      <c r="B13" s="1" t="s">
        <v>14</v>
      </c>
      <c r="C13" s="1">
        <v>49820</v>
      </c>
      <c r="F13">
        <v>11</v>
      </c>
      <c r="G13" s="1" t="s">
        <v>13</v>
      </c>
      <c r="H13" s="1">
        <v>49290</v>
      </c>
      <c r="J13">
        <v>11</v>
      </c>
      <c r="K13" s="1" t="s">
        <v>396</v>
      </c>
      <c r="L13" s="1">
        <v>66110</v>
      </c>
    </row>
    <row r="14" spans="1:12">
      <c r="A14">
        <v>13</v>
      </c>
      <c r="B14" s="1" t="s">
        <v>15</v>
      </c>
      <c r="C14" s="1">
        <v>50520</v>
      </c>
      <c r="F14">
        <v>12</v>
      </c>
      <c r="G14" s="1" t="s">
        <v>14</v>
      </c>
      <c r="H14" s="1">
        <v>49820</v>
      </c>
      <c r="J14">
        <v>12</v>
      </c>
      <c r="K14" s="1" t="s">
        <v>397</v>
      </c>
      <c r="L14" s="1">
        <v>66770</v>
      </c>
    </row>
    <row r="15" spans="1:12">
      <c r="A15">
        <v>14</v>
      </c>
      <c r="B15" s="1" t="s">
        <v>16</v>
      </c>
      <c r="C15" s="1">
        <v>49640</v>
      </c>
      <c r="F15">
        <v>13</v>
      </c>
      <c r="G15" s="1" t="s">
        <v>15</v>
      </c>
      <c r="H15" s="1">
        <v>50520</v>
      </c>
      <c r="J15">
        <v>13</v>
      </c>
      <c r="K15" s="1" t="s">
        <v>398</v>
      </c>
      <c r="L15" s="1">
        <v>66030</v>
      </c>
    </row>
    <row r="16" spans="1:12">
      <c r="A16">
        <v>15</v>
      </c>
      <c r="B16" s="1" t="s">
        <v>17</v>
      </c>
      <c r="C16" s="1">
        <v>49200</v>
      </c>
      <c r="F16">
        <v>14</v>
      </c>
      <c r="G16" s="1" t="s">
        <v>16</v>
      </c>
      <c r="H16" s="1">
        <v>49640</v>
      </c>
      <c r="J16">
        <v>14</v>
      </c>
      <c r="K16" s="1" t="s">
        <v>399</v>
      </c>
      <c r="L16" s="1">
        <v>65680</v>
      </c>
    </row>
    <row r="17" spans="1:12">
      <c r="A17">
        <v>16</v>
      </c>
      <c r="B17" s="1" t="s">
        <v>18</v>
      </c>
      <c r="C17" s="1">
        <v>50650</v>
      </c>
      <c r="F17">
        <v>15</v>
      </c>
      <c r="G17" s="1" t="s">
        <v>17</v>
      </c>
      <c r="H17" s="1">
        <v>49200</v>
      </c>
      <c r="J17">
        <v>15</v>
      </c>
      <c r="K17" s="1" t="s">
        <v>400</v>
      </c>
      <c r="L17" s="1">
        <v>65600</v>
      </c>
    </row>
    <row r="18" spans="1:12">
      <c r="A18">
        <v>17</v>
      </c>
      <c r="B18" s="1" t="s">
        <v>19</v>
      </c>
      <c r="C18" s="1">
        <v>49980</v>
      </c>
      <c r="F18">
        <v>16</v>
      </c>
      <c r="G18" s="1" t="s">
        <v>18</v>
      </c>
      <c r="H18" s="1">
        <v>50650</v>
      </c>
      <c r="J18">
        <v>16</v>
      </c>
      <c r="K18" s="1" t="s">
        <v>401</v>
      </c>
      <c r="L18" s="1">
        <v>64360</v>
      </c>
    </row>
    <row r="19" spans="1:12">
      <c r="A19">
        <v>18</v>
      </c>
      <c r="B19" s="1" t="s">
        <v>20</v>
      </c>
      <c r="C19" s="1">
        <v>52830</v>
      </c>
      <c r="F19">
        <v>17</v>
      </c>
      <c r="G19" s="1" t="s">
        <v>19</v>
      </c>
      <c r="H19" s="1">
        <v>49980</v>
      </c>
      <c r="J19">
        <v>17</v>
      </c>
      <c r="K19" s="1" t="s">
        <v>402</v>
      </c>
      <c r="L19" s="1">
        <v>64630</v>
      </c>
    </row>
    <row r="20" spans="1:12">
      <c r="A20">
        <v>19</v>
      </c>
      <c r="B20" s="1" t="s">
        <v>21</v>
      </c>
      <c r="C20" s="1">
        <v>50560</v>
      </c>
      <c r="F20">
        <v>18</v>
      </c>
      <c r="G20" s="1" t="s">
        <v>20</v>
      </c>
      <c r="H20" s="1">
        <v>52830</v>
      </c>
      <c r="J20">
        <v>18</v>
      </c>
      <c r="K20" s="1" t="s">
        <v>403</v>
      </c>
      <c r="L20" s="1">
        <v>64260</v>
      </c>
    </row>
    <row r="21" spans="1:12">
      <c r="A21">
        <v>20</v>
      </c>
      <c r="B21" s="1" t="s">
        <v>22</v>
      </c>
      <c r="C21" s="1">
        <v>53130</v>
      </c>
      <c r="F21">
        <v>19</v>
      </c>
      <c r="G21" s="1" t="s">
        <v>21</v>
      </c>
      <c r="H21" s="1">
        <v>50560</v>
      </c>
      <c r="J21">
        <v>19</v>
      </c>
      <c r="K21" s="1" t="s">
        <v>404</v>
      </c>
      <c r="L21" s="1">
        <v>63710</v>
      </c>
    </row>
    <row r="22" spans="1:12">
      <c r="A22">
        <v>21</v>
      </c>
      <c r="B22" s="1" t="s">
        <v>23</v>
      </c>
      <c r="C22" s="1">
        <v>53580</v>
      </c>
      <c r="F22">
        <v>20</v>
      </c>
      <c r="G22" s="1" t="s">
        <v>22</v>
      </c>
      <c r="H22" s="1">
        <v>53130</v>
      </c>
      <c r="J22">
        <v>20</v>
      </c>
      <c r="K22" s="1" t="s">
        <v>405</v>
      </c>
      <c r="L22" s="1">
        <v>63010</v>
      </c>
    </row>
    <row r="23" spans="1:12">
      <c r="A23">
        <v>22</v>
      </c>
      <c r="B23" s="1" t="s">
        <v>24</v>
      </c>
      <c r="C23" s="1">
        <v>55150</v>
      </c>
      <c r="F23">
        <v>21</v>
      </c>
      <c r="G23" s="1" t="s">
        <v>23</v>
      </c>
      <c r="H23" s="1">
        <v>53580</v>
      </c>
      <c r="J23">
        <v>21</v>
      </c>
      <c r="K23" s="1" t="s">
        <v>406</v>
      </c>
      <c r="L23" s="1">
        <v>61350</v>
      </c>
    </row>
    <row r="24" spans="1:12">
      <c r="A24">
        <v>23</v>
      </c>
      <c r="B24" s="1" t="s">
        <v>25</v>
      </c>
      <c r="C24" s="1">
        <v>56540</v>
      </c>
      <c r="F24">
        <v>22</v>
      </c>
      <c r="G24" s="1" t="s">
        <v>24</v>
      </c>
      <c r="H24" s="1">
        <v>55150</v>
      </c>
      <c r="J24">
        <v>22</v>
      </c>
      <c r="K24" s="1" t="s">
        <v>407</v>
      </c>
      <c r="L24" s="1">
        <v>60640</v>
      </c>
    </row>
    <row r="25" spans="1:12">
      <c r="A25">
        <v>24</v>
      </c>
      <c r="B25" s="1" t="s">
        <v>26</v>
      </c>
      <c r="C25" s="1">
        <v>55860</v>
      </c>
      <c r="F25">
        <v>23</v>
      </c>
      <c r="G25" s="1" t="s">
        <v>25</v>
      </c>
      <c r="H25" s="1">
        <v>56540</v>
      </c>
      <c r="J25">
        <v>23</v>
      </c>
      <c r="K25" s="1" t="s">
        <v>408</v>
      </c>
      <c r="L25" s="1">
        <v>60690</v>
      </c>
    </row>
    <row r="26" spans="1:12">
      <c r="A26">
        <v>25</v>
      </c>
      <c r="B26" s="1" t="s">
        <v>27</v>
      </c>
      <c r="C26" s="1">
        <v>57090</v>
      </c>
      <c r="F26">
        <v>24</v>
      </c>
      <c r="G26" s="1" t="s">
        <v>26</v>
      </c>
      <c r="H26" s="1">
        <v>55860</v>
      </c>
      <c r="J26">
        <v>24</v>
      </c>
      <c r="K26" s="1" t="s">
        <v>409</v>
      </c>
      <c r="L26" s="1">
        <v>61940</v>
      </c>
    </row>
    <row r="27" spans="1:12">
      <c r="A27">
        <v>26</v>
      </c>
      <c r="B27" s="1" t="s">
        <v>28</v>
      </c>
      <c r="C27" s="1">
        <v>57520</v>
      </c>
      <c r="F27">
        <v>25</v>
      </c>
      <c r="G27" s="1" t="s">
        <v>27</v>
      </c>
      <c r="H27" s="1">
        <v>57090</v>
      </c>
      <c r="J27">
        <v>25</v>
      </c>
      <c r="K27" s="1" t="s">
        <v>410</v>
      </c>
      <c r="L27" s="1">
        <v>58410</v>
      </c>
    </row>
    <row r="28" spans="1:12">
      <c r="A28">
        <v>27</v>
      </c>
      <c r="B28" s="1" t="s">
        <v>29</v>
      </c>
      <c r="C28" s="1">
        <v>57180</v>
      </c>
      <c r="F28">
        <v>26</v>
      </c>
      <c r="G28" s="1" t="s">
        <v>28</v>
      </c>
      <c r="H28" s="1">
        <v>57520</v>
      </c>
      <c r="J28">
        <v>26</v>
      </c>
      <c r="K28" s="1" t="s">
        <v>411</v>
      </c>
      <c r="L28" s="1">
        <v>58400</v>
      </c>
    </row>
    <row r="29" spans="1:12">
      <c r="A29">
        <v>28</v>
      </c>
      <c r="B29" s="1" t="s">
        <v>30</v>
      </c>
      <c r="C29" s="1">
        <v>56610</v>
      </c>
      <c r="F29">
        <v>27</v>
      </c>
      <c r="G29" s="1" t="s">
        <v>29</v>
      </c>
      <c r="H29" s="1">
        <v>57180</v>
      </c>
      <c r="J29">
        <v>27</v>
      </c>
      <c r="K29" s="1" t="s">
        <v>412</v>
      </c>
      <c r="L29" s="1">
        <v>57730</v>
      </c>
    </row>
    <row r="30" spans="1:12">
      <c r="A30">
        <v>29</v>
      </c>
      <c r="B30" s="1" t="s">
        <v>31</v>
      </c>
      <c r="C30" s="1">
        <v>59040</v>
      </c>
      <c r="F30">
        <v>28</v>
      </c>
      <c r="G30" s="1" t="s">
        <v>30</v>
      </c>
      <c r="H30" s="1">
        <v>56610</v>
      </c>
      <c r="J30">
        <v>28</v>
      </c>
      <c r="K30" s="1" t="s">
        <v>413</v>
      </c>
      <c r="L30" s="1">
        <v>56490</v>
      </c>
    </row>
    <row r="31" spans="1:12">
      <c r="A31">
        <v>30</v>
      </c>
      <c r="B31" s="1" t="s">
        <v>32</v>
      </c>
      <c r="C31" s="1">
        <v>60850</v>
      </c>
      <c r="F31">
        <v>29</v>
      </c>
      <c r="G31" s="1" t="s">
        <v>31</v>
      </c>
      <c r="H31" s="1">
        <v>59040</v>
      </c>
      <c r="J31">
        <v>29</v>
      </c>
      <c r="K31" s="1" t="s">
        <v>414</v>
      </c>
      <c r="L31" s="1">
        <v>54650</v>
      </c>
    </row>
    <row r="32" spans="1:12">
      <c r="A32">
        <v>31</v>
      </c>
      <c r="B32" s="1" t="s">
        <v>33</v>
      </c>
      <c r="C32" s="1">
        <v>59170</v>
      </c>
      <c r="F32">
        <v>30</v>
      </c>
      <c r="G32" s="1" t="s">
        <v>32</v>
      </c>
      <c r="H32" s="1">
        <v>60850</v>
      </c>
      <c r="J32">
        <v>30</v>
      </c>
      <c r="K32" s="1" t="s">
        <v>415</v>
      </c>
      <c r="L32" s="1">
        <v>54680</v>
      </c>
    </row>
    <row r="33" spans="1:12">
      <c r="A33">
        <v>32</v>
      </c>
      <c r="B33" s="1" t="s">
        <v>34</v>
      </c>
      <c r="C33" s="1">
        <v>59780</v>
      </c>
      <c r="F33">
        <v>31</v>
      </c>
      <c r="G33" s="1" t="s">
        <v>33</v>
      </c>
      <c r="H33" s="1">
        <v>59170</v>
      </c>
      <c r="J33">
        <v>31</v>
      </c>
      <c r="K33" s="1" t="s">
        <v>416</v>
      </c>
      <c r="L33" s="1">
        <v>52140</v>
      </c>
    </row>
    <row r="34" spans="1:12">
      <c r="A34">
        <v>33</v>
      </c>
      <c r="B34" s="1" t="s">
        <v>35</v>
      </c>
      <c r="C34" s="1">
        <v>60060</v>
      </c>
      <c r="F34">
        <v>32</v>
      </c>
      <c r="G34" s="1" t="s">
        <v>34</v>
      </c>
      <c r="H34" s="1">
        <v>59780</v>
      </c>
      <c r="J34">
        <v>32</v>
      </c>
      <c r="K34" s="1" t="s">
        <v>417</v>
      </c>
      <c r="L34" s="1">
        <v>48990</v>
      </c>
    </row>
    <row r="35" spans="1:12">
      <c r="A35">
        <v>34</v>
      </c>
      <c r="B35" s="1" t="s">
        <v>36</v>
      </c>
      <c r="C35" s="1">
        <v>61520</v>
      </c>
      <c r="F35">
        <v>33</v>
      </c>
      <c r="G35" s="1" t="s">
        <v>35</v>
      </c>
      <c r="H35" s="1">
        <v>60060</v>
      </c>
      <c r="J35">
        <v>33</v>
      </c>
      <c r="K35" s="1" t="s">
        <v>418</v>
      </c>
      <c r="L35" s="1">
        <v>43170</v>
      </c>
    </row>
    <row r="36" spans="1:12">
      <c r="A36">
        <v>35</v>
      </c>
      <c r="B36" s="1" t="s">
        <v>37</v>
      </c>
      <c r="C36" s="1">
        <v>64300</v>
      </c>
      <c r="F36">
        <v>34</v>
      </c>
      <c r="G36" s="1" t="s">
        <v>36</v>
      </c>
      <c r="H36" s="1">
        <v>61520</v>
      </c>
      <c r="J36">
        <v>34</v>
      </c>
      <c r="K36" s="1" t="s">
        <v>419</v>
      </c>
      <c r="L36" s="1">
        <v>47690</v>
      </c>
    </row>
    <row r="37" spans="1:12">
      <c r="A37">
        <v>36</v>
      </c>
      <c r="B37" s="1" t="s">
        <v>38</v>
      </c>
      <c r="C37" s="1">
        <v>66000</v>
      </c>
      <c r="F37">
        <v>35</v>
      </c>
      <c r="G37" s="1" t="s">
        <v>37</v>
      </c>
      <c r="H37" s="1">
        <v>64300</v>
      </c>
      <c r="J37">
        <v>35</v>
      </c>
      <c r="K37" s="1" t="s">
        <v>420</v>
      </c>
      <c r="L37" s="1">
        <v>45470</v>
      </c>
    </row>
    <row r="38" spans="1:12">
      <c r="A38">
        <v>37</v>
      </c>
      <c r="B38" s="1" t="s">
        <v>39</v>
      </c>
      <c r="C38" s="1">
        <v>66700</v>
      </c>
      <c r="F38">
        <v>36</v>
      </c>
      <c r="G38" s="1" t="s">
        <v>38</v>
      </c>
      <c r="H38" s="1">
        <v>66000</v>
      </c>
      <c r="J38">
        <v>36</v>
      </c>
      <c r="K38" s="1" t="s">
        <v>421</v>
      </c>
      <c r="L38" s="1">
        <v>44600</v>
      </c>
    </row>
    <row r="39" spans="1:12">
      <c r="A39">
        <v>38</v>
      </c>
      <c r="B39" s="1" t="s">
        <v>40</v>
      </c>
      <c r="C39" s="1">
        <v>65730</v>
      </c>
      <c r="F39">
        <v>37</v>
      </c>
      <c r="G39" s="1" t="s">
        <v>39</v>
      </c>
      <c r="H39" s="1">
        <v>66700</v>
      </c>
      <c r="J39">
        <v>37</v>
      </c>
      <c r="K39" s="1" t="s">
        <v>422</v>
      </c>
      <c r="L39" s="1">
        <v>42080</v>
      </c>
    </row>
    <row r="40" spans="1:12">
      <c r="A40">
        <v>39</v>
      </c>
      <c r="B40" s="1" t="s">
        <v>41</v>
      </c>
      <c r="C40" s="1">
        <v>68730</v>
      </c>
      <c r="F40">
        <v>38</v>
      </c>
      <c r="G40" s="1" t="s">
        <v>40</v>
      </c>
      <c r="H40" s="1">
        <v>65730</v>
      </c>
      <c r="J40">
        <v>38</v>
      </c>
      <c r="K40" s="1" t="s">
        <v>423</v>
      </c>
      <c r="L40" s="1">
        <v>43790</v>
      </c>
    </row>
    <row r="41" spans="1:12">
      <c r="A41">
        <v>40</v>
      </c>
      <c r="B41" s="1" t="s">
        <v>42</v>
      </c>
      <c r="C41" s="1">
        <v>68790</v>
      </c>
      <c r="F41">
        <v>39</v>
      </c>
      <c r="G41" s="1" t="s">
        <v>41</v>
      </c>
      <c r="H41" s="1">
        <v>68730</v>
      </c>
      <c r="J41">
        <v>39</v>
      </c>
      <c r="K41" s="1" t="s">
        <v>424</v>
      </c>
      <c r="L41" s="1">
        <v>41720</v>
      </c>
    </row>
    <row r="42" spans="1:12">
      <c r="A42">
        <v>41</v>
      </c>
      <c r="B42" s="1" t="s">
        <v>43</v>
      </c>
      <c r="C42" s="1">
        <v>69830</v>
      </c>
      <c r="F42">
        <v>40</v>
      </c>
      <c r="G42" s="1" t="s">
        <v>42</v>
      </c>
      <c r="H42" s="1">
        <v>68790</v>
      </c>
      <c r="J42">
        <v>40</v>
      </c>
      <c r="K42" s="1" t="s">
        <v>425</v>
      </c>
      <c r="L42" s="1">
        <v>42860</v>
      </c>
    </row>
    <row r="43" spans="1:12">
      <c r="A43">
        <v>42</v>
      </c>
      <c r="B43" s="1" t="s">
        <v>44</v>
      </c>
      <c r="C43" s="1">
        <v>71750</v>
      </c>
      <c r="F43">
        <v>41</v>
      </c>
      <c r="G43" s="1" t="s">
        <v>43</v>
      </c>
      <c r="H43" s="1">
        <v>69830</v>
      </c>
      <c r="J43">
        <v>41</v>
      </c>
      <c r="K43" s="1" t="s">
        <v>426</v>
      </c>
      <c r="L43" s="1">
        <v>42400</v>
      </c>
    </row>
    <row r="44" spans="1:12">
      <c r="A44">
        <v>43</v>
      </c>
      <c r="B44" s="1" t="s">
        <v>45</v>
      </c>
      <c r="C44" s="1">
        <v>69370</v>
      </c>
      <c r="F44">
        <v>42</v>
      </c>
      <c r="G44" s="1" t="s">
        <v>44</v>
      </c>
      <c r="H44" s="1">
        <v>71750</v>
      </c>
      <c r="J44">
        <v>42</v>
      </c>
      <c r="K44" s="1" t="s">
        <v>427</v>
      </c>
      <c r="L44" s="1">
        <v>42120</v>
      </c>
    </row>
    <row r="45" spans="1:12">
      <c r="A45">
        <v>44</v>
      </c>
      <c r="B45" s="1" t="s">
        <v>46</v>
      </c>
      <c r="C45" s="1">
        <v>71110</v>
      </c>
      <c r="F45">
        <v>43</v>
      </c>
      <c r="G45" s="1" t="s">
        <v>45</v>
      </c>
      <c r="H45" s="1">
        <v>69370</v>
      </c>
    </row>
    <row r="46" spans="1:12">
      <c r="A46">
        <v>45</v>
      </c>
      <c r="B46" s="1" t="s">
        <v>47</v>
      </c>
      <c r="C46" s="1">
        <v>69100</v>
      </c>
      <c r="F46">
        <v>44</v>
      </c>
      <c r="G46" s="1" t="s">
        <v>46</v>
      </c>
      <c r="H46" s="1">
        <v>71110</v>
      </c>
    </row>
    <row r="47" spans="1:12">
      <c r="A47">
        <v>46</v>
      </c>
      <c r="B47" s="1" t="s">
        <v>48</v>
      </c>
      <c r="C47" s="1">
        <v>67860</v>
      </c>
      <c r="F47">
        <v>45</v>
      </c>
      <c r="G47" s="1" t="s">
        <v>47</v>
      </c>
      <c r="H47" s="1">
        <v>69100</v>
      </c>
    </row>
    <row r="48" spans="1:12">
      <c r="A48">
        <v>47</v>
      </c>
      <c r="B48" s="1" t="s">
        <v>49</v>
      </c>
      <c r="C48" s="1">
        <v>68470</v>
      </c>
      <c r="F48">
        <v>46</v>
      </c>
      <c r="G48" s="1" t="s">
        <v>48</v>
      </c>
      <c r="H48" s="1">
        <v>67860</v>
      </c>
    </row>
    <row r="49" spans="1:8">
      <c r="A49">
        <v>48</v>
      </c>
      <c r="B49" s="1" t="s">
        <v>50</v>
      </c>
      <c r="C49" s="1">
        <v>70740</v>
      </c>
      <c r="F49">
        <v>47</v>
      </c>
      <c r="G49" s="1" t="s">
        <v>49</v>
      </c>
      <c r="H49" s="1">
        <v>68470</v>
      </c>
    </row>
    <row r="50" spans="1:8">
      <c r="A50">
        <v>49</v>
      </c>
      <c r="B50" s="1" t="s">
        <v>51</v>
      </c>
      <c r="C50" s="1">
        <v>69340</v>
      </c>
      <c r="F50">
        <v>48</v>
      </c>
      <c r="G50" s="1" t="s">
        <v>50</v>
      </c>
      <c r="H50" s="1">
        <v>70740</v>
      </c>
    </row>
    <row r="51" spans="1:8">
      <c r="A51">
        <v>50</v>
      </c>
      <c r="B51" s="1" t="s">
        <v>52</v>
      </c>
      <c r="C51" s="1">
        <v>70720</v>
      </c>
      <c r="F51">
        <v>49</v>
      </c>
      <c r="G51" s="1" t="s">
        <v>51</v>
      </c>
      <c r="H51" s="1">
        <v>69340</v>
      </c>
    </row>
    <row r="52" spans="1:8">
      <c r="A52">
        <v>51</v>
      </c>
      <c r="B52" s="1" t="s">
        <v>53</v>
      </c>
      <c r="C52" s="1">
        <v>70870</v>
      </c>
      <c r="F52">
        <v>50</v>
      </c>
      <c r="G52" s="1" t="s">
        <v>52</v>
      </c>
      <c r="H52" s="1">
        <v>70720</v>
      </c>
    </row>
    <row r="53" spans="1:8">
      <c r="A53">
        <v>52</v>
      </c>
      <c r="B53" s="1" t="s">
        <v>54</v>
      </c>
      <c r="C53" s="1">
        <v>70160</v>
      </c>
      <c r="F53">
        <v>51</v>
      </c>
      <c r="G53" s="1" t="s">
        <v>53</v>
      </c>
      <c r="H53" s="1">
        <v>70870</v>
      </c>
    </row>
    <row r="54" spans="1:8">
      <c r="A54">
        <v>53</v>
      </c>
      <c r="B54" s="1" t="s">
        <v>55</v>
      </c>
      <c r="C54" s="1">
        <v>71610</v>
      </c>
      <c r="F54">
        <v>52</v>
      </c>
      <c r="G54" s="1" t="s">
        <v>54</v>
      </c>
      <c r="H54" s="1">
        <v>70160</v>
      </c>
    </row>
    <row r="55" spans="1:8">
      <c r="A55">
        <v>54</v>
      </c>
      <c r="B55" s="1" t="s">
        <v>56</v>
      </c>
      <c r="C55" s="1">
        <v>70120</v>
      </c>
      <c r="F55">
        <v>53</v>
      </c>
      <c r="G55" s="1" t="s">
        <v>55</v>
      </c>
      <c r="H55" s="1">
        <v>71610</v>
      </c>
    </row>
    <row r="56" spans="1:8">
      <c r="A56">
        <v>55</v>
      </c>
      <c r="B56" s="1" t="s">
        <v>57</v>
      </c>
      <c r="C56" s="1">
        <v>71560</v>
      </c>
      <c r="F56">
        <v>54</v>
      </c>
      <c r="G56" s="1" t="s">
        <v>56</v>
      </c>
      <c r="H56" s="1">
        <v>70120</v>
      </c>
    </row>
    <row r="57" spans="1:8">
      <c r="A57">
        <v>56</v>
      </c>
      <c r="B57" s="1" t="s">
        <v>58</v>
      </c>
      <c r="C57" s="1">
        <v>72790</v>
      </c>
      <c r="F57">
        <v>55</v>
      </c>
      <c r="G57" s="1" t="s">
        <v>57</v>
      </c>
      <c r="H57" s="1">
        <v>71560</v>
      </c>
    </row>
    <row r="58" spans="1:8">
      <c r="A58">
        <v>57</v>
      </c>
      <c r="B58" s="1" t="s">
        <v>59</v>
      </c>
      <c r="C58" s="1">
        <v>73150</v>
      </c>
      <c r="F58">
        <v>56</v>
      </c>
      <c r="G58" s="1" t="s">
        <v>58</v>
      </c>
      <c r="H58" s="1">
        <v>72790</v>
      </c>
    </row>
    <row r="59" spans="1:8">
      <c r="A59">
        <v>58</v>
      </c>
      <c r="B59" s="1" t="s">
        <v>60</v>
      </c>
      <c r="C59" s="1">
        <v>75190</v>
      </c>
      <c r="F59">
        <v>57</v>
      </c>
      <c r="G59" s="1" t="s">
        <v>59</v>
      </c>
      <c r="H59" s="1">
        <v>73150</v>
      </c>
    </row>
    <row r="60" spans="1:8">
      <c r="A60">
        <v>59</v>
      </c>
      <c r="B60" s="1" t="s">
        <v>61</v>
      </c>
      <c r="C60" s="1">
        <v>75000</v>
      </c>
      <c r="F60">
        <v>58</v>
      </c>
      <c r="G60" s="1" t="s">
        <v>60</v>
      </c>
      <c r="H60" s="1">
        <v>75190</v>
      </c>
    </row>
    <row r="61" spans="1:8">
      <c r="A61">
        <v>60</v>
      </c>
      <c r="B61" s="1" t="s">
        <v>62</v>
      </c>
      <c r="C61" s="1">
        <v>74260</v>
      </c>
      <c r="F61">
        <v>59</v>
      </c>
      <c r="G61" s="1" t="s">
        <v>61</v>
      </c>
      <c r="H61" s="1">
        <v>75000</v>
      </c>
    </row>
    <row r="62" spans="1:8">
      <c r="A62">
        <v>61</v>
      </c>
      <c r="B62" s="1" t="s">
        <v>63</v>
      </c>
      <c r="C62" s="1">
        <v>75490</v>
      </c>
      <c r="F62">
        <v>60</v>
      </c>
      <c r="G62" s="1" t="s">
        <v>62</v>
      </c>
      <c r="H62" s="1">
        <v>74260</v>
      </c>
    </row>
    <row r="63" spans="1:8">
      <c r="A63">
        <v>62</v>
      </c>
      <c r="B63" s="1" t="s">
        <v>64</v>
      </c>
      <c r="C63" s="1">
        <v>75700</v>
      </c>
      <c r="F63">
        <v>61</v>
      </c>
      <c r="G63" s="1" t="s">
        <v>63</v>
      </c>
      <c r="H63" s="1">
        <v>75490</v>
      </c>
    </row>
    <row r="64" spans="1:8">
      <c r="A64">
        <v>63</v>
      </c>
      <c r="B64" s="1" t="s">
        <v>65</v>
      </c>
      <c r="C64" s="1">
        <v>75840</v>
      </c>
      <c r="F64">
        <v>62</v>
      </c>
      <c r="G64" s="1" t="s">
        <v>64</v>
      </c>
      <c r="H64" s="1">
        <v>75700</v>
      </c>
    </row>
    <row r="65" spans="1:8">
      <c r="A65">
        <v>64</v>
      </c>
      <c r="B65" s="1" t="s">
        <v>66</v>
      </c>
      <c r="C65" s="1">
        <v>75360</v>
      </c>
      <c r="F65">
        <v>63</v>
      </c>
      <c r="G65" s="1" t="s">
        <v>65</v>
      </c>
      <c r="H65" s="1">
        <v>75840</v>
      </c>
    </row>
    <row r="66" spans="1:8">
      <c r="A66">
        <v>65</v>
      </c>
      <c r="B66" s="1" t="s">
        <v>67</v>
      </c>
      <c r="C66" s="1">
        <v>74520</v>
      </c>
      <c r="F66">
        <v>64</v>
      </c>
      <c r="G66" s="1" t="s">
        <v>66</v>
      </c>
      <c r="H66" s="1">
        <v>75360</v>
      </c>
    </row>
    <row r="67" spans="1:8">
      <c r="A67">
        <v>66</v>
      </c>
      <c r="B67" s="1" t="s">
        <v>68</v>
      </c>
      <c r="C67" s="1">
        <v>73800</v>
      </c>
      <c r="F67">
        <v>65</v>
      </c>
      <c r="G67" s="1" t="s">
        <v>67</v>
      </c>
      <c r="H67" s="1">
        <v>74520</v>
      </c>
    </row>
    <row r="68" spans="1:8">
      <c r="A68">
        <v>67</v>
      </c>
      <c r="B68" s="1" t="s">
        <v>69</v>
      </c>
      <c r="C68" s="1">
        <v>72390</v>
      </c>
      <c r="F68">
        <v>66</v>
      </c>
      <c r="G68" s="1" t="s">
        <v>68</v>
      </c>
      <c r="H68" s="1">
        <v>73800</v>
      </c>
    </row>
    <row r="69" spans="1:8">
      <c r="A69">
        <v>68</v>
      </c>
      <c r="B69" s="1" t="s">
        <v>70</v>
      </c>
      <c r="C69" s="1">
        <v>71330</v>
      </c>
      <c r="F69">
        <v>67</v>
      </c>
      <c r="G69" s="1" t="s">
        <v>69</v>
      </c>
      <c r="H69" s="1">
        <v>72390</v>
      </c>
    </row>
    <row r="70" spans="1:8">
      <c r="A70">
        <v>69</v>
      </c>
      <c r="B70" s="1" t="s">
        <v>71</v>
      </c>
      <c r="C70" s="1">
        <v>70210</v>
      </c>
      <c r="F70">
        <v>68</v>
      </c>
      <c r="G70" s="1" t="s">
        <v>70</v>
      </c>
      <c r="H70" s="1">
        <v>71330</v>
      </c>
    </row>
    <row r="71" spans="1:8">
      <c r="A71">
        <v>70</v>
      </c>
      <c r="B71" s="1" t="s">
        <v>72</v>
      </c>
      <c r="C71" s="1">
        <v>70490</v>
      </c>
      <c r="F71">
        <v>69</v>
      </c>
      <c r="G71" s="1" t="s">
        <v>71</v>
      </c>
      <c r="H71" s="1">
        <v>70210</v>
      </c>
    </row>
    <row r="72" spans="1:8">
      <c r="A72">
        <v>71</v>
      </c>
      <c r="B72" s="1" t="s">
        <v>73</v>
      </c>
      <c r="C72" s="1">
        <v>70880</v>
      </c>
      <c r="F72">
        <v>70</v>
      </c>
      <c r="G72" s="1" t="s">
        <v>72</v>
      </c>
      <c r="H72" s="1">
        <v>70490</v>
      </c>
    </row>
    <row r="73" spans="1:8">
      <c r="A73">
        <v>72</v>
      </c>
      <c r="B73" s="1" t="s">
        <v>74</v>
      </c>
      <c r="C73" s="1">
        <v>70660</v>
      </c>
      <c r="F73">
        <v>71</v>
      </c>
      <c r="G73" s="1" t="s">
        <v>73</v>
      </c>
      <c r="H73" s="1">
        <v>70880</v>
      </c>
    </row>
    <row r="74" spans="1:8">
      <c r="A74">
        <v>73</v>
      </c>
      <c r="B74" s="1" t="s">
        <v>75</v>
      </c>
      <c r="C74" s="1">
        <v>71720</v>
      </c>
      <c r="F74">
        <v>72</v>
      </c>
      <c r="G74" s="1" t="s">
        <v>74</v>
      </c>
      <c r="H74" s="1">
        <v>70660</v>
      </c>
    </row>
    <row r="75" spans="1:8">
      <c r="A75">
        <v>74</v>
      </c>
      <c r="B75" s="1" t="s">
        <v>76</v>
      </c>
      <c r="C75" s="1">
        <v>68920</v>
      </c>
      <c r="F75">
        <v>73</v>
      </c>
      <c r="G75" s="1" t="s">
        <v>75</v>
      </c>
      <c r="H75" s="1">
        <v>71720</v>
      </c>
    </row>
    <row r="76" spans="1:8">
      <c r="A76">
        <v>75</v>
      </c>
      <c r="B76" s="1" t="s">
        <v>77</v>
      </c>
      <c r="C76" s="1">
        <v>67070</v>
      </c>
      <c r="F76">
        <v>74</v>
      </c>
      <c r="G76" s="1" t="s">
        <v>76</v>
      </c>
      <c r="H76" s="1">
        <v>68920</v>
      </c>
    </row>
    <row r="77" spans="1:8">
      <c r="A77">
        <v>76</v>
      </c>
      <c r="B77" s="1" t="s">
        <v>78</v>
      </c>
      <c r="C77" s="1">
        <v>67490</v>
      </c>
      <c r="F77">
        <v>75</v>
      </c>
      <c r="G77" s="1" t="s">
        <v>77</v>
      </c>
      <c r="H77" s="1">
        <v>67070</v>
      </c>
    </row>
    <row r="78" spans="1:8">
      <c r="A78">
        <v>77</v>
      </c>
      <c r="B78" s="1" t="s">
        <v>79</v>
      </c>
      <c r="C78" s="1">
        <v>67000</v>
      </c>
      <c r="F78">
        <v>76</v>
      </c>
      <c r="G78" s="1" t="s">
        <v>78</v>
      </c>
      <c r="H78" s="1">
        <v>67490</v>
      </c>
    </row>
    <row r="79" spans="1:8">
      <c r="A79">
        <v>78</v>
      </c>
      <c r="B79" s="1" t="s">
        <v>80</v>
      </c>
      <c r="C79" s="1">
        <v>68140</v>
      </c>
      <c r="F79">
        <v>77</v>
      </c>
      <c r="G79" s="1" t="s">
        <v>79</v>
      </c>
      <c r="H79" s="1">
        <v>67000</v>
      </c>
    </row>
    <row r="80" spans="1:8">
      <c r="A80">
        <v>79</v>
      </c>
      <c r="B80" s="1" t="s">
        <v>81</v>
      </c>
      <c r="C80" s="1">
        <v>69290</v>
      </c>
      <c r="F80">
        <v>78</v>
      </c>
      <c r="G80" s="1" t="s">
        <v>80</v>
      </c>
      <c r="H80" s="1">
        <v>68140</v>
      </c>
    </row>
    <row r="81" spans="1:8">
      <c r="A81">
        <v>80</v>
      </c>
      <c r="B81" s="1" t="s">
        <v>82</v>
      </c>
      <c r="C81" s="1">
        <v>69770</v>
      </c>
      <c r="F81">
        <v>79</v>
      </c>
      <c r="G81" s="1" t="s">
        <v>81</v>
      </c>
      <c r="H81" s="1">
        <v>69290</v>
      </c>
    </row>
    <row r="82" spans="1:8">
      <c r="A82">
        <v>81</v>
      </c>
      <c r="B82" s="1" t="s">
        <v>83</v>
      </c>
      <c r="C82" s="1">
        <v>70000</v>
      </c>
      <c r="F82">
        <v>80</v>
      </c>
      <c r="G82" s="1" t="s">
        <v>82</v>
      </c>
      <c r="H82" s="1">
        <v>69770</v>
      </c>
    </row>
    <row r="83" spans="1:8">
      <c r="A83">
        <v>82</v>
      </c>
      <c r="B83" s="1" t="s">
        <v>84</v>
      </c>
      <c r="C83" s="1">
        <v>71150</v>
      </c>
      <c r="F83">
        <v>81</v>
      </c>
      <c r="G83" s="1" t="s">
        <v>83</v>
      </c>
      <c r="H83" s="1">
        <v>70000</v>
      </c>
    </row>
    <row r="84" spans="1:8">
      <c r="A84">
        <v>83</v>
      </c>
      <c r="B84" s="1" t="s">
        <v>85</v>
      </c>
      <c r="C84" s="1">
        <v>72870</v>
      </c>
      <c r="F84">
        <v>82</v>
      </c>
      <c r="G84" s="1" t="s">
        <v>84</v>
      </c>
      <c r="H84" s="1">
        <v>71150</v>
      </c>
    </row>
    <row r="85" spans="1:8">
      <c r="A85">
        <v>84</v>
      </c>
      <c r="B85" s="1" t="s">
        <v>86</v>
      </c>
      <c r="C85" s="1">
        <v>75700</v>
      </c>
      <c r="F85">
        <v>83</v>
      </c>
      <c r="G85" s="1" t="s">
        <v>85</v>
      </c>
      <c r="H85" s="1">
        <v>72870</v>
      </c>
    </row>
    <row r="86" spans="1:8">
      <c r="A86">
        <v>85</v>
      </c>
      <c r="B86" s="1" t="s">
        <v>87</v>
      </c>
      <c r="C86" s="1">
        <v>75650</v>
      </c>
      <c r="F86">
        <v>84</v>
      </c>
      <c r="G86" s="1" t="s">
        <v>86</v>
      </c>
      <c r="H86" s="1">
        <v>75700</v>
      </c>
    </row>
    <row r="87" spans="1:8">
      <c r="A87">
        <v>86</v>
      </c>
      <c r="B87" s="1" t="s">
        <v>88</v>
      </c>
      <c r="C87" s="1">
        <v>76380</v>
      </c>
      <c r="F87">
        <v>85</v>
      </c>
      <c r="G87" s="1" t="s">
        <v>87</v>
      </c>
      <c r="H87" s="1">
        <v>75650</v>
      </c>
    </row>
    <row r="88" spans="1:8">
      <c r="A88">
        <v>87</v>
      </c>
      <c r="B88" s="1" t="s">
        <v>89</v>
      </c>
      <c r="C88" s="1">
        <v>75730</v>
      </c>
      <c r="F88">
        <v>86</v>
      </c>
      <c r="G88" s="1" t="s">
        <v>88</v>
      </c>
      <c r="H88" s="1">
        <v>76380</v>
      </c>
    </row>
    <row r="89" spans="1:8">
      <c r="A89">
        <v>88</v>
      </c>
      <c r="B89" s="1" t="s">
        <v>90</v>
      </c>
      <c r="C89" s="1">
        <v>74140</v>
      </c>
      <c r="F89">
        <v>87</v>
      </c>
      <c r="G89" s="1" t="s">
        <v>89</v>
      </c>
      <c r="H89" s="1">
        <v>75730</v>
      </c>
    </row>
    <row r="90" spans="1:8">
      <c r="A90">
        <v>89</v>
      </c>
      <c r="B90" s="1" t="s">
        <v>91</v>
      </c>
      <c r="C90" s="1">
        <v>74130</v>
      </c>
      <c r="F90">
        <v>88</v>
      </c>
      <c r="G90" s="1" t="s">
        <v>90</v>
      </c>
      <c r="H90" s="1">
        <v>74140</v>
      </c>
    </row>
    <row r="91" spans="1:8">
      <c r="A91">
        <v>90</v>
      </c>
      <c r="B91" s="1" t="s">
        <v>92</v>
      </c>
      <c r="C91" s="1">
        <v>71140</v>
      </c>
      <c r="F91">
        <v>89</v>
      </c>
      <c r="G91" s="1" t="s">
        <v>91</v>
      </c>
      <c r="H91" s="1">
        <v>74130</v>
      </c>
    </row>
    <row r="92" spans="1:8">
      <c r="A92">
        <v>91</v>
      </c>
      <c r="B92" s="1" t="s">
        <v>93</v>
      </c>
      <c r="C92" s="1">
        <v>73140</v>
      </c>
      <c r="F92">
        <v>90</v>
      </c>
      <c r="G92" s="1" t="s">
        <v>92</v>
      </c>
      <c r="H92" s="1">
        <v>71140</v>
      </c>
    </row>
    <row r="93" spans="1:8">
      <c r="A93">
        <v>92</v>
      </c>
      <c r="B93" s="1" t="s">
        <v>94</v>
      </c>
      <c r="C93" s="1">
        <v>71950</v>
      </c>
      <c r="F93">
        <v>91</v>
      </c>
      <c r="G93" s="1" t="s">
        <v>93</v>
      </c>
      <c r="H93" s="1">
        <v>73140</v>
      </c>
    </row>
    <row r="94" spans="1:8">
      <c r="A94">
        <v>93</v>
      </c>
      <c r="B94" s="1" t="s">
        <v>95</v>
      </c>
      <c r="C94" s="1">
        <v>72670</v>
      </c>
      <c r="F94">
        <v>92</v>
      </c>
      <c r="G94" s="1" t="s">
        <v>94</v>
      </c>
      <c r="H94" s="1">
        <v>71950</v>
      </c>
    </row>
    <row r="95" spans="1:8">
      <c r="A95">
        <v>94</v>
      </c>
      <c r="B95" s="1" t="s">
        <v>96</v>
      </c>
      <c r="C95" s="1">
        <v>72440</v>
      </c>
      <c r="F95">
        <v>93</v>
      </c>
      <c r="G95" s="1" t="s">
        <v>95</v>
      </c>
      <c r="H95" s="1">
        <v>72670</v>
      </c>
    </row>
    <row r="96" spans="1:8">
      <c r="A96">
        <v>95</v>
      </c>
      <c r="B96" s="1" t="s">
        <v>97</v>
      </c>
      <c r="C96" s="1">
        <v>71430</v>
      </c>
      <c r="F96">
        <v>94</v>
      </c>
      <c r="G96" s="1" t="s">
        <v>96</v>
      </c>
      <c r="H96" s="1">
        <v>72440</v>
      </c>
    </row>
    <row r="97" spans="1:8">
      <c r="A97">
        <v>96</v>
      </c>
      <c r="B97" s="1" t="s">
        <v>98</v>
      </c>
      <c r="C97" s="1">
        <v>72580</v>
      </c>
      <c r="F97">
        <v>95</v>
      </c>
      <c r="G97" s="1" t="s">
        <v>97</v>
      </c>
      <c r="H97" s="1">
        <v>71430</v>
      </c>
    </row>
    <row r="98" spans="1:8">
      <c r="A98">
        <v>97</v>
      </c>
      <c r="B98" s="1" t="s">
        <v>99</v>
      </c>
      <c r="C98" s="1">
        <v>72250</v>
      </c>
      <c r="F98">
        <v>96</v>
      </c>
      <c r="G98" s="1" t="s">
        <v>98</v>
      </c>
      <c r="H98" s="1">
        <v>72580</v>
      </c>
    </row>
    <row r="99" spans="1:8">
      <c r="A99">
        <v>98</v>
      </c>
      <c r="B99" s="1" t="s">
        <v>100</v>
      </c>
      <c r="C99" s="1">
        <v>72750</v>
      </c>
      <c r="F99">
        <v>97</v>
      </c>
      <c r="G99" s="1" t="s">
        <v>99</v>
      </c>
      <c r="H99" s="1">
        <v>72250</v>
      </c>
    </row>
    <row r="100" spans="1:8">
      <c r="A100">
        <v>99</v>
      </c>
      <c r="B100" s="1" t="s">
        <v>101</v>
      </c>
      <c r="C100" s="1">
        <v>74530</v>
      </c>
      <c r="F100">
        <v>98</v>
      </c>
      <c r="G100" s="1" t="s">
        <v>100</v>
      </c>
      <c r="H100" s="1">
        <v>72750</v>
      </c>
    </row>
    <row r="101" spans="1:8">
      <c r="A101">
        <v>100</v>
      </c>
      <c r="B101" s="1" t="s">
        <v>102</v>
      </c>
      <c r="C101" s="1">
        <v>74980</v>
      </c>
      <c r="F101">
        <v>99</v>
      </c>
      <c r="G101" s="1" t="s">
        <v>101</v>
      </c>
      <c r="H101" s="1">
        <v>74530</v>
      </c>
    </row>
    <row r="102" spans="1:8">
      <c r="A102">
        <v>101</v>
      </c>
      <c r="B102" s="1" t="s">
        <v>103</v>
      </c>
      <c r="C102" s="1">
        <v>75270</v>
      </c>
      <c r="F102">
        <v>100</v>
      </c>
      <c r="G102" s="1" t="s">
        <v>102</v>
      </c>
      <c r="H102" s="1">
        <v>74980</v>
      </c>
    </row>
    <row r="103" spans="1:8">
      <c r="A103">
        <v>102</v>
      </c>
      <c r="B103" s="1" t="s">
        <v>104</v>
      </c>
      <c r="C103" s="1">
        <v>71970</v>
      </c>
      <c r="F103">
        <v>101</v>
      </c>
      <c r="G103" s="1" t="s">
        <v>103</v>
      </c>
      <c r="H103" s="1">
        <v>75270</v>
      </c>
    </row>
    <row r="104" spans="1:8">
      <c r="A104">
        <v>103</v>
      </c>
      <c r="B104" s="1" t="s">
        <v>105</v>
      </c>
      <c r="C104" s="1">
        <v>72260</v>
      </c>
      <c r="F104">
        <v>102</v>
      </c>
      <c r="G104" s="1" t="s">
        <v>104</v>
      </c>
      <c r="H104" s="1">
        <v>71970</v>
      </c>
    </row>
    <row r="105" spans="1:8">
      <c r="A105">
        <v>104</v>
      </c>
      <c r="B105" s="1" t="s">
        <v>106</v>
      </c>
      <c r="C105" s="1">
        <v>67730</v>
      </c>
      <c r="F105">
        <v>103</v>
      </c>
      <c r="G105" s="1" t="s">
        <v>105</v>
      </c>
      <c r="H105" s="1">
        <v>72260</v>
      </c>
    </row>
    <row r="106" spans="1:8">
      <c r="A106">
        <v>105</v>
      </c>
      <c r="B106" s="1" t="s">
        <v>107</v>
      </c>
      <c r="C106" s="1">
        <v>69550</v>
      </c>
      <c r="F106">
        <v>104</v>
      </c>
      <c r="G106" s="1" t="s">
        <v>106</v>
      </c>
      <c r="H106" s="1">
        <v>67730</v>
      </c>
    </row>
    <row r="107" spans="1:8">
      <c r="A107">
        <v>106</v>
      </c>
      <c r="B107" s="1" t="s">
        <v>108</v>
      </c>
      <c r="C107" s="1">
        <v>70230</v>
      </c>
      <c r="F107">
        <v>105</v>
      </c>
      <c r="G107" s="1" t="s">
        <v>107</v>
      </c>
      <c r="H107" s="1">
        <v>69550</v>
      </c>
    </row>
    <row r="108" spans="1:8">
      <c r="A108">
        <v>107</v>
      </c>
      <c r="B108" s="1" t="s">
        <v>109</v>
      </c>
      <c r="C108" s="1">
        <v>69080</v>
      </c>
      <c r="F108">
        <v>106</v>
      </c>
      <c r="G108" s="1" t="s">
        <v>108</v>
      </c>
      <c r="H108" s="1">
        <v>70230</v>
      </c>
    </row>
    <row r="109" spans="1:8">
      <c r="A109">
        <v>108</v>
      </c>
      <c r="B109" s="1" t="s">
        <v>110</v>
      </c>
      <c r="C109" s="1">
        <v>67830</v>
      </c>
      <c r="F109">
        <v>107</v>
      </c>
      <c r="G109" s="1" t="s">
        <v>109</v>
      </c>
      <c r="H109" s="1">
        <v>69080</v>
      </c>
    </row>
    <row r="110" spans="1:8">
      <c r="A110">
        <v>109</v>
      </c>
      <c r="B110" s="1" t="s">
        <v>111</v>
      </c>
      <c r="C110" s="1">
        <v>66110</v>
      </c>
      <c r="F110">
        <v>108</v>
      </c>
      <c r="G110" s="1" t="s">
        <v>110</v>
      </c>
      <c r="H110" s="1">
        <v>67830</v>
      </c>
    </row>
    <row r="111" spans="1:8">
      <c r="A111">
        <v>110</v>
      </c>
      <c r="B111" s="1" t="s">
        <v>112</v>
      </c>
      <c r="C111" s="1">
        <v>65150</v>
      </c>
      <c r="F111">
        <v>109</v>
      </c>
      <c r="G111" s="1" t="s">
        <v>111</v>
      </c>
      <c r="H111" s="1">
        <v>66110</v>
      </c>
    </row>
    <row r="112" spans="1:8">
      <c r="A112">
        <v>111</v>
      </c>
      <c r="B112" s="1" t="s">
        <v>113</v>
      </c>
      <c r="C112" s="1">
        <v>66660</v>
      </c>
      <c r="F112">
        <v>110</v>
      </c>
      <c r="G112" s="1" t="s">
        <v>112</v>
      </c>
      <c r="H112" s="1">
        <v>65150</v>
      </c>
    </row>
    <row r="113" spans="1:8">
      <c r="A113">
        <v>112</v>
      </c>
      <c r="B113" s="1" t="s">
        <v>114</v>
      </c>
      <c r="C113" s="1">
        <v>63750</v>
      </c>
      <c r="F113">
        <v>111</v>
      </c>
      <c r="G113" s="1" t="s">
        <v>113</v>
      </c>
      <c r="H113" s="1">
        <v>66660</v>
      </c>
    </row>
    <row r="114" spans="1:8">
      <c r="A114">
        <v>113</v>
      </c>
      <c r="B114" s="1" t="s">
        <v>115</v>
      </c>
      <c r="C114" s="1">
        <v>62890</v>
      </c>
      <c r="F114">
        <v>112</v>
      </c>
      <c r="G114" s="1" t="s">
        <v>114</v>
      </c>
      <c r="H114" s="1">
        <v>63750</v>
      </c>
    </row>
    <row r="115" spans="1:8">
      <c r="A115">
        <v>114</v>
      </c>
      <c r="B115" s="1" t="s">
        <v>116</v>
      </c>
      <c r="C115" s="1">
        <v>58530</v>
      </c>
      <c r="F115">
        <v>113</v>
      </c>
      <c r="G115" s="1" t="s">
        <v>115</v>
      </c>
      <c r="H115" s="1">
        <v>62890</v>
      </c>
    </row>
    <row r="116" spans="1:8">
      <c r="A116">
        <v>115</v>
      </c>
      <c r="B116" s="1" t="s">
        <v>117</v>
      </c>
      <c r="C116" s="1">
        <v>59070</v>
      </c>
      <c r="F116">
        <v>114</v>
      </c>
      <c r="G116" s="1" t="s">
        <v>116</v>
      </c>
      <c r="H116" s="1">
        <v>58530</v>
      </c>
    </row>
    <row r="117" spans="1:8">
      <c r="A117">
        <v>116</v>
      </c>
      <c r="B117" s="1" t="s">
        <v>118</v>
      </c>
      <c r="C117" s="1">
        <v>59810</v>
      </c>
      <c r="F117">
        <v>115</v>
      </c>
      <c r="G117" s="1" t="s">
        <v>117</v>
      </c>
      <c r="H117" s="1">
        <v>59070</v>
      </c>
    </row>
    <row r="118" spans="1:8">
      <c r="A118">
        <v>117</v>
      </c>
      <c r="B118" s="1" t="s">
        <v>119</v>
      </c>
      <c r="C118" s="1">
        <v>61730</v>
      </c>
      <c r="F118">
        <v>116</v>
      </c>
      <c r="G118" s="1" t="s">
        <v>118</v>
      </c>
      <c r="H118" s="1">
        <v>59810</v>
      </c>
    </row>
    <row r="119" spans="1:8">
      <c r="A119">
        <v>118</v>
      </c>
      <c r="B119" s="1" t="s">
        <v>120</v>
      </c>
      <c r="C119" s="1">
        <v>61530</v>
      </c>
      <c r="F119">
        <v>117</v>
      </c>
      <c r="G119" s="1" t="s">
        <v>119</v>
      </c>
      <c r="H119" s="1">
        <v>61730</v>
      </c>
    </row>
    <row r="120" spans="1:8">
      <c r="A120">
        <v>119</v>
      </c>
      <c r="B120" s="1" t="s">
        <v>121</v>
      </c>
      <c r="C120" s="1">
        <v>59510</v>
      </c>
      <c r="F120">
        <v>118</v>
      </c>
      <c r="G120" s="1" t="s">
        <v>120</v>
      </c>
      <c r="H120" s="1">
        <v>61530</v>
      </c>
    </row>
    <row r="121" spans="1:8">
      <c r="A121">
        <v>120</v>
      </c>
      <c r="B121" s="1" t="s">
        <v>122</v>
      </c>
      <c r="C121" s="1">
        <v>59530</v>
      </c>
      <c r="F121">
        <v>119</v>
      </c>
      <c r="G121" s="1" t="s">
        <v>121</v>
      </c>
      <c r="H121" s="1">
        <v>59510</v>
      </c>
    </row>
    <row r="122" spans="1:8">
      <c r="A122">
        <v>121</v>
      </c>
      <c r="B122" s="1" t="s">
        <v>123</v>
      </c>
      <c r="C122" s="1">
        <v>60580</v>
      </c>
      <c r="F122">
        <v>120</v>
      </c>
      <c r="G122" s="1" t="s">
        <v>122</v>
      </c>
      <c r="H122" s="1">
        <v>59530</v>
      </c>
    </row>
    <row r="123" spans="1:8">
      <c r="A123">
        <v>122</v>
      </c>
      <c r="B123" s="1" t="s">
        <v>124</v>
      </c>
      <c r="C123" s="1">
        <v>54950</v>
      </c>
      <c r="F123">
        <v>121</v>
      </c>
      <c r="G123" s="1" t="s">
        <v>123</v>
      </c>
      <c r="H123" s="1">
        <v>60580</v>
      </c>
    </row>
    <row r="124" spans="1:8">
      <c r="A124">
        <v>123</v>
      </c>
      <c r="B124" s="1" t="s">
        <v>125</v>
      </c>
      <c r="C124" s="1">
        <v>62750</v>
      </c>
      <c r="F124">
        <v>122</v>
      </c>
      <c r="G124" s="1" t="s">
        <v>124</v>
      </c>
      <c r="H124" s="1">
        <v>54950</v>
      </c>
    </row>
    <row r="125" spans="1:8">
      <c r="A125">
        <v>124</v>
      </c>
      <c r="B125" s="1" t="s">
        <v>126</v>
      </c>
      <c r="C125" s="1">
        <v>57010</v>
      </c>
      <c r="F125">
        <v>123</v>
      </c>
      <c r="G125" s="1" t="s">
        <v>125</v>
      </c>
      <c r="H125" s="1">
        <v>62750</v>
      </c>
    </row>
    <row r="126" spans="1:8">
      <c r="A126">
        <v>125</v>
      </c>
      <c r="B126" s="1" t="s">
        <v>127</v>
      </c>
      <c r="C126" s="1">
        <v>57380</v>
      </c>
      <c r="F126">
        <v>124</v>
      </c>
      <c r="G126" s="1" t="s">
        <v>126</v>
      </c>
      <c r="H126" s="1">
        <v>57010</v>
      </c>
    </row>
    <row r="127" spans="1:8">
      <c r="A127">
        <v>126</v>
      </c>
      <c r="B127" s="1" t="s">
        <v>128</v>
      </c>
      <c r="C127" s="1">
        <v>53210</v>
      </c>
      <c r="F127">
        <v>125</v>
      </c>
      <c r="G127" s="1" t="s">
        <v>127</v>
      </c>
      <c r="H127" s="1">
        <v>57380</v>
      </c>
    </row>
    <row r="128" spans="1:8">
      <c r="A128">
        <v>127</v>
      </c>
      <c r="B128" s="1" t="s">
        <v>129</v>
      </c>
      <c r="C128" s="1">
        <v>51760</v>
      </c>
      <c r="F128">
        <v>126</v>
      </c>
      <c r="G128" s="1" t="s">
        <v>128</v>
      </c>
      <c r="H128" s="1">
        <v>53210</v>
      </c>
    </row>
    <row r="129" spans="1:8">
      <c r="A129">
        <v>128</v>
      </c>
      <c r="B129" s="1" t="s">
        <v>130</v>
      </c>
      <c r="C129" s="1">
        <v>52480</v>
      </c>
      <c r="F129">
        <v>127</v>
      </c>
      <c r="G129" s="1" t="s">
        <v>129</v>
      </c>
      <c r="H129" s="1">
        <v>51760</v>
      </c>
    </row>
    <row r="130" spans="1:8">
      <c r="A130">
        <v>129</v>
      </c>
      <c r="B130" s="1" t="s">
        <v>131</v>
      </c>
      <c r="C130" s="1">
        <v>50460</v>
      </c>
      <c r="F130">
        <v>128</v>
      </c>
      <c r="G130" s="1" t="s">
        <v>130</v>
      </c>
      <c r="H130" s="1">
        <v>52480</v>
      </c>
    </row>
    <row r="131" spans="1:8">
      <c r="A131">
        <v>130</v>
      </c>
      <c r="B131" s="1" t="s">
        <v>132</v>
      </c>
      <c r="C131" s="1">
        <v>52260</v>
      </c>
      <c r="F131">
        <v>129</v>
      </c>
      <c r="G131" s="1" t="s">
        <v>131</v>
      </c>
      <c r="H131" s="1">
        <v>50460</v>
      </c>
    </row>
    <row r="132" spans="1:8">
      <c r="A132">
        <v>131</v>
      </c>
      <c r="B132" s="1" t="s">
        <v>133</v>
      </c>
      <c r="C132" s="1">
        <v>50290</v>
      </c>
      <c r="F132">
        <v>130</v>
      </c>
      <c r="G132" s="1" t="s">
        <v>132</v>
      </c>
      <c r="H132" s="1">
        <v>52260</v>
      </c>
    </row>
    <row r="133" spans="1:8">
      <c r="A133">
        <v>132</v>
      </c>
      <c r="B133" s="1" t="s">
        <v>134</v>
      </c>
      <c r="C133" s="1">
        <v>50020</v>
      </c>
      <c r="F133">
        <v>131</v>
      </c>
      <c r="G133" s="1" t="s">
        <v>133</v>
      </c>
      <c r="H133" s="1">
        <v>50290</v>
      </c>
    </row>
    <row r="134" spans="1:8">
      <c r="A134">
        <v>133</v>
      </c>
      <c r="B134" s="1" t="s">
        <v>135</v>
      </c>
      <c r="C134" s="1">
        <v>48820</v>
      </c>
      <c r="F134">
        <v>132</v>
      </c>
      <c r="G134" s="1" t="s">
        <v>134</v>
      </c>
      <c r="H134" s="1">
        <v>50020</v>
      </c>
    </row>
    <row r="135" spans="1:8">
      <c r="A135">
        <v>134</v>
      </c>
      <c r="B135" s="1" t="s">
        <v>136</v>
      </c>
      <c r="C135" s="1">
        <v>49970</v>
      </c>
      <c r="F135">
        <v>133</v>
      </c>
      <c r="G135" s="1" t="s">
        <v>135</v>
      </c>
      <c r="H135" s="1">
        <v>48820</v>
      </c>
    </row>
    <row r="136" spans="1:8">
      <c r="A136">
        <v>135</v>
      </c>
      <c r="B136" s="1" t="s">
        <v>137</v>
      </c>
      <c r="C136" s="1">
        <v>50880</v>
      </c>
      <c r="F136">
        <v>134</v>
      </c>
      <c r="G136" s="1" t="s">
        <v>136</v>
      </c>
      <c r="H136" s="1">
        <v>49970</v>
      </c>
    </row>
    <row r="137" spans="1:8">
      <c r="A137">
        <v>136</v>
      </c>
      <c r="B137" s="1" t="s">
        <v>138</v>
      </c>
      <c r="C137" s="1">
        <v>50770</v>
      </c>
      <c r="F137">
        <v>135</v>
      </c>
      <c r="G137" s="1" t="s">
        <v>137</v>
      </c>
      <c r="H137" s="1">
        <v>50880</v>
      </c>
    </row>
    <row r="138" spans="1:8">
      <c r="A138">
        <v>137</v>
      </c>
      <c r="B138" s="1" t="s">
        <v>139</v>
      </c>
      <c r="C138" s="1">
        <v>49520</v>
      </c>
      <c r="F138">
        <v>136</v>
      </c>
      <c r="G138" s="1" t="s">
        <v>138</v>
      </c>
      <c r="H138" s="1">
        <v>50770</v>
      </c>
    </row>
    <row r="139" spans="1:8">
      <c r="A139">
        <v>138</v>
      </c>
      <c r="B139" s="1" t="s">
        <v>140</v>
      </c>
      <c r="C139" s="1">
        <v>47690</v>
      </c>
      <c r="F139">
        <v>137</v>
      </c>
      <c r="G139" s="1" t="s">
        <v>139</v>
      </c>
      <c r="H139" s="1">
        <v>49520</v>
      </c>
    </row>
    <row r="140" spans="1:8">
      <c r="A140">
        <v>139</v>
      </c>
      <c r="B140" s="1" t="s">
        <v>141</v>
      </c>
      <c r="C140" s="1">
        <v>48050</v>
      </c>
      <c r="F140">
        <v>138</v>
      </c>
      <c r="G140" s="1" t="s">
        <v>140</v>
      </c>
      <c r="H140" s="1">
        <v>47690</v>
      </c>
    </row>
    <row r="141" spans="1:8">
      <c r="A141">
        <v>140</v>
      </c>
      <c r="B141" s="1" t="s">
        <v>142</v>
      </c>
      <c r="C141" s="1">
        <v>50510</v>
      </c>
      <c r="F141">
        <v>139</v>
      </c>
      <c r="G141" s="1" t="s">
        <v>141</v>
      </c>
      <c r="H141" s="1">
        <v>48050</v>
      </c>
    </row>
    <row r="142" spans="1:8">
      <c r="A142">
        <v>141</v>
      </c>
      <c r="B142" s="1" t="s">
        <v>143</v>
      </c>
      <c r="C142" s="1">
        <v>50330</v>
      </c>
      <c r="F142">
        <v>140</v>
      </c>
      <c r="G142" s="1" t="s">
        <v>142</v>
      </c>
      <c r="H142" s="1">
        <v>50510</v>
      </c>
    </row>
    <row r="143" spans="1:8">
      <c r="A143">
        <v>142</v>
      </c>
      <c r="B143" s="1" t="s">
        <v>144</v>
      </c>
      <c r="C143" s="1">
        <v>49650</v>
      </c>
      <c r="F143">
        <v>141</v>
      </c>
      <c r="G143" s="1" t="s">
        <v>143</v>
      </c>
      <c r="H143" s="1">
        <v>50330</v>
      </c>
    </row>
    <row r="144" spans="1:8">
      <c r="A144">
        <v>143</v>
      </c>
      <c r="B144" s="1" t="s">
        <v>145</v>
      </c>
      <c r="C144" s="1">
        <v>51200</v>
      </c>
      <c r="F144">
        <v>142</v>
      </c>
      <c r="G144" s="1" t="s">
        <v>144</v>
      </c>
      <c r="H144" s="1">
        <v>49650</v>
      </c>
    </row>
    <row r="145" spans="1:8">
      <c r="A145">
        <v>144</v>
      </c>
      <c r="B145" s="1" t="s">
        <v>146</v>
      </c>
      <c r="C145" s="1">
        <v>53460</v>
      </c>
      <c r="F145">
        <v>143</v>
      </c>
      <c r="G145" s="1" t="s">
        <v>145</v>
      </c>
      <c r="H145" s="1">
        <v>51200</v>
      </c>
    </row>
    <row r="146" spans="1:8">
      <c r="A146">
        <v>145</v>
      </c>
      <c r="B146" s="1" t="s">
        <v>147</v>
      </c>
      <c r="C146" s="1">
        <v>53520</v>
      </c>
      <c r="F146">
        <v>144</v>
      </c>
      <c r="G146" s="1" t="s">
        <v>146</v>
      </c>
      <c r="H146" s="1">
        <v>53460</v>
      </c>
    </row>
    <row r="147" spans="1:8">
      <c r="A147">
        <v>146</v>
      </c>
      <c r="B147" s="1" t="s">
        <v>148</v>
      </c>
      <c r="C147" s="1">
        <v>54710</v>
      </c>
      <c r="F147">
        <v>145</v>
      </c>
      <c r="G147" s="1" t="s">
        <v>147</v>
      </c>
      <c r="H147" s="1">
        <v>53520</v>
      </c>
    </row>
    <row r="148" spans="1:8">
      <c r="A148">
        <v>147</v>
      </c>
      <c r="B148" s="1" t="s">
        <v>149</v>
      </c>
      <c r="C148" s="1">
        <v>56030</v>
      </c>
      <c r="F148">
        <v>146</v>
      </c>
      <c r="G148" s="1" t="s">
        <v>148</v>
      </c>
      <c r="H148" s="1">
        <v>54710</v>
      </c>
    </row>
    <row r="149" spans="1:8">
      <c r="A149">
        <v>148</v>
      </c>
      <c r="B149" s="1" t="s">
        <v>150</v>
      </c>
      <c r="C149" s="1">
        <v>56040</v>
      </c>
      <c r="F149">
        <v>147</v>
      </c>
      <c r="G149" s="1" t="s">
        <v>149</v>
      </c>
      <c r="H149" s="1">
        <v>56030</v>
      </c>
    </row>
    <row r="150" spans="1:8">
      <c r="A150">
        <v>149</v>
      </c>
      <c r="B150" s="1" t="s">
        <v>151</v>
      </c>
      <c r="C150" s="1">
        <v>57110</v>
      </c>
      <c r="F150">
        <v>148</v>
      </c>
      <c r="G150" s="1" t="s">
        <v>150</v>
      </c>
      <c r="H150" s="1">
        <v>56040</v>
      </c>
    </row>
    <row r="151" spans="1:8">
      <c r="A151">
        <v>150</v>
      </c>
      <c r="B151" s="1" t="s">
        <v>152</v>
      </c>
      <c r="C151" s="1">
        <v>55730</v>
      </c>
      <c r="F151">
        <v>149</v>
      </c>
      <c r="G151" s="1" t="s">
        <v>151</v>
      </c>
      <c r="H151" s="1">
        <v>57110</v>
      </c>
    </row>
    <row r="152" spans="1:8">
      <c r="A152">
        <v>151</v>
      </c>
      <c r="B152" s="1" t="s">
        <v>153</v>
      </c>
      <c r="C152" s="1">
        <v>57630</v>
      </c>
      <c r="F152">
        <v>150</v>
      </c>
      <c r="G152" s="1" t="s">
        <v>152</v>
      </c>
      <c r="H152" s="1">
        <v>55730</v>
      </c>
    </row>
    <row r="153" spans="1:8">
      <c r="A153">
        <v>152</v>
      </c>
      <c r="B153" s="1" t="s">
        <v>154</v>
      </c>
      <c r="C153" s="1">
        <v>58410</v>
      </c>
      <c r="F153">
        <v>151</v>
      </c>
      <c r="G153" s="1" t="s">
        <v>153</v>
      </c>
      <c r="H153" s="1">
        <v>57630</v>
      </c>
    </row>
    <row r="154" spans="1:8">
      <c r="A154">
        <v>153</v>
      </c>
      <c r="B154" s="1" t="s">
        <v>155</v>
      </c>
      <c r="C154" s="1">
        <v>57490</v>
      </c>
      <c r="F154">
        <v>152</v>
      </c>
      <c r="G154" s="1" t="s">
        <v>154</v>
      </c>
      <c r="H154" s="1">
        <v>58410</v>
      </c>
    </row>
    <row r="155" spans="1:8">
      <c r="A155">
        <v>154</v>
      </c>
      <c r="B155" s="1" t="s">
        <v>156</v>
      </c>
      <c r="C155" s="1">
        <v>58290</v>
      </c>
      <c r="F155">
        <v>153</v>
      </c>
      <c r="G155" s="1" t="s">
        <v>155</v>
      </c>
      <c r="H155" s="1">
        <v>57490</v>
      </c>
    </row>
    <row r="156" spans="1:8">
      <c r="A156">
        <v>155</v>
      </c>
      <c r="B156" s="1" t="s">
        <v>157</v>
      </c>
      <c r="C156" s="1">
        <v>58800</v>
      </c>
      <c r="F156">
        <v>154</v>
      </c>
      <c r="G156" s="1" t="s">
        <v>156</v>
      </c>
      <c r="H156" s="1">
        <v>58290</v>
      </c>
    </row>
    <row r="157" spans="1:8">
      <c r="A157">
        <v>156</v>
      </c>
      <c r="B157" s="1" t="s">
        <v>158</v>
      </c>
      <c r="C157" s="1">
        <v>60580</v>
      </c>
      <c r="F157">
        <v>155</v>
      </c>
      <c r="G157" s="1" t="s">
        <v>157</v>
      </c>
      <c r="H157" s="1">
        <v>58800</v>
      </c>
    </row>
    <row r="158" spans="1:8">
      <c r="A158">
        <v>157</v>
      </c>
      <c r="B158" s="1" t="s">
        <v>159</v>
      </c>
      <c r="C158" s="1">
        <v>61560</v>
      </c>
      <c r="F158">
        <v>156</v>
      </c>
      <c r="G158" s="1" t="s">
        <v>158</v>
      </c>
      <c r="H158" s="1">
        <v>60580</v>
      </c>
    </row>
    <row r="159" spans="1:8">
      <c r="A159">
        <v>158</v>
      </c>
      <c r="B159" s="1" t="s">
        <v>160</v>
      </c>
      <c r="C159" s="1">
        <v>65410</v>
      </c>
      <c r="F159">
        <v>157</v>
      </c>
      <c r="G159" s="1" t="s">
        <v>159</v>
      </c>
      <c r="H159" s="1">
        <v>61560</v>
      </c>
    </row>
    <row r="160" spans="1:8">
      <c r="A160">
        <v>159</v>
      </c>
      <c r="B160" s="1" t="s">
        <v>161</v>
      </c>
      <c r="C160" s="1">
        <v>65900</v>
      </c>
      <c r="F160">
        <v>158</v>
      </c>
      <c r="G160" s="1" t="s">
        <v>160</v>
      </c>
      <c r="H160" s="1">
        <v>65410</v>
      </c>
    </row>
    <row r="161" spans="1:8">
      <c r="A161">
        <v>160</v>
      </c>
      <c r="B161" s="1" t="s">
        <v>162</v>
      </c>
      <c r="C161" s="1">
        <v>66070</v>
      </c>
      <c r="F161">
        <v>159</v>
      </c>
      <c r="G161" s="1" t="s">
        <v>161</v>
      </c>
      <c r="H161" s="1">
        <v>65900</v>
      </c>
    </row>
    <row r="162" spans="1:8">
      <c r="A162">
        <v>161</v>
      </c>
      <c r="B162" s="1" t="s">
        <v>163</v>
      </c>
      <c r="C162" s="1">
        <v>68160</v>
      </c>
      <c r="F162">
        <v>160</v>
      </c>
      <c r="G162" s="1" t="s">
        <v>162</v>
      </c>
      <c r="H162" s="1">
        <v>66070</v>
      </c>
    </row>
    <row r="163" spans="1:8">
      <c r="A163">
        <v>162</v>
      </c>
      <c r="B163" s="1" t="s">
        <v>164</v>
      </c>
      <c r="C163" s="1">
        <v>72200</v>
      </c>
      <c r="F163">
        <v>161</v>
      </c>
      <c r="G163" s="1" t="s">
        <v>163</v>
      </c>
      <c r="H163" s="1">
        <v>68160</v>
      </c>
    </row>
    <row r="164" spans="1:8">
      <c r="A164">
        <v>163</v>
      </c>
      <c r="B164" s="1" t="s">
        <v>165</v>
      </c>
      <c r="C164" s="1">
        <v>71770</v>
      </c>
      <c r="F164">
        <v>162</v>
      </c>
      <c r="G164" s="1" t="s">
        <v>164</v>
      </c>
      <c r="H164" s="1">
        <v>72200</v>
      </c>
    </row>
    <row r="165" spans="1:8">
      <c r="A165">
        <v>164</v>
      </c>
      <c r="B165" s="1" t="s">
        <v>166</v>
      </c>
      <c r="C165" s="1">
        <v>72720</v>
      </c>
      <c r="F165">
        <v>163</v>
      </c>
      <c r="G165" s="1" t="s">
        <v>165</v>
      </c>
      <c r="H165" s="1">
        <v>71770</v>
      </c>
    </row>
    <row r="166" spans="1:8">
      <c r="A166">
        <v>165</v>
      </c>
      <c r="B166" s="1" t="s">
        <v>167</v>
      </c>
      <c r="C166" s="1">
        <v>75240</v>
      </c>
      <c r="F166">
        <v>164</v>
      </c>
      <c r="G166" s="1" t="s">
        <v>166</v>
      </c>
      <c r="H166" s="1">
        <v>72720</v>
      </c>
    </row>
    <row r="167" spans="1:8">
      <c r="A167">
        <v>166</v>
      </c>
      <c r="B167" s="1" t="s">
        <v>168</v>
      </c>
      <c r="C167" s="1">
        <v>77190</v>
      </c>
      <c r="F167">
        <v>165</v>
      </c>
      <c r="G167" s="1" t="s">
        <v>167</v>
      </c>
      <c r="H167" s="1">
        <v>75240</v>
      </c>
    </row>
    <row r="168" spans="1:8">
      <c r="A168">
        <v>167</v>
      </c>
      <c r="B168" s="1" t="s">
        <v>169</v>
      </c>
      <c r="C168" s="1">
        <v>79680</v>
      </c>
      <c r="F168">
        <v>166</v>
      </c>
      <c r="G168" s="1" t="s">
        <v>168</v>
      </c>
      <c r="H168" s="1">
        <v>77190</v>
      </c>
    </row>
    <row r="169" spans="1:8">
      <c r="A169">
        <v>168</v>
      </c>
      <c r="B169" s="1" t="s">
        <v>170</v>
      </c>
      <c r="C169" s="1">
        <v>81720</v>
      </c>
      <c r="F169">
        <v>167</v>
      </c>
      <c r="G169" s="1" t="s">
        <v>169</v>
      </c>
      <c r="H169" s="1">
        <v>79680</v>
      </c>
    </row>
    <row r="170" spans="1:8">
      <c r="A170">
        <v>169</v>
      </c>
      <c r="B170" s="1" t="s">
        <v>171</v>
      </c>
      <c r="C170" s="1">
        <v>79710</v>
      </c>
      <c r="F170">
        <v>168</v>
      </c>
      <c r="G170" s="1" t="s">
        <v>170</v>
      </c>
      <c r="H170" s="1">
        <v>81720</v>
      </c>
    </row>
    <row r="171" spans="1:8">
      <c r="A171">
        <v>170</v>
      </c>
      <c r="B171" s="1" t="s">
        <v>172</v>
      </c>
      <c r="C171" s="1">
        <v>82580</v>
      </c>
      <c r="F171">
        <v>169</v>
      </c>
      <c r="G171" s="1" t="s">
        <v>171</v>
      </c>
      <c r="H171" s="1">
        <v>79710</v>
      </c>
    </row>
    <row r="172" spans="1:8">
      <c r="A172">
        <v>171</v>
      </c>
      <c r="B172" s="1" t="s">
        <v>173</v>
      </c>
      <c r="C172" s="1">
        <v>82230</v>
      </c>
      <c r="F172">
        <v>170</v>
      </c>
      <c r="G172" s="1" t="s">
        <v>172</v>
      </c>
      <c r="H172" s="1">
        <v>82580</v>
      </c>
    </row>
    <row r="173" spans="1:8">
      <c r="A173">
        <v>172</v>
      </c>
      <c r="B173" s="1" t="s">
        <v>174</v>
      </c>
      <c r="C173" s="1">
        <v>84830</v>
      </c>
      <c r="F173">
        <v>171</v>
      </c>
      <c r="G173" s="1" t="s">
        <v>173</v>
      </c>
      <c r="H173" s="1">
        <v>82230</v>
      </c>
    </row>
    <row r="174" spans="1:8">
      <c r="A174">
        <v>173</v>
      </c>
      <c r="B174" s="1" t="s">
        <v>175</v>
      </c>
      <c r="C174" s="1">
        <v>88560</v>
      </c>
      <c r="F174">
        <v>172</v>
      </c>
      <c r="G174" s="1" t="s">
        <v>174</v>
      </c>
      <c r="H174" s="1">
        <v>84830</v>
      </c>
    </row>
    <row r="175" spans="1:8">
      <c r="A175">
        <v>174</v>
      </c>
      <c r="B175" s="1" t="s">
        <v>176</v>
      </c>
      <c r="C175" s="1">
        <v>92150</v>
      </c>
      <c r="F175">
        <v>173</v>
      </c>
      <c r="G175" s="1" t="s">
        <v>175</v>
      </c>
      <c r="H175" s="1">
        <v>88560</v>
      </c>
    </row>
    <row r="176" spans="1:8">
      <c r="A176">
        <v>175</v>
      </c>
      <c r="B176" s="1" t="s">
        <v>177</v>
      </c>
      <c r="C176" s="1">
        <v>92570</v>
      </c>
      <c r="F176">
        <v>174</v>
      </c>
      <c r="G176" s="1" t="s">
        <v>176</v>
      </c>
      <c r="H176" s="1">
        <v>92150</v>
      </c>
    </row>
    <row r="177" spans="1:8">
      <c r="A177">
        <v>176</v>
      </c>
      <c r="B177" s="1" t="s">
        <v>178</v>
      </c>
      <c r="C177" s="1">
        <v>92260</v>
      </c>
      <c r="F177">
        <v>175</v>
      </c>
      <c r="G177" s="1" t="s">
        <v>177</v>
      </c>
      <c r="H177" s="1">
        <v>92570</v>
      </c>
    </row>
    <row r="178" spans="1:8">
      <c r="A178">
        <v>177</v>
      </c>
      <c r="B178" s="1" t="s">
        <v>179</v>
      </c>
      <c r="C178" s="1">
        <v>95070</v>
      </c>
      <c r="F178">
        <v>176</v>
      </c>
      <c r="G178" s="1" t="s">
        <v>178</v>
      </c>
      <c r="H178" s="1">
        <v>92260</v>
      </c>
    </row>
    <row r="179" spans="1:8">
      <c r="A179">
        <v>178</v>
      </c>
      <c r="B179" s="1" t="s">
        <v>180</v>
      </c>
      <c r="C179" s="1">
        <v>92870</v>
      </c>
      <c r="F179">
        <v>177</v>
      </c>
      <c r="G179" s="1" t="s">
        <v>179</v>
      </c>
      <c r="H179" s="1">
        <v>95070</v>
      </c>
    </row>
    <row r="180" spans="1:8">
      <c r="A180">
        <v>179</v>
      </c>
      <c r="B180" s="1" t="s">
        <v>181</v>
      </c>
      <c r="C180" s="1">
        <v>93460</v>
      </c>
      <c r="F180">
        <v>178</v>
      </c>
      <c r="G180" s="1" t="s">
        <v>180</v>
      </c>
      <c r="H180" s="1">
        <v>92870</v>
      </c>
    </row>
    <row r="181" spans="1:8">
      <c r="A181">
        <v>180</v>
      </c>
      <c r="B181" s="1" t="s">
        <v>182</v>
      </c>
      <c r="C181" s="1">
        <v>93770</v>
      </c>
      <c r="F181">
        <v>179</v>
      </c>
      <c r="G181" s="1" t="s">
        <v>181</v>
      </c>
      <c r="H181" s="1">
        <v>93460</v>
      </c>
    </row>
    <row r="182" spans="1:8">
      <c r="A182">
        <v>181</v>
      </c>
      <c r="B182" s="1" t="s">
        <v>183</v>
      </c>
      <c r="C182" s="1">
        <v>95170</v>
      </c>
      <c r="F182">
        <v>180</v>
      </c>
      <c r="G182" s="1" t="s">
        <v>182</v>
      </c>
      <c r="H182" s="1">
        <v>93770</v>
      </c>
    </row>
    <row r="183" spans="1:8">
      <c r="A183">
        <v>182</v>
      </c>
      <c r="B183" s="1" t="s">
        <v>184</v>
      </c>
      <c r="C183" s="1">
        <v>94750</v>
      </c>
      <c r="F183">
        <v>181</v>
      </c>
      <c r="G183" s="1" t="s">
        <v>183</v>
      </c>
      <c r="H183" s="1">
        <v>95170</v>
      </c>
    </row>
    <row r="184" spans="1:8">
      <c r="A184">
        <v>183</v>
      </c>
      <c r="B184" s="1" t="s">
        <v>185</v>
      </c>
      <c r="C184" s="1">
        <v>93030</v>
      </c>
      <c r="F184">
        <v>182</v>
      </c>
      <c r="G184" s="1" t="s">
        <v>184</v>
      </c>
      <c r="H184" s="1">
        <v>94750</v>
      </c>
    </row>
    <row r="185" spans="1:8">
      <c r="A185">
        <v>184</v>
      </c>
      <c r="B185" s="1" t="s">
        <v>186</v>
      </c>
      <c r="C185" s="1">
        <v>92790</v>
      </c>
      <c r="F185">
        <v>183</v>
      </c>
      <c r="G185" s="1" t="s">
        <v>185</v>
      </c>
      <c r="H185" s="1">
        <v>93030</v>
      </c>
    </row>
    <row r="186" spans="1:8">
      <c r="A186">
        <v>185</v>
      </c>
      <c r="B186" s="1" t="s">
        <v>187</v>
      </c>
      <c r="C186" s="1">
        <v>93290</v>
      </c>
      <c r="F186">
        <v>184</v>
      </c>
      <c r="G186" s="1" t="s">
        <v>186</v>
      </c>
      <c r="H186" s="1">
        <v>92790</v>
      </c>
    </row>
    <row r="187" spans="1:8">
      <c r="A187">
        <v>186</v>
      </c>
      <c r="B187" s="1" t="s">
        <v>188</v>
      </c>
      <c r="C187" s="1">
        <v>92880</v>
      </c>
      <c r="F187">
        <v>185</v>
      </c>
      <c r="G187" s="1" t="s">
        <v>187</v>
      </c>
      <c r="H187" s="1">
        <v>93290</v>
      </c>
    </row>
    <row r="188" spans="1:8">
      <c r="A188">
        <v>187</v>
      </c>
      <c r="B188" s="1" t="s">
        <v>189</v>
      </c>
      <c r="C188" s="1">
        <v>94440</v>
      </c>
      <c r="F188">
        <v>186</v>
      </c>
      <c r="G188" s="1" t="s">
        <v>188</v>
      </c>
      <c r="H188" s="1">
        <v>92880</v>
      </c>
    </row>
    <row r="189" spans="1:8">
      <c r="A189">
        <v>188</v>
      </c>
      <c r="B189" s="1" t="s">
        <v>190</v>
      </c>
      <c r="C189" s="1">
        <v>93290</v>
      </c>
      <c r="F189">
        <v>187</v>
      </c>
      <c r="G189" s="1" t="s">
        <v>189</v>
      </c>
      <c r="H189" s="1">
        <v>94440</v>
      </c>
    </row>
    <row r="190" spans="1:8">
      <c r="A190">
        <v>189</v>
      </c>
      <c r="B190" s="1" t="s">
        <v>191</v>
      </c>
      <c r="C190" s="1">
        <v>91210</v>
      </c>
      <c r="F190">
        <v>188</v>
      </c>
      <c r="G190" s="1" t="s">
        <v>190</v>
      </c>
      <c r="H190" s="1">
        <v>93290</v>
      </c>
    </row>
    <row r="191" spans="1:8">
      <c r="A191">
        <v>190</v>
      </c>
      <c r="B191" s="1" t="s">
        <v>192</v>
      </c>
      <c r="C191" s="1">
        <v>93210</v>
      </c>
      <c r="F191">
        <v>189</v>
      </c>
      <c r="G191" s="1" t="s">
        <v>191</v>
      </c>
      <c r="H191" s="1">
        <v>91210</v>
      </c>
    </row>
    <row r="192" spans="1:8">
      <c r="A192">
        <v>191</v>
      </c>
      <c r="B192" s="1" t="s">
        <v>193</v>
      </c>
      <c r="C192" s="1">
        <v>93470</v>
      </c>
      <c r="F192">
        <v>190</v>
      </c>
      <c r="G192" s="1" t="s">
        <v>192</v>
      </c>
      <c r="H192" s="1">
        <v>93210</v>
      </c>
    </row>
    <row r="193" spans="1:8">
      <c r="A193">
        <v>192</v>
      </c>
      <c r="B193" s="1" t="s">
        <v>194</v>
      </c>
      <c r="C193" s="1">
        <v>94630</v>
      </c>
      <c r="F193">
        <v>191</v>
      </c>
      <c r="G193" s="1" t="s">
        <v>193</v>
      </c>
      <c r="H193" s="1">
        <v>93470</v>
      </c>
    </row>
    <row r="194" spans="1:8">
      <c r="A194">
        <v>193</v>
      </c>
      <c r="B194" s="1" t="s">
        <v>195</v>
      </c>
      <c r="C194" s="1">
        <v>94300</v>
      </c>
      <c r="F194">
        <v>192</v>
      </c>
      <c r="G194" s="1" t="s">
        <v>194</v>
      </c>
      <c r="H194" s="1">
        <v>94630</v>
      </c>
    </row>
    <row r="195" spans="1:8">
      <c r="A195">
        <v>194</v>
      </c>
      <c r="B195" s="1" t="s">
        <v>196</v>
      </c>
      <c r="C195" s="1">
        <v>93830</v>
      </c>
      <c r="F195">
        <v>193</v>
      </c>
      <c r="G195" s="1" t="s">
        <v>195</v>
      </c>
      <c r="H195" s="1">
        <v>94300</v>
      </c>
    </row>
    <row r="196" spans="1:8">
      <c r="A196">
        <v>195</v>
      </c>
      <c r="B196" s="1" t="s">
        <v>197</v>
      </c>
      <c r="C196" s="1">
        <v>85320</v>
      </c>
      <c r="F196">
        <v>194</v>
      </c>
      <c r="G196" s="1" t="s">
        <v>196</v>
      </c>
      <c r="H196" s="1">
        <v>93830</v>
      </c>
    </row>
    <row r="197" spans="1:8">
      <c r="A197">
        <v>196</v>
      </c>
      <c r="B197" s="1" t="s">
        <v>198</v>
      </c>
      <c r="C197" s="1">
        <v>97470</v>
      </c>
      <c r="F197">
        <v>195</v>
      </c>
      <c r="G197" s="1" t="s">
        <v>197</v>
      </c>
      <c r="H197" s="1">
        <v>85320</v>
      </c>
    </row>
    <row r="198" spans="1:8">
      <c r="A198">
        <v>197</v>
      </c>
      <c r="B198" s="1" t="s">
        <v>199</v>
      </c>
      <c r="C198" s="1">
        <v>94060</v>
      </c>
      <c r="F198">
        <v>196</v>
      </c>
      <c r="G198" s="1" t="s">
        <v>198</v>
      </c>
      <c r="H198" s="1">
        <v>97470</v>
      </c>
    </row>
    <row r="199" spans="1:8">
      <c r="A199">
        <v>198</v>
      </c>
      <c r="B199" s="1" t="s">
        <v>200</v>
      </c>
      <c r="C199" s="1">
        <v>96290</v>
      </c>
      <c r="F199">
        <v>197</v>
      </c>
      <c r="G199" s="1" t="s">
        <v>199</v>
      </c>
      <c r="H199" s="1">
        <v>94060</v>
      </c>
    </row>
    <row r="200" spans="1:8">
      <c r="A200">
        <v>199</v>
      </c>
      <c r="B200" s="1" t="s">
        <v>201</v>
      </c>
      <c r="C200" s="1">
        <v>95970</v>
      </c>
      <c r="F200">
        <v>198</v>
      </c>
      <c r="G200" s="1" t="s">
        <v>200</v>
      </c>
      <c r="H200" s="1">
        <v>96290</v>
      </c>
    </row>
    <row r="201" spans="1:8">
      <c r="A201">
        <v>200</v>
      </c>
      <c r="B201" s="1" t="s">
        <v>202</v>
      </c>
      <c r="C201" s="1">
        <v>92660</v>
      </c>
      <c r="F201">
        <v>199</v>
      </c>
      <c r="G201" s="1" t="s">
        <v>201</v>
      </c>
      <c r="H201" s="1">
        <v>95970</v>
      </c>
    </row>
    <row r="202" spans="1:8">
      <c r="A202">
        <v>201</v>
      </c>
      <c r="B202" s="1" t="s">
        <v>203</v>
      </c>
      <c r="C202" s="1">
        <v>92120</v>
      </c>
      <c r="F202">
        <v>200</v>
      </c>
      <c r="G202" s="1" t="s">
        <v>202</v>
      </c>
      <c r="H202" s="1">
        <v>92660</v>
      </c>
    </row>
    <row r="203" spans="1:8">
      <c r="A203">
        <v>202</v>
      </c>
      <c r="B203" s="1" t="s">
        <v>204</v>
      </c>
      <c r="C203" s="1">
        <v>91140</v>
      </c>
      <c r="F203">
        <v>201</v>
      </c>
      <c r="G203" s="1" t="s">
        <v>203</v>
      </c>
      <c r="H203" s="1">
        <v>92120</v>
      </c>
    </row>
    <row r="204" spans="1:8">
      <c r="A204">
        <v>203</v>
      </c>
      <c r="B204" s="1" t="s">
        <v>205</v>
      </c>
      <c r="C204" s="1">
        <v>92230</v>
      </c>
      <c r="F204">
        <v>202</v>
      </c>
      <c r="G204" s="1" t="s">
        <v>204</v>
      </c>
      <c r="H204" s="1">
        <v>91140</v>
      </c>
    </row>
    <row r="205" spans="1:8">
      <c r="A205">
        <v>204</v>
      </c>
      <c r="B205" s="1" t="s">
        <v>206</v>
      </c>
      <c r="C205" s="1">
        <v>88370</v>
      </c>
      <c r="F205">
        <v>203</v>
      </c>
      <c r="G205" s="1" t="s">
        <v>205</v>
      </c>
      <c r="H205" s="1">
        <v>92230</v>
      </c>
    </row>
    <row r="206" spans="1:8">
      <c r="A206">
        <v>205</v>
      </c>
      <c r="B206" s="1" t="s">
        <v>207</v>
      </c>
      <c r="C206" s="1">
        <v>87020</v>
      </c>
      <c r="F206">
        <v>204</v>
      </c>
      <c r="G206" s="1" t="s">
        <v>206</v>
      </c>
      <c r="H206" s="1">
        <v>88370</v>
      </c>
    </row>
    <row r="207" spans="1:8">
      <c r="A207">
        <v>206</v>
      </c>
      <c r="B207" s="1" t="s">
        <v>208</v>
      </c>
      <c r="C207" s="1">
        <v>86560</v>
      </c>
      <c r="F207">
        <v>205</v>
      </c>
      <c r="G207" s="1" t="s">
        <v>207</v>
      </c>
      <c r="H207" s="1">
        <v>87020</v>
      </c>
    </row>
    <row r="208" spans="1:8">
      <c r="A208">
        <v>207</v>
      </c>
      <c r="B208" s="1" t="s">
        <v>209</v>
      </c>
      <c r="C208" s="1">
        <v>86920</v>
      </c>
      <c r="F208">
        <v>206</v>
      </c>
      <c r="G208" s="1" t="s">
        <v>208</v>
      </c>
      <c r="H208" s="1">
        <v>86560</v>
      </c>
    </row>
    <row r="209" spans="1:8">
      <c r="A209">
        <v>208</v>
      </c>
      <c r="B209" s="1" t="s">
        <v>210</v>
      </c>
      <c r="C209" s="1">
        <v>84590</v>
      </c>
      <c r="F209">
        <v>207</v>
      </c>
      <c r="G209" s="1" t="s">
        <v>209</v>
      </c>
      <c r="H209" s="1">
        <v>86920</v>
      </c>
    </row>
    <row r="210" spans="1:8">
      <c r="A210">
        <v>209</v>
      </c>
      <c r="B210" s="1" t="s">
        <v>211</v>
      </c>
      <c r="C210" s="1">
        <v>84850</v>
      </c>
      <c r="F210">
        <v>208</v>
      </c>
      <c r="G210" s="1" t="s">
        <v>210</v>
      </c>
      <c r="H210" s="1">
        <v>84590</v>
      </c>
    </row>
    <row r="211" spans="1:8">
      <c r="A211">
        <v>210</v>
      </c>
      <c r="B211" s="1" t="s">
        <v>212</v>
      </c>
      <c r="C211" s="1">
        <v>84420</v>
      </c>
      <c r="F211">
        <v>209</v>
      </c>
      <c r="G211" s="1" t="s">
        <v>211</v>
      </c>
      <c r="H211" s="1">
        <v>84850</v>
      </c>
    </row>
    <row r="212" spans="1:8">
      <c r="A212">
        <v>211</v>
      </c>
      <c r="B212" s="1" t="s">
        <v>213</v>
      </c>
      <c r="C212" s="1">
        <v>84870</v>
      </c>
      <c r="F212">
        <v>210</v>
      </c>
      <c r="G212" s="1" t="s">
        <v>212</v>
      </c>
      <c r="H212" s="1">
        <v>84420</v>
      </c>
    </row>
    <row r="213" spans="1:8">
      <c r="A213">
        <v>212</v>
      </c>
      <c r="B213" s="1" t="s">
        <v>214</v>
      </c>
      <c r="C213" s="1">
        <v>84910</v>
      </c>
      <c r="F213">
        <v>211</v>
      </c>
      <c r="G213" s="1" t="s">
        <v>213</v>
      </c>
      <c r="H213" s="1">
        <v>84870</v>
      </c>
    </row>
    <row r="214" spans="1:8">
      <c r="A214">
        <v>213</v>
      </c>
      <c r="B214" s="1" t="s">
        <v>215</v>
      </c>
      <c r="C214" s="1">
        <v>86200</v>
      </c>
      <c r="F214">
        <v>212</v>
      </c>
      <c r="G214" s="1" t="s">
        <v>214</v>
      </c>
      <c r="H214" s="1">
        <v>84910</v>
      </c>
    </row>
    <row r="215" spans="1:8">
      <c r="A215">
        <v>214</v>
      </c>
      <c r="B215" s="1" t="s">
        <v>216</v>
      </c>
      <c r="C215" s="1">
        <v>87780</v>
      </c>
      <c r="F215">
        <v>213</v>
      </c>
      <c r="G215" s="1" t="s">
        <v>215</v>
      </c>
      <c r="H215" s="1">
        <v>86200</v>
      </c>
    </row>
    <row r="216" spans="1:8">
      <c r="A216">
        <v>215</v>
      </c>
      <c r="B216" s="1" t="s">
        <v>217</v>
      </c>
      <c r="C216" s="1">
        <v>89240</v>
      </c>
      <c r="F216">
        <v>214</v>
      </c>
      <c r="G216" s="1" t="s">
        <v>216</v>
      </c>
      <c r="H216" s="1">
        <v>87780</v>
      </c>
    </row>
    <row r="217" spans="1:8">
      <c r="A217">
        <v>216</v>
      </c>
      <c r="B217" s="1" t="s">
        <v>218</v>
      </c>
      <c r="C217" s="1">
        <v>85920</v>
      </c>
      <c r="F217">
        <v>215</v>
      </c>
      <c r="G217" s="1" t="s">
        <v>217</v>
      </c>
      <c r="H217" s="1">
        <v>89240</v>
      </c>
    </row>
    <row r="218" spans="1:8">
      <c r="A218">
        <v>217</v>
      </c>
      <c r="B218" s="1" t="s">
        <v>219</v>
      </c>
      <c r="C218" s="1">
        <v>88610</v>
      </c>
      <c r="F218">
        <v>216</v>
      </c>
      <c r="G218" s="1" t="s">
        <v>218</v>
      </c>
      <c r="H218" s="1">
        <v>85920</v>
      </c>
    </row>
    <row r="219" spans="1:8">
      <c r="A219">
        <v>218</v>
      </c>
      <c r="B219" s="1" t="s">
        <v>220</v>
      </c>
      <c r="C219" s="1">
        <v>85650</v>
      </c>
      <c r="F219">
        <v>217</v>
      </c>
      <c r="G219" s="1" t="s">
        <v>219</v>
      </c>
      <c r="H219" s="1">
        <v>88610</v>
      </c>
    </row>
    <row r="220" spans="1:8">
      <c r="A220">
        <v>219</v>
      </c>
      <c r="B220" s="1" t="s">
        <v>221</v>
      </c>
      <c r="C220" s="1">
        <v>86700</v>
      </c>
      <c r="F220">
        <v>218</v>
      </c>
      <c r="G220" s="1" t="s">
        <v>220</v>
      </c>
      <c r="H220" s="1">
        <v>85650</v>
      </c>
    </row>
    <row r="221" spans="1:8">
      <c r="A221">
        <v>220</v>
      </c>
      <c r="B221" s="1" t="s">
        <v>222</v>
      </c>
      <c r="C221" s="1">
        <v>87180</v>
      </c>
      <c r="F221">
        <v>219</v>
      </c>
      <c r="G221" s="1" t="s">
        <v>221</v>
      </c>
      <c r="H221" s="1">
        <v>86700</v>
      </c>
    </row>
    <row r="222" spans="1:8">
      <c r="A222">
        <v>221</v>
      </c>
      <c r="B222" s="1" t="s">
        <v>223</v>
      </c>
      <c r="C222" s="1">
        <v>87850</v>
      </c>
      <c r="F222">
        <v>220</v>
      </c>
      <c r="G222" s="1" t="s">
        <v>222</v>
      </c>
      <c r="H222" s="1">
        <v>87180</v>
      </c>
    </row>
    <row r="223" spans="1:8">
      <c r="A223">
        <v>222</v>
      </c>
      <c r="B223" s="1" t="s">
        <v>224</v>
      </c>
      <c r="C223" s="1">
        <v>86350</v>
      </c>
      <c r="F223">
        <v>221</v>
      </c>
      <c r="G223" s="1" t="s">
        <v>223</v>
      </c>
      <c r="H223" s="1">
        <v>87850</v>
      </c>
    </row>
    <row r="224" spans="1:8">
      <c r="A224">
        <v>223</v>
      </c>
      <c r="B224" s="1" t="s">
        <v>225</v>
      </c>
      <c r="C224" s="1">
        <v>90000</v>
      </c>
      <c r="F224">
        <v>222</v>
      </c>
      <c r="G224" s="1" t="s">
        <v>224</v>
      </c>
      <c r="H224" s="1">
        <v>86350</v>
      </c>
    </row>
    <row r="225" spans="1:8">
      <c r="A225">
        <v>224</v>
      </c>
      <c r="B225" s="1" t="s">
        <v>226</v>
      </c>
      <c r="C225" s="1">
        <v>100000</v>
      </c>
      <c r="F225">
        <v>223</v>
      </c>
      <c r="G225" s="1" t="s">
        <v>225</v>
      </c>
      <c r="H225" s="1">
        <v>90000</v>
      </c>
    </row>
    <row r="226" spans="1:8">
      <c r="A226">
        <v>225</v>
      </c>
      <c r="B226" s="1" t="s">
        <v>227</v>
      </c>
      <c r="C226" s="1">
        <v>86820</v>
      </c>
      <c r="F226">
        <v>224</v>
      </c>
      <c r="G226" s="1" t="s">
        <v>226</v>
      </c>
      <c r="H226" s="1">
        <v>100000</v>
      </c>
    </row>
    <row r="227" spans="1:8">
      <c r="A227">
        <v>226</v>
      </c>
      <c r="B227" s="1" t="s">
        <v>228</v>
      </c>
      <c r="C227" s="1">
        <v>89250</v>
      </c>
      <c r="F227">
        <v>225</v>
      </c>
      <c r="G227" s="1" t="s">
        <v>227</v>
      </c>
      <c r="H227" s="1">
        <v>86820</v>
      </c>
    </row>
    <row r="228" spans="1:8">
      <c r="A228">
        <v>227</v>
      </c>
      <c r="B228" s="1" t="s">
        <v>229</v>
      </c>
      <c r="C228" s="1">
        <v>90080</v>
      </c>
      <c r="F228">
        <v>226</v>
      </c>
      <c r="G228" s="1" t="s">
        <v>228</v>
      </c>
      <c r="H228" s="1">
        <v>89250</v>
      </c>
    </row>
    <row r="229" spans="1:8">
      <c r="A229">
        <v>228</v>
      </c>
      <c r="B229" s="1" t="s">
        <v>230</v>
      </c>
      <c r="C229" s="1">
        <v>87890</v>
      </c>
      <c r="F229">
        <v>227</v>
      </c>
      <c r="G229" s="1" t="s">
        <v>229</v>
      </c>
      <c r="H229" s="1">
        <v>90080</v>
      </c>
    </row>
    <row r="230" spans="1:8">
      <c r="A230">
        <v>229</v>
      </c>
      <c r="B230" s="1" t="s">
        <v>231</v>
      </c>
      <c r="C230" s="1">
        <v>86390</v>
      </c>
      <c r="F230">
        <v>228</v>
      </c>
      <c r="G230" s="1" t="s">
        <v>230</v>
      </c>
      <c r="H230" s="1">
        <v>87890</v>
      </c>
    </row>
    <row r="231" spans="1:8">
      <c r="A231">
        <v>230</v>
      </c>
      <c r="B231" s="1" t="s">
        <v>232</v>
      </c>
      <c r="C231" s="1">
        <v>84200</v>
      </c>
      <c r="F231">
        <v>229</v>
      </c>
      <c r="G231" s="1" t="s">
        <v>231</v>
      </c>
      <c r="H231" s="1">
        <v>86390</v>
      </c>
    </row>
    <row r="232" spans="1:8">
      <c r="A232">
        <v>231</v>
      </c>
      <c r="B232" s="1" t="s">
        <v>233</v>
      </c>
      <c r="C232" s="1">
        <v>84260</v>
      </c>
      <c r="F232">
        <v>230</v>
      </c>
      <c r="G232" s="1" t="s">
        <v>232</v>
      </c>
      <c r="H232" s="1">
        <v>84200</v>
      </c>
    </row>
    <row r="233" spans="1:8">
      <c r="A233">
        <v>232</v>
      </c>
      <c r="B233" s="1" t="s">
        <v>234</v>
      </c>
      <c r="C233" s="1">
        <v>82360</v>
      </c>
      <c r="F233">
        <v>231</v>
      </c>
      <c r="G233" s="1" t="s">
        <v>233</v>
      </c>
      <c r="H233" s="1">
        <v>84260</v>
      </c>
    </row>
    <row r="234" spans="1:8">
      <c r="A234">
        <v>233</v>
      </c>
      <c r="B234" s="1" t="s">
        <v>235</v>
      </c>
      <c r="C234" s="1">
        <v>83100</v>
      </c>
      <c r="F234">
        <v>232</v>
      </c>
      <c r="G234" s="1" t="s">
        <v>234</v>
      </c>
      <c r="H234" s="1">
        <v>82360</v>
      </c>
    </row>
    <row r="235" spans="1:8">
      <c r="A235">
        <v>234</v>
      </c>
      <c r="B235" s="1" t="s">
        <v>236</v>
      </c>
      <c r="C235" s="1">
        <v>83290</v>
      </c>
      <c r="F235">
        <v>233</v>
      </c>
      <c r="G235" s="1" t="s">
        <v>235</v>
      </c>
      <c r="H235" s="1">
        <v>83100</v>
      </c>
    </row>
    <row r="236" spans="1:8">
      <c r="A236">
        <v>235</v>
      </c>
      <c r="B236" s="1" t="s">
        <v>237</v>
      </c>
      <c r="C236" s="1">
        <v>82820</v>
      </c>
      <c r="F236">
        <v>234</v>
      </c>
      <c r="G236" s="1" t="s">
        <v>236</v>
      </c>
      <c r="H236" s="1">
        <v>83290</v>
      </c>
    </row>
    <row r="237" spans="1:8">
      <c r="A237">
        <v>236</v>
      </c>
      <c r="B237" s="1" t="s">
        <v>238</v>
      </c>
      <c r="C237" s="1">
        <v>79970</v>
      </c>
      <c r="F237">
        <v>235</v>
      </c>
      <c r="G237" s="1" t="s">
        <v>237</v>
      </c>
      <c r="H237" s="1">
        <v>82820</v>
      </c>
    </row>
    <row r="238" spans="1:8">
      <c r="A238">
        <v>237</v>
      </c>
      <c r="B238" s="1" t="s">
        <v>239</v>
      </c>
      <c r="C238" s="1">
        <v>80800</v>
      </c>
      <c r="F238">
        <v>236</v>
      </c>
      <c r="G238" s="1" t="s">
        <v>238</v>
      </c>
      <c r="H238" s="1">
        <v>79970</v>
      </c>
    </row>
    <row r="239" spans="1:8">
      <c r="A239">
        <v>238</v>
      </c>
      <c r="B239" s="1" t="s">
        <v>240</v>
      </c>
      <c r="C239" s="1">
        <v>78560</v>
      </c>
      <c r="F239">
        <v>237</v>
      </c>
      <c r="G239" s="1" t="s">
        <v>239</v>
      </c>
      <c r="H239" s="1">
        <v>80800</v>
      </c>
    </row>
    <row r="240" spans="1:8">
      <c r="A240">
        <v>239</v>
      </c>
      <c r="B240" s="1" t="s">
        <v>241</v>
      </c>
      <c r="C240" s="1">
        <v>79380</v>
      </c>
      <c r="F240">
        <v>238</v>
      </c>
      <c r="G240" s="1" t="s">
        <v>240</v>
      </c>
      <c r="H240" s="1">
        <v>78560</v>
      </c>
    </row>
    <row r="241" spans="1:8">
      <c r="A241">
        <v>240</v>
      </c>
      <c r="B241" s="1" t="s">
        <v>242</v>
      </c>
      <c r="C241" s="1">
        <v>79480</v>
      </c>
      <c r="F241">
        <v>239</v>
      </c>
      <c r="G241" s="1" t="s">
        <v>241</v>
      </c>
      <c r="H241" s="1">
        <v>79380</v>
      </c>
    </row>
    <row r="242" spans="1:8">
      <c r="A242">
        <v>241</v>
      </c>
      <c r="B242" s="1" t="s">
        <v>243</v>
      </c>
      <c r="C242" s="1">
        <v>79160</v>
      </c>
      <c r="F242">
        <v>240</v>
      </c>
      <c r="G242" s="1" t="s">
        <v>242</v>
      </c>
      <c r="H242" s="1">
        <v>79480</v>
      </c>
    </row>
    <row r="243" spans="1:8">
      <c r="A243">
        <v>242</v>
      </c>
      <c r="B243" s="1" t="s">
        <v>244</v>
      </c>
      <c r="C243" s="1">
        <v>78670</v>
      </c>
      <c r="F243">
        <v>241</v>
      </c>
      <c r="G243" s="1" t="s">
        <v>243</v>
      </c>
      <c r="H243" s="1">
        <v>79160</v>
      </c>
    </row>
    <row r="244" spans="1:8">
      <c r="A244">
        <v>243</v>
      </c>
      <c r="B244" s="1" t="s">
        <v>245</v>
      </c>
      <c r="C244" s="1">
        <v>77490</v>
      </c>
      <c r="F244">
        <v>242</v>
      </c>
      <c r="G244" s="1" t="s">
        <v>244</v>
      </c>
      <c r="H244" s="1">
        <v>78670</v>
      </c>
    </row>
    <row r="245" spans="1:8">
      <c r="A245">
        <v>244</v>
      </c>
      <c r="B245" s="1" t="s">
        <v>246</v>
      </c>
      <c r="C245" s="1">
        <v>75370</v>
      </c>
      <c r="F245">
        <v>243</v>
      </c>
      <c r="G245" s="1" t="s">
        <v>245</v>
      </c>
      <c r="H245" s="1">
        <v>77490</v>
      </c>
    </row>
    <row r="246" spans="1:8">
      <c r="A246">
        <v>245</v>
      </c>
      <c r="B246" s="1" t="s">
        <v>247</v>
      </c>
      <c r="C246" s="1">
        <v>72090</v>
      </c>
      <c r="F246">
        <v>244</v>
      </c>
      <c r="G246" s="1" t="s">
        <v>246</v>
      </c>
      <c r="H246" s="1">
        <v>75370</v>
      </c>
    </row>
    <row r="247" spans="1:8">
      <c r="A247">
        <v>246</v>
      </c>
      <c r="B247" s="1" t="s">
        <v>248</v>
      </c>
      <c r="C247" s="1">
        <v>73370</v>
      </c>
      <c r="F247">
        <v>245</v>
      </c>
      <c r="G247" s="1" t="s">
        <v>247</v>
      </c>
      <c r="H247" s="1">
        <v>72090</v>
      </c>
    </row>
    <row r="248" spans="1:8">
      <c r="A248">
        <v>247</v>
      </c>
      <c r="B248" s="1" t="s">
        <v>249</v>
      </c>
      <c r="C248" s="1">
        <v>70150</v>
      </c>
      <c r="F248">
        <v>246</v>
      </c>
      <c r="G248" s="1" t="s">
        <v>248</v>
      </c>
      <c r="H248" s="1">
        <v>73370</v>
      </c>
    </row>
    <row r="249" spans="1:8">
      <c r="A249">
        <v>248</v>
      </c>
      <c r="B249" s="1" t="s">
        <v>250</v>
      </c>
      <c r="C249" s="1">
        <v>70250</v>
      </c>
      <c r="F249">
        <v>247</v>
      </c>
      <c r="G249" s="1" t="s">
        <v>249</v>
      </c>
      <c r="H249" s="1">
        <v>70150</v>
      </c>
    </row>
    <row r="250" spans="1:8">
      <c r="A250">
        <v>249</v>
      </c>
      <c r="B250" s="1" t="s">
        <v>251</v>
      </c>
      <c r="C250" s="1">
        <v>70200</v>
      </c>
      <c r="F250">
        <v>248</v>
      </c>
      <c r="G250" s="1" t="s">
        <v>250</v>
      </c>
      <c r="H250" s="1">
        <v>70250</v>
      </c>
    </row>
    <row r="251" spans="1:8">
      <c r="A251">
        <v>250</v>
      </c>
      <c r="B251" s="1" t="s">
        <v>252</v>
      </c>
      <c r="C251" s="1">
        <v>70230</v>
      </c>
      <c r="F251">
        <v>249</v>
      </c>
      <c r="G251" s="1" t="s">
        <v>251</v>
      </c>
      <c r="H251" s="1">
        <v>70200</v>
      </c>
    </row>
    <row r="252" spans="1:8">
      <c r="A252">
        <v>251</v>
      </c>
      <c r="B252" s="1" t="s">
        <v>253</v>
      </c>
      <c r="C252" s="1">
        <v>70080</v>
      </c>
      <c r="F252">
        <v>250</v>
      </c>
      <c r="G252" s="1" t="s">
        <v>252</v>
      </c>
      <c r="H252" s="1">
        <v>70230</v>
      </c>
    </row>
    <row r="253" spans="1:8">
      <c r="A253">
        <v>252</v>
      </c>
      <c r="B253" s="1" t="s">
        <v>254</v>
      </c>
      <c r="C253" s="1">
        <v>69470</v>
      </c>
      <c r="F253">
        <v>251</v>
      </c>
      <c r="G253" s="1" t="s">
        <v>253</v>
      </c>
      <c r="H253" s="1">
        <v>70080</v>
      </c>
    </row>
    <row r="254" spans="1:8">
      <c r="A254">
        <v>253</v>
      </c>
      <c r="B254" s="1" t="s">
        <v>255</v>
      </c>
      <c r="C254" s="1">
        <v>68930</v>
      </c>
      <c r="F254">
        <v>252</v>
      </c>
      <c r="G254" s="1" t="s">
        <v>254</v>
      </c>
      <c r="H254" s="1">
        <v>69470</v>
      </c>
    </row>
    <row r="255" spans="1:8">
      <c r="A255">
        <v>254</v>
      </c>
      <c r="B255" s="1" t="s">
        <v>256</v>
      </c>
      <c r="C255" s="1">
        <v>69110</v>
      </c>
      <c r="F255">
        <v>253</v>
      </c>
      <c r="G255" s="1" t="s">
        <v>255</v>
      </c>
      <c r="H255" s="1">
        <v>68930</v>
      </c>
    </row>
    <row r="256" spans="1:8">
      <c r="A256">
        <v>255</v>
      </c>
      <c r="B256" s="1" t="s">
        <v>257</v>
      </c>
      <c r="C256" s="1">
        <v>69630</v>
      </c>
      <c r="F256">
        <v>254</v>
      </c>
      <c r="G256" s="1" t="s">
        <v>256</v>
      </c>
      <c r="H256" s="1">
        <v>69110</v>
      </c>
    </row>
    <row r="257" spans="1:8">
      <c r="A257">
        <v>256</v>
      </c>
      <c r="B257" s="1" t="s">
        <v>258</v>
      </c>
      <c r="C257" s="1">
        <v>69980</v>
      </c>
      <c r="F257">
        <v>255</v>
      </c>
      <c r="G257" s="1" t="s">
        <v>257</v>
      </c>
      <c r="H257" s="1">
        <v>69630</v>
      </c>
    </row>
    <row r="258" spans="1:8">
      <c r="A258">
        <v>257</v>
      </c>
      <c r="B258" s="1" t="s">
        <v>259</v>
      </c>
      <c r="C258" s="1">
        <v>71620</v>
      </c>
      <c r="F258">
        <v>256</v>
      </c>
      <c r="G258" s="1" t="s">
        <v>258</v>
      </c>
      <c r="H258" s="1">
        <v>69980</v>
      </c>
    </row>
    <row r="259" spans="1:8">
      <c r="A259">
        <v>258</v>
      </c>
      <c r="B259" s="1" t="s">
        <v>260</v>
      </c>
      <c r="C259" s="1">
        <v>69370</v>
      </c>
      <c r="F259">
        <v>257</v>
      </c>
      <c r="G259" s="1" t="s">
        <v>259</v>
      </c>
      <c r="H259" s="1">
        <v>71620</v>
      </c>
    </row>
    <row r="260" spans="1:8">
      <c r="A260">
        <v>259</v>
      </c>
      <c r="B260" s="1" t="s">
        <v>261</v>
      </c>
      <c r="C260" s="1">
        <v>69580</v>
      </c>
      <c r="F260">
        <v>258</v>
      </c>
      <c r="G260" s="1" t="s">
        <v>260</v>
      </c>
      <c r="H260" s="1">
        <v>69370</v>
      </c>
    </row>
    <row r="261" spans="1:8">
      <c r="A261">
        <v>260</v>
      </c>
      <c r="B261" s="1" t="s">
        <v>262</v>
      </c>
      <c r="C261" s="1">
        <v>69750</v>
      </c>
      <c r="F261">
        <v>259</v>
      </c>
      <c r="G261" s="1" t="s">
        <v>261</v>
      </c>
      <c r="H261" s="1">
        <v>69580</v>
      </c>
    </row>
    <row r="262" spans="1:8">
      <c r="A262">
        <v>261</v>
      </c>
      <c r="B262" s="1" t="s">
        <v>263</v>
      </c>
      <c r="C262" s="1">
        <v>69760</v>
      </c>
      <c r="F262">
        <v>260</v>
      </c>
      <c r="G262" s="1" t="s">
        <v>262</v>
      </c>
      <c r="H262" s="1">
        <v>69750</v>
      </c>
    </row>
    <row r="263" spans="1:8">
      <c r="A263">
        <v>262</v>
      </c>
      <c r="B263" s="1" t="s">
        <v>264</v>
      </c>
      <c r="C263" s="1">
        <v>69900</v>
      </c>
      <c r="F263">
        <v>261</v>
      </c>
      <c r="G263" s="1" t="s">
        <v>263</v>
      </c>
      <c r="H263" s="1">
        <v>69760</v>
      </c>
    </row>
    <row r="264" spans="1:8">
      <c r="A264">
        <v>263</v>
      </c>
      <c r="B264" s="1" t="s">
        <v>265</v>
      </c>
      <c r="C264" s="1">
        <v>67560</v>
      </c>
      <c r="F264">
        <v>262</v>
      </c>
      <c r="G264" s="1" t="s">
        <v>264</v>
      </c>
      <c r="H264" s="1">
        <v>69900</v>
      </c>
    </row>
    <row r="265" spans="1:8">
      <c r="A265">
        <v>264</v>
      </c>
      <c r="B265" s="1" t="s">
        <v>266</v>
      </c>
      <c r="C265" s="1">
        <v>65140</v>
      </c>
      <c r="F265">
        <v>263</v>
      </c>
      <c r="G265" s="1" t="s">
        <v>265</v>
      </c>
      <c r="H265" s="1">
        <v>67560</v>
      </c>
    </row>
    <row r="266" spans="1:8">
      <c r="A266">
        <v>265</v>
      </c>
      <c r="B266" s="1" t="s">
        <v>267</v>
      </c>
      <c r="C266" s="1">
        <v>66350</v>
      </c>
      <c r="F266">
        <v>264</v>
      </c>
      <c r="G266" s="1" t="s">
        <v>266</v>
      </c>
      <c r="H266" s="1">
        <v>65140</v>
      </c>
    </row>
    <row r="267" spans="1:8">
      <c r="A267">
        <v>266</v>
      </c>
      <c r="B267" s="1" t="s">
        <v>268</v>
      </c>
      <c r="C267" s="1">
        <v>67460</v>
      </c>
      <c r="F267">
        <v>265</v>
      </c>
      <c r="G267" s="1" t="s">
        <v>267</v>
      </c>
      <c r="H267" s="1">
        <v>66350</v>
      </c>
    </row>
    <row r="268" spans="1:8">
      <c r="A268">
        <v>267</v>
      </c>
      <c r="B268" s="1" t="s">
        <v>269</v>
      </c>
      <c r="C268" s="1">
        <v>69620</v>
      </c>
      <c r="F268">
        <v>266</v>
      </c>
      <c r="G268" s="1" t="s">
        <v>268</v>
      </c>
      <c r="H268" s="1">
        <v>67460</v>
      </c>
    </row>
    <row r="269" spans="1:8">
      <c r="A269">
        <v>268</v>
      </c>
      <c r="B269" s="1" t="s">
        <v>270</v>
      </c>
      <c r="C269" s="1">
        <v>69370</v>
      </c>
      <c r="F269">
        <v>267</v>
      </c>
      <c r="G269" s="1" t="s">
        <v>269</v>
      </c>
      <c r="H269" s="1">
        <v>69620</v>
      </c>
    </row>
    <row r="270" spans="1:8">
      <c r="A270">
        <v>269</v>
      </c>
      <c r="B270" s="1" t="s">
        <v>271</v>
      </c>
      <c r="C270" s="1">
        <v>68620</v>
      </c>
      <c r="F270">
        <v>268</v>
      </c>
      <c r="G270" s="1" t="s">
        <v>270</v>
      </c>
      <c r="H270" s="1">
        <v>69370</v>
      </c>
    </row>
    <row r="271" spans="1:8">
      <c r="A271">
        <v>270</v>
      </c>
      <c r="B271" s="1" t="s">
        <v>272</v>
      </c>
      <c r="C271" s="1">
        <v>72130</v>
      </c>
      <c r="F271">
        <v>269</v>
      </c>
      <c r="G271" s="1" t="s">
        <v>271</v>
      </c>
      <c r="H271" s="1">
        <v>68620</v>
      </c>
    </row>
    <row r="272" spans="1:8">
      <c r="A272">
        <v>271</v>
      </c>
      <c r="B272" s="1" t="s">
        <v>273</v>
      </c>
      <c r="C272" s="1">
        <v>71840</v>
      </c>
      <c r="F272">
        <v>270</v>
      </c>
      <c r="G272" s="1" t="s">
        <v>272</v>
      </c>
      <c r="H272" s="1">
        <v>72130</v>
      </c>
    </row>
    <row r="273" spans="1:8">
      <c r="A273">
        <v>272</v>
      </c>
      <c r="B273" s="1" t="s">
        <v>274</v>
      </c>
      <c r="C273" s="1">
        <v>70780</v>
      </c>
      <c r="F273">
        <v>271</v>
      </c>
      <c r="G273" s="1" t="s">
        <v>273</v>
      </c>
      <c r="H273" s="1">
        <v>71840</v>
      </c>
    </row>
    <row r="274" spans="1:8">
      <c r="A274">
        <v>273</v>
      </c>
      <c r="B274" s="1" t="s">
        <v>275</v>
      </c>
      <c r="C274" s="1">
        <v>70440</v>
      </c>
      <c r="F274">
        <v>272</v>
      </c>
      <c r="G274" s="1" t="s">
        <v>274</v>
      </c>
      <c r="H274" s="1">
        <v>70780</v>
      </c>
    </row>
    <row r="275" spans="1:8">
      <c r="A275">
        <v>274</v>
      </c>
      <c r="B275" s="1" t="s">
        <v>276</v>
      </c>
      <c r="C275" s="1">
        <v>70180</v>
      </c>
      <c r="F275">
        <v>273</v>
      </c>
      <c r="G275" s="1" t="s">
        <v>275</v>
      </c>
      <c r="H275" s="1">
        <v>70440</v>
      </c>
    </row>
    <row r="276" spans="1:8">
      <c r="A276">
        <v>275</v>
      </c>
      <c r="B276" s="1" t="s">
        <v>277</v>
      </c>
      <c r="C276" s="1">
        <v>70090</v>
      </c>
      <c r="F276">
        <v>274</v>
      </c>
      <c r="G276" s="1" t="s">
        <v>276</v>
      </c>
      <c r="H276" s="1">
        <v>70180</v>
      </c>
    </row>
    <row r="277" spans="1:8">
      <c r="A277">
        <v>276</v>
      </c>
      <c r="B277" s="1" t="s">
        <v>278</v>
      </c>
      <c r="C277" s="1">
        <v>71120</v>
      </c>
      <c r="F277">
        <v>275</v>
      </c>
      <c r="G277" s="1" t="s">
        <v>277</v>
      </c>
      <c r="H277" s="1">
        <v>70090</v>
      </c>
    </row>
    <row r="278" spans="1:8">
      <c r="A278">
        <v>277</v>
      </c>
      <c r="B278" s="1" t="s">
        <v>279</v>
      </c>
      <c r="C278" s="1">
        <v>71110</v>
      </c>
      <c r="F278">
        <v>276</v>
      </c>
      <c r="G278" s="1" t="s">
        <v>278</v>
      </c>
      <c r="H278" s="1">
        <v>71120</v>
      </c>
    </row>
    <row r="279" spans="1:8">
      <c r="A279">
        <v>278</v>
      </c>
      <c r="B279" s="1" t="s">
        <v>280</v>
      </c>
      <c r="C279" s="1">
        <v>70930</v>
      </c>
      <c r="F279">
        <v>277</v>
      </c>
      <c r="G279" s="1" t="s">
        <v>279</v>
      </c>
      <c r="H279" s="1">
        <v>71110</v>
      </c>
    </row>
    <row r="280" spans="1:8">
      <c r="A280">
        <v>279</v>
      </c>
      <c r="B280" s="1" t="s">
        <v>281</v>
      </c>
      <c r="C280" s="1">
        <v>68580</v>
      </c>
      <c r="F280">
        <v>278</v>
      </c>
      <c r="G280" s="1" t="s">
        <v>280</v>
      </c>
      <c r="H280" s="1">
        <v>70930</v>
      </c>
    </row>
    <row r="281" spans="1:8">
      <c r="A281">
        <v>280</v>
      </c>
      <c r="B281" s="1" t="s">
        <v>282</v>
      </c>
      <c r="C281" s="1">
        <v>69810</v>
      </c>
      <c r="F281">
        <v>279</v>
      </c>
      <c r="G281" s="1" t="s">
        <v>281</v>
      </c>
      <c r="H281" s="1">
        <v>68580</v>
      </c>
    </row>
    <row r="282" spans="1:8">
      <c r="A282">
        <v>281</v>
      </c>
      <c r="B282" s="1" t="s">
        <v>283</v>
      </c>
      <c r="C282" s="1">
        <v>69620</v>
      </c>
      <c r="F282">
        <v>280</v>
      </c>
      <c r="G282" s="1" t="s">
        <v>282</v>
      </c>
      <c r="H282" s="1">
        <v>69810</v>
      </c>
    </row>
    <row r="283" spans="1:8">
      <c r="A283">
        <v>282</v>
      </c>
      <c r="B283" s="1" t="s">
        <v>284</v>
      </c>
      <c r="C283" s="1">
        <v>70180</v>
      </c>
      <c r="F283">
        <v>281</v>
      </c>
      <c r="G283" s="1" t="s">
        <v>283</v>
      </c>
      <c r="H283" s="1">
        <v>69620</v>
      </c>
    </row>
    <row r="284" spans="1:8">
      <c r="A284">
        <v>283</v>
      </c>
      <c r="B284" s="1" t="s">
        <v>285</v>
      </c>
      <c r="C284" s="1">
        <v>70350</v>
      </c>
      <c r="F284">
        <v>282</v>
      </c>
      <c r="G284" s="1" t="s">
        <v>284</v>
      </c>
      <c r="H284" s="1">
        <v>70180</v>
      </c>
    </row>
    <row r="285" spans="1:8">
      <c r="A285">
        <v>284</v>
      </c>
      <c r="B285" s="1" t="s">
        <v>286</v>
      </c>
      <c r="C285" s="1">
        <v>70360</v>
      </c>
      <c r="F285">
        <v>283</v>
      </c>
      <c r="G285" s="1" t="s">
        <v>285</v>
      </c>
      <c r="H285" s="1">
        <v>70350</v>
      </c>
    </row>
    <row r="286" spans="1:8">
      <c r="A286">
        <v>285</v>
      </c>
      <c r="B286" s="1" t="s">
        <v>287</v>
      </c>
      <c r="C286" s="1">
        <v>71210</v>
      </c>
      <c r="F286">
        <v>284</v>
      </c>
      <c r="G286" s="1" t="s">
        <v>286</v>
      </c>
      <c r="H286" s="1">
        <v>70360</v>
      </c>
    </row>
    <row r="287" spans="1:8">
      <c r="A287">
        <v>286</v>
      </c>
      <c r="B287" s="1" t="s">
        <v>288</v>
      </c>
      <c r="C287" s="1">
        <v>70310</v>
      </c>
      <c r="F287">
        <v>285</v>
      </c>
      <c r="G287" s="1" t="s">
        <v>287</v>
      </c>
      <c r="H287" s="1">
        <v>71210</v>
      </c>
    </row>
    <row r="288" spans="1:8">
      <c r="A288">
        <v>287</v>
      </c>
      <c r="B288" s="1" t="s">
        <v>289</v>
      </c>
      <c r="C288" s="1">
        <v>70830</v>
      </c>
      <c r="F288">
        <v>286</v>
      </c>
      <c r="G288" s="1" t="s">
        <v>288</v>
      </c>
      <c r="H288" s="1">
        <v>70310</v>
      </c>
    </row>
    <row r="289" spans="1:8">
      <c r="A289">
        <v>288</v>
      </c>
      <c r="B289" s="1" t="s">
        <v>290</v>
      </c>
      <c r="C289" s="1">
        <v>70790</v>
      </c>
      <c r="F289">
        <v>287</v>
      </c>
      <c r="G289" s="1" t="s">
        <v>289</v>
      </c>
      <c r="H289" s="1">
        <v>70830</v>
      </c>
    </row>
    <row r="290" spans="1:8">
      <c r="A290">
        <v>289</v>
      </c>
      <c r="B290" s="1" t="s">
        <v>291</v>
      </c>
      <c r="C290" s="1">
        <v>72650</v>
      </c>
      <c r="F290">
        <v>288</v>
      </c>
      <c r="G290" s="1" t="s">
        <v>290</v>
      </c>
      <c r="H290" s="1">
        <v>70790</v>
      </c>
    </row>
    <row r="291" spans="1:8">
      <c r="A291">
        <v>290</v>
      </c>
      <c r="B291" s="1" t="s">
        <v>292</v>
      </c>
      <c r="C291" s="1">
        <v>73580</v>
      </c>
      <c r="F291">
        <v>289</v>
      </c>
      <c r="G291" s="1" t="s">
        <v>291</v>
      </c>
      <c r="H291" s="1">
        <v>72650</v>
      </c>
    </row>
    <row r="292" spans="1:8">
      <c r="A292">
        <v>291</v>
      </c>
      <c r="B292" s="1" t="s">
        <v>293</v>
      </c>
      <c r="C292" s="1">
        <v>73070</v>
      </c>
      <c r="F292">
        <v>290</v>
      </c>
      <c r="G292" s="1" t="s">
        <v>292</v>
      </c>
      <c r="H292" s="1">
        <v>73580</v>
      </c>
    </row>
    <row r="293" spans="1:8">
      <c r="A293">
        <v>292</v>
      </c>
      <c r="B293" s="1" t="s">
        <v>294</v>
      </c>
      <c r="C293" s="1">
        <v>73020</v>
      </c>
      <c r="F293">
        <v>291</v>
      </c>
      <c r="G293" s="1" t="s">
        <v>293</v>
      </c>
      <c r="H293" s="1">
        <v>73070</v>
      </c>
    </row>
    <row r="294" spans="1:8">
      <c r="A294">
        <v>293</v>
      </c>
      <c r="B294" s="1" t="s">
        <v>295</v>
      </c>
      <c r="C294" s="1">
        <v>69870</v>
      </c>
      <c r="F294">
        <v>292</v>
      </c>
      <c r="G294" s="1" t="s">
        <v>294</v>
      </c>
      <c r="H294" s="1">
        <v>73020</v>
      </c>
    </row>
    <row r="295" spans="1:8">
      <c r="A295">
        <v>294</v>
      </c>
      <c r="B295" s="1" t="s">
        <v>296</v>
      </c>
      <c r="C295" s="1">
        <v>70950</v>
      </c>
      <c r="F295">
        <v>293</v>
      </c>
      <c r="G295" s="1" t="s">
        <v>295</v>
      </c>
      <c r="H295" s="1">
        <v>69870</v>
      </c>
    </row>
    <row r="296" spans="1:8">
      <c r="A296">
        <v>295</v>
      </c>
      <c r="B296" s="1" t="s">
        <v>297</v>
      </c>
      <c r="C296" s="1">
        <v>70730</v>
      </c>
      <c r="F296">
        <v>294</v>
      </c>
      <c r="G296" s="1" t="s">
        <v>296</v>
      </c>
      <c r="H296" s="1">
        <v>70950</v>
      </c>
    </row>
    <row r="297" spans="1:8">
      <c r="A297">
        <v>296</v>
      </c>
      <c r="B297" s="1" t="s">
        <v>298</v>
      </c>
      <c r="C297" s="1">
        <v>68600</v>
      </c>
      <c r="F297">
        <v>295</v>
      </c>
      <c r="G297" s="1" t="s">
        <v>297</v>
      </c>
      <c r="H297" s="1">
        <v>70730</v>
      </c>
    </row>
    <row r="298" spans="1:8">
      <c r="A298">
        <v>297</v>
      </c>
      <c r="B298" s="1" t="s">
        <v>299</v>
      </c>
      <c r="C298" s="1">
        <v>67810</v>
      </c>
      <c r="F298">
        <v>296</v>
      </c>
      <c r="G298" s="1" t="s">
        <v>298</v>
      </c>
      <c r="H298" s="1">
        <v>68600</v>
      </c>
    </row>
    <row r="299" spans="1:8">
      <c r="A299">
        <v>298</v>
      </c>
      <c r="B299" s="1" t="s">
        <v>300</v>
      </c>
      <c r="C299" s="1">
        <v>66630</v>
      </c>
      <c r="F299">
        <v>297</v>
      </c>
      <c r="G299" s="1" t="s">
        <v>299</v>
      </c>
      <c r="H299" s="1">
        <v>67810</v>
      </c>
    </row>
    <row r="300" spans="1:8">
      <c r="A300">
        <v>299</v>
      </c>
      <c r="B300" s="1" t="s">
        <v>301</v>
      </c>
      <c r="C300" s="1">
        <v>69210</v>
      </c>
      <c r="F300">
        <v>298</v>
      </c>
      <c r="G300" s="1" t="s">
        <v>300</v>
      </c>
      <c r="H300" s="1">
        <v>66630</v>
      </c>
    </row>
    <row r="301" spans="1:8">
      <c r="A301">
        <v>300</v>
      </c>
      <c r="B301" s="1" t="s">
        <v>302</v>
      </c>
      <c r="C301" s="1">
        <v>71620</v>
      </c>
      <c r="F301">
        <v>299</v>
      </c>
      <c r="G301" s="1" t="s">
        <v>301</v>
      </c>
      <c r="H301" s="1">
        <v>69210</v>
      </c>
    </row>
    <row r="302" spans="1:8">
      <c r="A302">
        <v>301</v>
      </c>
      <c r="B302" s="1" t="s">
        <v>303</v>
      </c>
      <c r="C302" s="1">
        <v>68690</v>
      </c>
      <c r="F302">
        <v>300</v>
      </c>
      <c r="G302" s="1" t="s">
        <v>302</v>
      </c>
      <c r="H302" s="1">
        <v>71620</v>
      </c>
    </row>
    <row r="303" spans="1:8">
      <c r="A303">
        <v>302</v>
      </c>
      <c r="B303" s="1" t="s">
        <v>304</v>
      </c>
      <c r="C303" s="1">
        <v>69200</v>
      </c>
      <c r="F303">
        <v>301</v>
      </c>
      <c r="G303" s="1" t="s">
        <v>303</v>
      </c>
      <c r="H303" s="1">
        <v>68690</v>
      </c>
    </row>
    <row r="304" spans="1:8">
      <c r="A304">
        <v>303</v>
      </c>
      <c r="B304" s="1" t="s">
        <v>305</v>
      </c>
      <c r="C304" s="1">
        <v>71040</v>
      </c>
      <c r="F304">
        <v>302</v>
      </c>
      <c r="G304" s="1" t="s">
        <v>304</v>
      </c>
      <c r="H304" s="1">
        <v>69200</v>
      </c>
    </row>
    <row r="305" spans="1:8">
      <c r="A305">
        <v>304</v>
      </c>
      <c r="B305" s="1" t="s">
        <v>306</v>
      </c>
      <c r="C305" s="1">
        <v>71100</v>
      </c>
      <c r="F305">
        <v>303</v>
      </c>
      <c r="G305" s="1" t="s">
        <v>305</v>
      </c>
      <c r="H305" s="1">
        <v>71040</v>
      </c>
    </row>
    <row r="306" spans="1:8">
      <c r="A306">
        <v>305</v>
      </c>
      <c r="B306" s="1" t="s">
        <v>307</v>
      </c>
      <c r="C306" s="1">
        <v>71480</v>
      </c>
      <c r="F306">
        <v>304</v>
      </c>
      <c r="G306" s="1" t="s">
        <v>306</v>
      </c>
      <c r="H306" s="1">
        <v>71100</v>
      </c>
    </row>
    <row r="307" spans="1:8">
      <c r="A307">
        <v>306</v>
      </c>
      <c r="B307" s="1" t="s">
        <v>308</v>
      </c>
      <c r="C307" s="1">
        <v>71970</v>
      </c>
      <c r="F307">
        <v>305</v>
      </c>
      <c r="G307" s="1" t="s">
        <v>307</v>
      </c>
      <c r="H307" s="1">
        <v>71480</v>
      </c>
    </row>
    <row r="308" spans="1:8">
      <c r="A308">
        <v>307</v>
      </c>
      <c r="B308" s="1" t="s">
        <v>309</v>
      </c>
      <c r="C308" s="1">
        <v>73440</v>
      </c>
      <c r="F308">
        <v>306</v>
      </c>
      <c r="G308" s="1" t="s">
        <v>308</v>
      </c>
      <c r="H308" s="1">
        <v>71970</v>
      </c>
    </row>
    <row r="309" spans="1:8">
      <c r="A309">
        <v>308</v>
      </c>
      <c r="B309" s="1" t="s">
        <v>310</v>
      </c>
      <c r="C309" s="1">
        <v>73410</v>
      </c>
      <c r="F309">
        <v>307</v>
      </c>
      <c r="G309" s="1" t="s">
        <v>309</v>
      </c>
      <c r="H309" s="1">
        <v>73440</v>
      </c>
    </row>
    <row r="310" spans="1:8">
      <c r="A310">
        <v>309</v>
      </c>
      <c r="B310" s="1" t="s">
        <v>311</v>
      </c>
      <c r="C310" s="1">
        <v>75010</v>
      </c>
      <c r="F310">
        <v>308</v>
      </c>
      <c r="G310" s="1" t="s">
        <v>310</v>
      </c>
      <c r="H310" s="1">
        <v>73410</v>
      </c>
    </row>
    <row r="311" spans="1:8">
      <c r="A311">
        <v>310</v>
      </c>
      <c r="B311" s="1" t="s">
        <v>312</v>
      </c>
      <c r="C311" s="1">
        <v>77110</v>
      </c>
      <c r="F311">
        <v>309</v>
      </c>
      <c r="G311" s="1" t="s">
        <v>311</v>
      </c>
      <c r="H311" s="1">
        <v>75010</v>
      </c>
    </row>
    <row r="312" spans="1:8">
      <c r="A312">
        <v>311</v>
      </c>
      <c r="B312" s="1" t="s">
        <v>313</v>
      </c>
      <c r="C312" s="1">
        <v>78510</v>
      </c>
      <c r="F312">
        <v>310</v>
      </c>
      <c r="G312" s="1" t="s">
        <v>312</v>
      </c>
      <c r="H312" s="1">
        <v>77110</v>
      </c>
    </row>
    <row r="313" spans="1:8">
      <c r="A313">
        <v>312</v>
      </c>
      <c r="B313" s="1" t="s">
        <v>314</v>
      </c>
      <c r="C313" s="1">
        <v>78760</v>
      </c>
      <c r="F313">
        <v>311</v>
      </c>
      <c r="G313" s="1" t="s">
        <v>313</v>
      </c>
      <c r="H313" s="1">
        <v>78510</v>
      </c>
    </row>
    <row r="314" spans="1:8">
      <c r="A314">
        <v>313</v>
      </c>
      <c r="B314" s="1" t="s">
        <v>315</v>
      </c>
      <c r="C314" s="1">
        <v>79770</v>
      </c>
      <c r="F314">
        <v>312</v>
      </c>
      <c r="G314" s="1" t="s">
        <v>314</v>
      </c>
      <c r="H314" s="1">
        <v>78760</v>
      </c>
    </row>
    <row r="315" spans="1:8">
      <c r="A315">
        <v>314</v>
      </c>
      <c r="B315" s="1" t="s">
        <v>316</v>
      </c>
      <c r="C315" s="1">
        <v>78240</v>
      </c>
      <c r="F315">
        <v>313</v>
      </c>
      <c r="G315" s="1" t="s">
        <v>315</v>
      </c>
      <c r="H315" s="1">
        <v>79770</v>
      </c>
    </row>
    <row r="316" spans="1:8">
      <c r="A316">
        <v>315</v>
      </c>
      <c r="B316" s="1" t="s">
        <v>317</v>
      </c>
      <c r="C316" s="1">
        <v>79110</v>
      </c>
      <c r="F316">
        <v>314</v>
      </c>
      <c r="G316" s="1" t="s">
        <v>316</v>
      </c>
      <c r="H316" s="1">
        <v>78240</v>
      </c>
    </row>
    <row r="317" spans="1:8">
      <c r="A317">
        <v>316</v>
      </c>
      <c r="B317" s="1" t="s">
        <v>318</v>
      </c>
      <c r="C317" s="1">
        <v>77570</v>
      </c>
      <c r="F317">
        <v>315</v>
      </c>
      <c r="G317" s="1" t="s">
        <v>317</v>
      </c>
      <c r="H317" s="1">
        <v>79110</v>
      </c>
    </row>
    <row r="318" spans="1:8">
      <c r="A318">
        <v>317</v>
      </c>
      <c r="B318" s="1" t="s">
        <v>319</v>
      </c>
      <c r="C318" s="1">
        <v>78880</v>
      </c>
      <c r="F318">
        <v>316</v>
      </c>
      <c r="G318" s="1" t="s">
        <v>318</v>
      </c>
      <c r="H318" s="1">
        <v>77570</v>
      </c>
    </row>
    <row r="319" spans="1:8">
      <c r="A319">
        <v>318</v>
      </c>
      <c r="B319" s="1" t="s">
        <v>320</v>
      </c>
      <c r="C319" s="1">
        <v>80320</v>
      </c>
      <c r="F319">
        <v>317</v>
      </c>
      <c r="G319" s="1" t="s">
        <v>319</v>
      </c>
      <c r="H319" s="1">
        <v>78880</v>
      </c>
    </row>
    <row r="320" spans="1:8">
      <c r="A320">
        <v>319</v>
      </c>
      <c r="B320" s="1" t="s">
        <v>321</v>
      </c>
      <c r="C320" s="1">
        <v>80620</v>
      </c>
      <c r="F320">
        <v>318</v>
      </c>
      <c r="G320" s="1" t="s">
        <v>320</v>
      </c>
      <c r="H320" s="1">
        <v>80320</v>
      </c>
    </row>
    <row r="321" spans="1:8">
      <c r="A321">
        <v>320</v>
      </c>
      <c r="B321" s="1" t="s">
        <v>322</v>
      </c>
      <c r="C321" s="1">
        <v>81810</v>
      </c>
      <c r="F321">
        <v>319</v>
      </c>
      <c r="G321" s="1" t="s">
        <v>321</v>
      </c>
      <c r="H321" s="1">
        <v>80620</v>
      </c>
    </row>
    <row r="322" spans="1:8">
      <c r="A322">
        <v>321</v>
      </c>
      <c r="B322" s="1" t="s">
        <v>323</v>
      </c>
      <c r="C322" s="1">
        <v>81730</v>
      </c>
      <c r="F322">
        <v>320</v>
      </c>
      <c r="G322" s="1" t="s">
        <v>322</v>
      </c>
      <c r="H322" s="1">
        <v>81810</v>
      </c>
    </row>
    <row r="323" spans="1:8">
      <c r="A323">
        <v>322</v>
      </c>
      <c r="B323" s="1" t="s">
        <v>324</v>
      </c>
      <c r="C323" s="1">
        <v>80540</v>
      </c>
      <c r="F323">
        <v>321</v>
      </c>
      <c r="G323" s="1" t="s">
        <v>323</v>
      </c>
      <c r="H323" s="1">
        <v>81730</v>
      </c>
    </row>
    <row r="324" spans="1:8">
      <c r="A324">
        <v>323</v>
      </c>
      <c r="B324" s="1" t="s">
        <v>325</v>
      </c>
      <c r="C324" s="1">
        <v>80540</v>
      </c>
      <c r="F324">
        <v>322</v>
      </c>
      <c r="G324" s="1" t="s">
        <v>324</v>
      </c>
      <c r="H324" s="1">
        <v>80540</v>
      </c>
    </row>
    <row r="325" spans="1:8">
      <c r="A325">
        <v>324</v>
      </c>
      <c r="B325" s="1" t="s">
        <v>326</v>
      </c>
      <c r="C325" s="1">
        <v>82730</v>
      </c>
      <c r="F325">
        <v>323</v>
      </c>
      <c r="G325" s="1" t="s">
        <v>325</v>
      </c>
      <c r="H325" s="1">
        <v>80540</v>
      </c>
    </row>
    <row r="326" spans="1:8">
      <c r="A326">
        <v>325</v>
      </c>
      <c r="B326" s="1" t="s">
        <v>327</v>
      </c>
      <c r="C326" s="1">
        <v>82350</v>
      </c>
      <c r="F326">
        <v>324</v>
      </c>
      <c r="G326" s="1" t="s">
        <v>326</v>
      </c>
      <c r="H326" s="1">
        <v>82730</v>
      </c>
    </row>
    <row r="327" spans="1:8">
      <c r="A327">
        <v>326</v>
      </c>
      <c r="B327" s="1" t="s">
        <v>328</v>
      </c>
      <c r="C327" s="1">
        <v>82440</v>
      </c>
      <c r="F327">
        <v>325</v>
      </c>
      <c r="G327" s="1" t="s">
        <v>327</v>
      </c>
      <c r="H327" s="1">
        <v>82350</v>
      </c>
    </row>
    <row r="328" spans="1:8">
      <c r="A328">
        <v>327</v>
      </c>
      <c r="B328" s="1" t="s">
        <v>329</v>
      </c>
      <c r="C328" s="1">
        <v>80580</v>
      </c>
      <c r="F328">
        <v>326</v>
      </c>
      <c r="G328" s="1" t="s">
        <v>328</v>
      </c>
      <c r="H328" s="1">
        <v>82440</v>
      </c>
    </row>
    <row r="329" spans="1:8">
      <c r="A329">
        <v>328</v>
      </c>
      <c r="B329" s="1" t="s">
        <v>330</v>
      </c>
      <c r="C329" s="1">
        <v>81100</v>
      </c>
      <c r="F329">
        <v>327</v>
      </c>
      <c r="G329" s="1" t="s">
        <v>329</v>
      </c>
      <c r="H329" s="1">
        <v>80580</v>
      </c>
    </row>
    <row r="330" spans="1:8">
      <c r="A330">
        <v>329</v>
      </c>
      <c r="B330" s="1" t="s">
        <v>331</v>
      </c>
      <c r="C330" s="1">
        <v>80800</v>
      </c>
      <c r="F330">
        <v>328</v>
      </c>
      <c r="G330" s="1" t="s">
        <v>330</v>
      </c>
      <c r="H330" s="1">
        <v>81100</v>
      </c>
    </row>
    <row r="331" spans="1:8">
      <c r="A331">
        <v>330</v>
      </c>
      <c r="B331" s="1" t="s">
        <v>332</v>
      </c>
      <c r="C331" s="1">
        <v>81060</v>
      </c>
      <c r="F331">
        <v>329</v>
      </c>
      <c r="G331" s="1" t="s">
        <v>331</v>
      </c>
      <c r="H331" s="1">
        <v>80800</v>
      </c>
    </row>
    <row r="332" spans="1:8">
      <c r="A332">
        <v>331</v>
      </c>
      <c r="B332" s="1" t="s">
        <v>333</v>
      </c>
      <c r="C332" s="1">
        <v>80620</v>
      </c>
      <c r="F332">
        <v>330</v>
      </c>
      <c r="G332" s="1" t="s">
        <v>332</v>
      </c>
      <c r="H332" s="1">
        <v>81060</v>
      </c>
    </row>
    <row r="333" spans="1:8">
      <c r="A333">
        <v>332</v>
      </c>
      <c r="B333" s="1" t="s">
        <v>334</v>
      </c>
      <c r="C333" s="1">
        <v>80750</v>
      </c>
      <c r="F333">
        <v>331</v>
      </c>
      <c r="G333" s="1" t="s">
        <v>333</v>
      </c>
      <c r="H333" s="1">
        <v>80620</v>
      </c>
    </row>
    <row r="334" spans="1:8">
      <c r="A334">
        <v>333</v>
      </c>
      <c r="B334" s="1" t="s">
        <v>335</v>
      </c>
      <c r="C334" s="1">
        <v>81000</v>
      </c>
      <c r="F334">
        <v>332</v>
      </c>
      <c r="G334" s="1" t="s">
        <v>334</v>
      </c>
      <c r="H334" s="1">
        <v>80750</v>
      </c>
    </row>
    <row r="335" spans="1:8">
      <c r="A335">
        <v>334</v>
      </c>
      <c r="B335" s="1" t="s">
        <v>336</v>
      </c>
      <c r="C335" s="1">
        <v>80940</v>
      </c>
      <c r="F335">
        <v>333</v>
      </c>
      <c r="G335" s="1" t="s">
        <v>335</v>
      </c>
      <c r="H335" s="1">
        <v>81000</v>
      </c>
    </row>
    <row r="336" spans="1:8">
      <c r="A336">
        <v>335</v>
      </c>
      <c r="B336" s="1" t="s">
        <v>337</v>
      </c>
      <c r="C336" s="1">
        <v>81720</v>
      </c>
      <c r="F336">
        <v>334</v>
      </c>
      <c r="G336" s="1" t="s">
        <v>336</v>
      </c>
      <c r="H336" s="1">
        <v>80940</v>
      </c>
    </row>
    <row r="337" spans="1:8">
      <c r="A337">
        <v>336</v>
      </c>
      <c r="B337" s="1" t="s">
        <v>338</v>
      </c>
      <c r="C337" s="1">
        <v>82240</v>
      </c>
      <c r="F337">
        <v>335</v>
      </c>
      <c r="G337" s="1" t="s">
        <v>337</v>
      </c>
      <c r="H337" s="1">
        <v>81720</v>
      </c>
    </row>
    <row r="338" spans="1:8">
      <c r="A338">
        <v>337</v>
      </c>
      <c r="B338" s="1" t="s">
        <v>339</v>
      </c>
      <c r="C338" s="1">
        <v>83340</v>
      </c>
      <c r="F338">
        <v>336</v>
      </c>
      <c r="G338" s="1" t="s">
        <v>338</v>
      </c>
      <c r="H338" s="1">
        <v>82240</v>
      </c>
    </row>
    <row r="339" spans="1:8">
      <c r="A339">
        <v>338</v>
      </c>
      <c r="B339" s="1" t="s">
        <v>340</v>
      </c>
      <c r="C339" s="1">
        <v>83610</v>
      </c>
      <c r="F339">
        <v>337</v>
      </c>
      <c r="G339" s="1" t="s">
        <v>339</v>
      </c>
      <c r="H339" s="1">
        <v>83340</v>
      </c>
    </row>
    <row r="340" spans="1:8">
      <c r="A340">
        <v>339</v>
      </c>
      <c r="B340" s="1" t="s">
        <v>341</v>
      </c>
      <c r="C340" s="1">
        <v>84940</v>
      </c>
      <c r="F340">
        <v>338</v>
      </c>
      <c r="G340" s="1" t="s">
        <v>340</v>
      </c>
      <c r="H340" s="1">
        <v>83610</v>
      </c>
    </row>
    <row r="341" spans="1:8">
      <c r="A341">
        <v>340</v>
      </c>
      <c r="B341" s="1" t="s">
        <v>342</v>
      </c>
      <c r="C341" s="1">
        <v>84570</v>
      </c>
      <c r="F341">
        <v>339</v>
      </c>
      <c r="G341" s="1" t="s">
        <v>341</v>
      </c>
      <c r="H341" s="1">
        <v>84940</v>
      </c>
    </row>
    <row r="342" spans="1:8">
      <c r="A342">
        <v>341</v>
      </c>
      <c r="B342" s="1" t="s">
        <v>343</v>
      </c>
      <c r="C342" s="1">
        <v>84320</v>
      </c>
      <c r="F342">
        <v>340</v>
      </c>
      <c r="G342" s="1" t="s">
        <v>342</v>
      </c>
      <c r="H342" s="1">
        <v>84570</v>
      </c>
    </row>
    <row r="343" spans="1:8">
      <c r="A343">
        <v>342</v>
      </c>
      <c r="B343" s="1" t="s">
        <v>344</v>
      </c>
      <c r="C343" s="1">
        <v>88010</v>
      </c>
      <c r="F343">
        <v>341</v>
      </c>
      <c r="G343" s="1" t="s">
        <v>343</v>
      </c>
      <c r="H343" s="1">
        <v>84320</v>
      </c>
    </row>
    <row r="344" spans="1:8">
      <c r="A344">
        <v>343</v>
      </c>
      <c r="B344" s="1" t="s">
        <v>345</v>
      </c>
      <c r="C344" s="1">
        <v>87760</v>
      </c>
      <c r="F344">
        <v>342</v>
      </c>
      <c r="G344" s="1" t="s">
        <v>344</v>
      </c>
      <c r="H344" s="1">
        <v>88010</v>
      </c>
    </row>
    <row r="345" spans="1:8">
      <c r="A345">
        <v>344</v>
      </c>
      <c r="B345" s="1" t="s">
        <v>346</v>
      </c>
      <c r="C345" s="1">
        <v>86610</v>
      </c>
      <c r="F345">
        <v>343</v>
      </c>
      <c r="G345" s="1" t="s">
        <v>345</v>
      </c>
      <c r="H345" s="1">
        <v>87760</v>
      </c>
    </row>
    <row r="346" spans="1:8">
      <c r="A346">
        <v>345</v>
      </c>
      <c r="B346" s="1" t="s">
        <v>347</v>
      </c>
      <c r="C346" s="1">
        <v>88410</v>
      </c>
      <c r="F346">
        <v>344</v>
      </c>
      <c r="G346" s="1" t="s">
        <v>346</v>
      </c>
      <c r="H346" s="1">
        <v>86610</v>
      </c>
    </row>
    <row r="347" spans="1:8">
      <c r="A347">
        <v>346</v>
      </c>
      <c r="B347" s="1" t="s">
        <v>348</v>
      </c>
      <c r="C347" s="1">
        <v>89030</v>
      </c>
      <c r="F347">
        <v>345</v>
      </c>
      <c r="G347" s="1" t="s">
        <v>347</v>
      </c>
      <c r="H347" s="1">
        <v>88410</v>
      </c>
    </row>
    <row r="348" spans="1:8">
      <c r="A348">
        <v>347</v>
      </c>
      <c r="B348" s="1" t="s">
        <v>349</v>
      </c>
      <c r="C348" s="1">
        <v>88660</v>
      </c>
      <c r="F348">
        <v>346</v>
      </c>
      <c r="G348" s="1" t="s">
        <v>348</v>
      </c>
      <c r="H348" s="1">
        <v>89030</v>
      </c>
    </row>
    <row r="349" spans="1:8">
      <c r="A349">
        <v>348</v>
      </c>
      <c r="B349" s="1" t="s">
        <v>350</v>
      </c>
      <c r="C349" s="1">
        <v>88380</v>
      </c>
      <c r="F349">
        <v>347</v>
      </c>
      <c r="G349" s="1" t="s">
        <v>349</v>
      </c>
      <c r="H349" s="1">
        <v>88660</v>
      </c>
    </row>
    <row r="350" spans="1:8">
      <c r="A350">
        <v>349</v>
      </c>
      <c r="B350" s="1" t="s">
        <v>351</v>
      </c>
      <c r="C350" s="1">
        <v>87100</v>
      </c>
      <c r="F350">
        <v>348</v>
      </c>
      <c r="G350" s="1" t="s">
        <v>350</v>
      </c>
      <c r="H350" s="1">
        <v>88380</v>
      </c>
    </row>
    <row r="351" spans="1:8">
      <c r="A351">
        <v>350</v>
      </c>
      <c r="B351" s="1" t="s">
        <v>352</v>
      </c>
      <c r="C351" s="1">
        <v>86610</v>
      </c>
      <c r="F351">
        <v>349</v>
      </c>
      <c r="G351" s="1" t="s">
        <v>351</v>
      </c>
      <c r="H351" s="1">
        <v>87100</v>
      </c>
    </row>
    <row r="352" spans="1:8">
      <c r="A352">
        <v>351</v>
      </c>
      <c r="B352" s="1" t="s">
        <v>353</v>
      </c>
      <c r="C352" s="1">
        <v>85160</v>
      </c>
      <c r="F352">
        <v>350</v>
      </c>
      <c r="G352" s="1" t="s">
        <v>352</v>
      </c>
      <c r="H352" s="1">
        <v>86610</v>
      </c>
    </row>
    <row r="353" spans="1:8">
      <c r="A353">
        <v>352</v>
      </c>
      <c r="B353" s="1" t="s">
        <v>354</v>
      </c>
      <c r="C353" s="1">
        <v>85330</v>
      </c>
      <c r="F353">
        <v>351</v>
      </c>
      <c r="G353" s="1" t="s">
        <v>353</v>
      </c>
      <c r="H353" s="1">
        <v>85160</v>
      </c>
    </row>
    <row r="354" spans="1:8">
      <c r="A354">
        <v>353</v>
      </c>
      <c r="B354" s="1" t="s">
        <v>355</v>
      </c>
      <c r="C354" s="1">
        <v>84060</v>
      </c>
      <c r="F354">
        <v>352</v>
      </c>
      <c r="G354" s="1" t="s">
        <v>354</v>
      </c>
      <c r="H354" s="1">
        <v>85330</v>
      </c>
    </row>
    <row r="355" spans="1:8">
      <c r="A355">
        <v>354</v>
      </c>
      <c r="B355" s="1" t="s">
        <v>356</v>
      </c>
      <c r="C355" s="1">
        <v>83230</v>
      </c>
      <c r="F355">
        <v>353</v>
      </c>
      <c r="G355" s="1" t="s">
        <v>355</v>
      </c>
      <c r="H355" s="1">
        <v>84060</v>
      </c>
    </row>
    <row r="356" spans="1:8">
      <c r="A356">
        <v>355</v>
      </c>
      <c r="B356" s="1" t="s">
        <v>357</v>
      </c>
      <c r="C356" s="1">
        <v>82120</v>
      </c>
      <c r="F356">
        <v>354</v>
      </c>
      <c r="G356" s="1" t="s">
        <v>356</v>
      </c>
      <c r="H356" s="1">
        <v>83230</v>
      </c>
    </row>
    <row r="357" spans="1:8">
      <c r="A357">
        <v>356</v>
      </c>
      <c r="B357" s="1" t="s">
        <v>358</v>
      </c>
      <c r="C357" s="1">
        <v>81410</v>
      </c>
      <c r="F357">
        <v>355</v>
      </c>
      <c r="G357" s="1" t="s">
        <v>357</v>
      </c>
      <c r="H357" s="1">
        <v>82120</v>
      </c>
    </row>
    <row r="358" spans="1:8">
      <c r="A358">
        <v>357</v>
      </c>
      <c r="B358" s="1" t="s">
        <v>359</v>
      </c>
      <c r="C358" s="1">
        <v>79530</v>
      </c>
      <c r="F358">
        <v>356</v>
      </c>
      <c r="G358" s="1" t="s">
        <v>358</v>
      </c>
      <c r="H358" s="1">
        <v>81410</v>
      </c>
    </row>
    <row r="359" spans="1:8">
      <c r="A359">
        <v>358</v>
      </c>
      <c r="B359" s="1" t="s">
        <v>360</v>
      </c>
      <c r="C359" s="1">
        <v>78420</v>
      </c>
      <c r="F359">
        <v>357</v>
      </c>
      <c r="G359" s="1" t="s">
        <v>359</v>
      </c>
      <c r="H359" s="1">
        <v>79530</v>
      </c>
    </row>
    <row r="360" spans="1:8">
      <c r="A360">
        <v>359</v>
      </c>
      <c r="B360" s="1" t="s">
        <v>361</v>
      </c>
      <c r="C360" s="1">
        <v>77190</v>
      </c>
      <c r="F360">
        <v>358</v>
      </c>
      <c r="G360" s="1" t="s">
        <v>360</v>
      </c>
      <c r="H360" s="1">
        <v>78420</v>
      </c>
    </row>
    <row r="361" spans="1:8">
      <c r="A361">
        <v>360</v>
      </c>
      <c r="B361" s="1" t="s">
        <v>362</v>
      </c>
      <c r="C361" s="1">
        <v>79820</v>
      </c>
      <c r="F361">
        <v>359</v>
      </c>
      <c r="G361" s="1" t="s">
        <v>361</v>
      </c>
      <c r="H361" s="1">
        <v>77190</v>
      </c>
    </row>
    <row r="362" spans="1:8">
      <c r="A362">
        <v>361</v>
      </c>
      <c r="B362" s="1" t="s">
        <v>363</v>
      </c>
      <c r="C362" s="1">
        <v>78280</v>
      </c>
      <c r="F362">
        <v>360</v>
      </c>
      <c r="G362" s="1" t="s">
        <v>362</v>
      </c>
      <c r="H362" s="1">
        <v>79820</v>
      </c>
    </row>
    <row r="363" spans="1:8">
      <c r="A363">
        <v>362</v>
      </c>
      <c r="B363" s="1" t="s">
        <v>364</v>
      </c>
      <c r="C363" s="1">
        <v>75010</v>
      </c>
      <c r="F363">
        <v>361</v>
      </c>
      <c r="G363" s="1" t="s">
        <v>363</v>
      </c>
      <c r="H363" s="1">
        <v>78280</v>
      </c>
    </row>
    <row r="364" spans="1:8">
      <c r="A364">
        <v>363</v>
      </c>
      <c r="B364" s="1" t="s">
        <v>365</v>
      </c>
      <c r="C364" s="1">
        <v>72750</v>
      </c>
      <c r="F364">
        <v>362</v>
      </c>
      <c r="G364" s="1" t="s">
        <v>364</v>
      </c>
      <c r="H364" s="1">
        <v>75010</v>
      </c>
    </row>
    <row r="365" spans="1:8">
      <c r="A365">
        <v>364</v>
      </c>
      <c r="B365" s="1" t="s">
        <v>366</v>
      </c>
      <c r="C365" s="1">
        <v>74940</v>
      </c>
      <c r="F365">
        <v>363</v>
      </c>
      <c r="G365" s="1" t="s">
        <v>365</v>
      </c>
      <c r="H365" s="1">
        <v>72750</v>
      </c>
    </row>
    <row r="366" spans="1:8">
      <c r="A366">
        <v>365</v>
      </c>
      <c r="B366" s="1" t="s">
        <v>367</v>
      </c>
      <c r="C366" s="1">
        <v>74940</v>
      </c>
      <c r="F366">
        <v>364</v>
      </c>
      <c r="G366" s="1" t="s">
        <v>366</v>
      </c>
      <c r="H366" s="1">
        <v>74940</v>
      </c>
    </row>
    <row r="367" spans="1:8">
      <c r="A367">
        <v>366</v>
      </c>
      <c r="B367" s="1" t="s">
        <v>368</v>
      </c>
      <c r="C367" s="1">
        <v>73060</v>
      </c>
      <c r="F367">
        <v>365</v>
      </c>
      <c r="G367" s="1" t="s">
        <v>367</v>
      </c>
      <c r="H367" s="1">
        <v>74940</v>
      </c>
    </row>
    <row r="368" spans="1:8">
      <c r="A368">
        <v>367</v>
      </c>
      <c r="B368" s="1" t="s">
        <v>369</v>
      </c>
      <c r="C368" s="1">
        <v>75620</v>
      </c>
      <c r="F368">
        <v>366</v>
      </c>
      <c r="G368" s="1" t="s">
        <v>368</v>
      </c>
      <c r="H368" s="1">
        <v>73060</v>
      </c>
    </row>
    <row r="369" spans="1:8">
      <c r="A369">
        <v>368</v>
      </c>
      <c r="B369" s="1" t="s">
        <v>370</v>
      </c>
      <c r="C369" s="1">
        <v>74340</v>
      </c>
      <c r="F369">
        <v>367</v>
      </c>
      <c r="G369" s="1" t="s">
        <v>369</v>
      </c>
      <c r="H369" s="1">
        <v>75620</v>
      </c>
    </row>
    <row r="370" spans="1:8">
      <c r="A370">
        <v>369</v>
      </c>
      <c r="B370" s="1" t="s">
        <v>371</v>
      </c>
      <c r="C370" s="1">
        <v>75110</v>
      </c>
      <c r="F370">
        <v>368</v>
      </c>
      <c r="G370" s="1" t="s">
        <v>370</v>
      </c>
      <c r="H370" s="1">
        <v>74340</v>
      </c>
    </row>
    <row r="371" spans="1:8">
      <c r="A371">
        <v>370</v>
      </c>
      <c r="B371" s="1" t="s">
        <v>372</v>
      </c>
      <c r="C371" s="1">
        <v>72860</v>
      </c>
      <c r="F371">
        <v>369</v>
      </c>
      <c r="G371" s="1" t="s">
        <v>371</v>
      </c>
      <c r="H371" s="1">
        <v>75110</v>
      </c>
    </row>
    <row r="372" spans="1:8">
      <c r="A372">
        <v>371</v>
      </c>
      <c r="B372" s="1" t="s">
        <v>373</v>
      </c>
      <c r="C372" s="1">
        <v>72100</v>
      </c>
      <c r="F372">
        <v>370</v>
      </c>
      <c r="G372" s="1" t="s">
        <v>372</v>
      </c>
      <c r="H372" s="1">
        <v>72860</v>
      </c>
    </row>
    <row r="373" spans="1:8">
      <c r="A373">
        <v>372</v>
      </c>
      <c r="B373" s="1" t="s">
        <v>374</v>
      </c>
      <c r="C373" s="1">
        <v>71600</v>
      </c>
      <c r="F373">
        <v>371</v>
      </c>
      <c r="G373" s="1" t="s">
        <v>373</v>
      </c>
      <c r="H373" s="1">
        <v>72100</v>
      </c>
    </row>
    <row r="374" spans="1:8">
      <c r="A374">
        <v>373</v>
      </c>
      <c r="B374" s="1" t="s">
        <v>375</v>
      </c>
      <c r="C374" s="1">
        <v>72430</v>
      </c>
      <c r="F374">
        <v>372</v>
      </c>
      <c r="G374" s="1" t="s">
        <v>374</v>
      </c>
      <c r="H374" s="1">
        <v>71600</v>
      </c>
    </row>
    <row r="375" spans="1:8">
      <c r="A375">
        <v>374</v>
      </c>
      <c r="B375" s="1" t="s">
        <v>376</v>
      </c>
      <c r="C375" s="1">
        <v>71270</v>
      </c>
      <c r="F375">
        <v>373</v>
      </c>
      <c r="G375" s="1" t="s">
        <v>375</v>
      </c>
      <c r="H375" s="1">
        <v>72430</v>
      </c>
    </row>
    <row r="376" spans="1:8">
      <c r="A376">
        <v>375</v>
      </c>
      <c r="B376" s="1" t="s">
        <v>377</v>
      </c>
      <c r="C376" s="1">
        <v>71920</v>
      </c>
      <c r="F376">
        <v>374</v>
      </c>
      <c r="G376" s="1" t="s">
        <v>376</v>
      </c>
      <c r="H376" s="1">
        <v>71270</v>
      </c>
    </row>
    <row r="377" spans="1:8">
      <c r="A377">
        <v>376</v>
      </c>
      <c r="B377" s="1" t="s">
        <v>378</v>
      </c>
      <c r="C377" s="1">
        <v>72640</v>
      </c>
      <c r="F377">
        <v>375</v>
      </c>
      <c r="G377" s="1" t="s">
        <v>377</v>
      </c>
      <c r="H377" s="1">
        <v>71920</v>
      </c>
    </row>
    <row r="378" spans="1:8">
      <c r="A378">
        <v>377</v>
      </c>
      <c r="B378" s="1" t="s">
        <v>379</v>
      </c>
      <c r="C378" s="1">
        <v>71250</v>
      </c>
      <c r="F378">
        <v>376</v>
      </c>
      <c r="G378" s="1" t="s">
        <v>378</v>
      </c>
      <c r="H378" s="1">
        <v>72640</v>
      </c>
    </row>
    <row r="379" spans="1:8">
      <c r="A379">
        <v>378</v>
      </c>
      <c r="B379" s="1" t="s">
        <v>380</v>
      </c>
      <c r="C379" s="1">
        <v>71590</v>
      </c>
      <c r="F379">
        <v>377</v>
      </c>
      <c r="G379" s="1" t="s">
        <v>379</v>
      </c>
      <c r="H379" s="1">
        <v>71250</v>
      </c>
    </row>
    <row r="380" spans="1:8">
      <c r="A380">
        <v>379</v>
      </c>
      <c r="B380" s="1" t="s">
        <v>381</v>
      </c>
      <c r="C380" s="1">
        <v>71420</v>
      </c>
      <c r="F380">
        <v>378</v>
      </c>
      <c r="G380" s="1" t="s">
        <v>380</v>
      </c>
      <c r="H380" s="1">
        <v>71590</v>
      </c>
    </row>
    <row r="381" spans="1:8">
      <c r="A381">
        <v>380</v>
      </c>
      <c r="B381" s="1" t="s">
        <v>382</v>
      </c>
      <c r="C381" s="1">
        <v>72230</v>
      </c>
      <c r="F381">
        <v>379</v>
      </c>
      <c r="G381" s="1" t="s">
        <v>381</v>
      </c>
      <c r="H381" s="1">
        <v>71420</v>
      </c>
    </row>
    <row r="382" spans="1:8">
      <c r="A382">
        <v>381</v>
      </c>
      <c r="B382" s="1" t="s">
        <v>383</v>
      </c>
      <c r="C382" s="1">
        <v>72980</v>
      </c>
      <c r="F382">
        <v>380</v>
      </c>
      <c r="G382" s="1" t="s">
        <v>382</v>
      </c>
      <c r="H382" s="1">
        <v>72230</v>
      </c>
    </row>
    <row r="383" spans="1:8">
      <c r="A383">
        <v>382</v>
      </c>
      <c r="B383" s="1" t="s">
        <v>384</v>
      </c>
      <c r="C383" s="1">
        <v>70930</v>
      </c>
      <c r="F383">
        <v>381</v>
      </c>
      <c r="G383" s="1" t="s">
        <v>383</v>
      </c>
      <c r="H383" s="1">
        <v>72980</v>
      </c>
    </row>
    <row r="384" spans="1:8">
      <c r="A384">
        <v>383</v>
      </c>
      <c r="B384" s="1" t="s">
        <v>385</v>
      </c>
      <c r="C384" s="1">
        <v>69690</v>
      </c>
      <c r="F384">
        <v>382</v>
      </c>
      <c r="G384" s="1" t="s">
        <v>384</v>
      </c>
      <c r="H384" s="1">
        <v>70930</v>
      </c>
    </row>
    <row r="385" spans="1:8">
      <c r="A385">
        <v>384</v>
      </c>
      <c r="B385" s="1" t="s">
        <v>386</v>
      </c>
      <c r="C385" s="1">
        <v>69390</v>
      </c>
      <c r="F385">
        <v>383</v>
      </c>
      <c r="G385" s="1" t="s">
        <v>385</v>
      </c>
      <c r="H385" s="1">
        <v>69690</v>
      </c>
    </row>
    <row r="386" spans="1:8">
      <c r="A386">
        <v>385</v>
      </c>
      <c r="B386" s="1" t="s">
        <v>387</v>
      </c>
      <c r="C386" s="1">
        <v>69790</v>
      </c>
    </row>
    <row r="387" spans="1:8">
      <c r="A387">
        <v>386</v>
      </c>
      <c r="B387" s="1" t="s">
        <v>388</v>
      </c>
      <c r="C387" s="1">
        <v>71770</v>
      </c>
    </row>
    <row r="388" spans="1:8">
      <c r="A388">
        <v>387</v>
      </c>
      <c r="B388" s="1" t="s">
        <v>389</v>
      </c>
      <c r="C388" s="1">
        <v>71440</v>
      </c>
    </row>
    <row r="389" spans="1:8">
      <c r="A389">
        <v>388</v>
      </c>
      <c r="B389" s="1" t="s">
        <v>390</v>
      </c>
      <c r="C389" s="1">
        <v>70770</v>
      </c>
    </row>
    <row r="390" spans="1:8">
      <c r="A390">
        <v>389</v>
      </c>
      <c r="B390" s="1" t="s">
        <v>391</v>
      </c>
      <c r="C390" s="1">
        <v>70620</v>
      </c>
    </row>
    <row r="391" spans="1:8">
      <c r="A391">
        <v>390</v>
      </c>
      <c r="B391" s="1" t="s">
        <v>392</v>
      </c>
      <c r="C391" s="1">
        <v>70810</v>
      </c>
    </row>
    <row r="392" spans="1:8">
      <c r="A392">
        <v>391</v>
      </c>
      <c r="B392" s="1" t="s">
        <v>393</v>
      </c>
      <c r="C392" s="1">
        <v>70310</v>
      </c>
    </row>
    <row r="393" spans="1:8">
      <c r="A393">
        <v>392</v>
      </c>
      <c r="B393" s="1" t="s">
        <v>394</v>
      </c>
      <c r="C393" s="1">
        <v>68150</v>
      </c>
    </row>
    <row r="394" spans="1:8">
      <c r="A394">
        <v>393</v>
      </c>
      <c r="B394" s="1" t="s">
        <v>395</v>
      </c>
      <c r="C394" s="1">
        <v>68870</v>
      </c>
    </row>
    <row r="395" spans="1:8">
      <c r="A395">
        <v>394</v>
      </c>
      <c r="B395" s="1" t="s">
        <v>396</v>
      </c>
      <c r="C395" s="1">
        <v>66110</v>
      </c>
    </row>
    <row r="396" spans="1:8">
      <c r="A396">
        <v>395</v>
      </c>
      <c r="B396" s="1" t="s">
        <v>397</v>
      </c>
      <c r="C396" s="1">
        <v>66770</v>
      </c>
    </row>
    <row r="397" spans="1:8">
      <c r="A397">
        <v>396</v>
      </c>
      <c r="B397" s="1" t="s">
        <v>398</v>
      </c>
      <c r="C397" s="1">
        <v>66030</v>
      </c>
    </row>
    <row r="398" spans="1:8">
      <c r="A398">
        <v>397</v>
      </c>
      <c r="B398" s="1" t="s">
        <v>399</v>
      </c>
      <c r="C398" s="1">
        <v>65680</v>
      </c>
    </row>
    <row r="399" spans="1:8">
      <c r="A399">
        <v>398</v>
      </c>
      <c r="B399" s="1" t="s">
        <v>400</v>
      </c>
      <c r="C399" s="1">
        <v>65600</v>
      </c>
    </row>
    <row r="400" spans="1:8">
      <c r="A400">
        <v>399</v>
      </c>
      <c r="B400" s="1" t="s">
        <v>401</v>
      </c>
      <c r="C400" s="1">
        <v>64360</v>
      </c>
    </row>
    <row r="401" spans="1:3">
      <c r="A401">
        <v>400</v>
      </c>
      <c r="B401" s="1" t="s">
        <v>402</v>
      </c>
      <c r="C401" s="1">
        <v>64630</v>
      </c>
    </row>
    <row r="402" spans="1:3">
      <c r="A402">
        <v>401</v>
      </c>
      <c r="B402" s="1" t="s">
        <v>403</v>
      </c>
      <c r="C402" s="1">
        <v>64260</v>
      </c>
    </row>
    <row r="403" spans="1:3">
      <c r="A403">
        <v>402</v>
      </c>
      <c r="B403" s="1" t="s">
        <v>404</v>
      </c>
      <c r="C403" s="1">
        <v>63710</v>
      </c>
    </row>
    <row r="404" spans="1:3">
      <c r="A404">
        <v>403</v>
      </c>
      <c r="B404" s="1" t="s">
        <v>405</v>
      </c>
      <c r="C404" s="1">
        <v>63010</v>
      </c>
    </row>
    <row r="405" spans="1:3">
      <c r="A405">
        <v>404</v>
      </c>
      <c r="B405" s="1" t="s">
        <v>406</v>
      </c>
      <c r="C405" s="1">
        <v>61350</v>
      </c>
    </row>
    <row r="406" spans="1:3">
      <c r="A406">
        <v>405</v>
      </c>
      <c r="B406" s="1" t="s">
        <v>407</v>
      </c>
      <c r="C406" s="1">
        <v>60640</v>
      </c>
    </row>
    <row r="407" spans="1:3">
      <c r="A407">
        <v>406</v>
      </c>
      <c r="B407" s="1" t="s">
        <v>408</v>
      </c>
      <c r="C407" s="1">
        <v>60690</v>
      </c>
    </row>
    <row r="408" spans="1:3">
      <c r="A408">
        <v>407</v>
      </c>
      <c r="B408" s="1" t="s">
        <v>409</v>
      </c>
      <c r="C408" s="1">
        <v>61940</v>
      </c>
    </row>
    <row r="409" spans="1:3">
      <c r="A409">
        <v>408</v>
      </c>
      <c r="B409" s="1" t="s">
        <v>410</v>
      </c>
      <c r="C409" s="1">
        <v>58410</v>
      </c>
    </row>
    <row r="410" spans="1:3">
      <c r="A410">
        <v>409</v>
      </c>
      <c r="B410" s="1" t="s">
        <v>411</v>
      </c>
      <c r="C410" s="1">
        <v>58400</v>
      </c>
    </row>
    <row r="411" spans="1:3">
      <c r="A411">
        <v>410</v>
      </c>
      <c r="B411" s="1" t="s">
        <v>412</v>
      </c>
      <c r="C411" s="1">
        <v>57730</v>
      </c>
    </row>
    <row r="412" spans="1:3">
      <c r="A412">
        <v>411</v>
      </c>
      <c r="B412" s="1" t="s">
        <v>413</v>
      </c>
      <c r="C412" s="1">
        <v>56490</v>
      </c>
    </row>
    <row r="413" spans="1:3">
      <c r="A413">
        <v>412</v>
      </c>
      <c r="B413" s="1" t="s">
        <v>414</v>
      </c>
      <c r="C413" s="1">
        <v>54650</v>
      </c>
    </row>
    <row r="414" spans="1:3">
      <c r="A414">
        <v>413</v>
      </c>
      <c r="B414" s="1" t="s">
        <v>415</v>
      </c>
      <c r="C414" s="1">
        <v>54680</v>
      </c>
    </row>
    <row r="415" spans="1:3">
      <c r="A415">
        <v>414</v>
      </c>
      <c r="B415" s="1" t="s">
        <v>416</v>
      </c>
      <c r="C415" s="1">
        <v>52140</v>
      </c>
    </row>
    <row r="416" spans="1:3">
      <c r="A416">
        <v>415</v>
      </c>
      <c r="B416" s="1" t="s">
        <v>417</v>
      </c>
      <c r="C416" s="1">
        <v>48990</v>
      </c>
    </row>
    <row r="417" spans="1:3">
      <c r="A417">
        <v>416</v>
      </c>
      <c r="B417" s="1" t="s">
        <v>418</v>
      </c>
      <c r="C417" s="1">
        <v>43170</v>
      </c>
    </row>
    <row r="418" spans="1:3">
      <c r="A418">
        <v>417</v>
      </c>
      <c r="B418" s="1" t="s">
        <v>419</v>
      </c>
      <c r="C418" s="1">
        <v>47690</v>
      </c>
    </row>
    <row r="419" spans="1:3">
      <c r="A419">
        <v>418</v>
      </c>
      <c r="B419" s="1" t="s">
        <v>420</v>
      </c>
      <c r="C419" s="1">
        <v>45470</v>
      </c>
    </row>
    <row r="420" spans="1:3">
      <c r="A420">
        <v>419</v>
      </c>
      <c r="B420" s="1" t="s">
        <v>421</v>
      </c>
      <c r="C420" s="1">
        <v>44600</v>
      </c>
    </row>
    <row r="421" spans="1:3">
      <c r="A421">
        <v>420</v>
      </c>
      <c r="B421" s="1" t="s">
        <v>422</v>
      </c>
      <c r="C421" s="1">
        <v>42080</v>
      </c>
    </row>
    <row r="422" spans="1:3">
      <c r="A422">
        <v>421</v>
      </c>
      <c r="B422" s="1" t="s">
        <v>423</v>
      </c>
      <c r="C422" s="1">
        <v>43790</v>
      </c>
    </row>
    <row r="423" spans="1:3">
      <c r="A423">
        <v>422</v>
      </c>
      <c r="B423" s="1" t="s">
        <v>424</v>
      </c>
      <c r="C423" s="1">
        <v>41720</v>
      </c>
    </row>
    <row r="424" spans="1:3">
      <c r="A424">
        <v>423</v>
      </c>
      <c r="B424" s="1" t="s">
        <v>425</v>
      </c>
      <c r="C424" s="1">
        <v>42860</v>
      </c>
    </row>
    <row r="425" spans="1:3">
      <c r="A425">
        <v>424</v>
      </c>
      <c r="B425" s="1" t="s">
        <v>426</v>
      </c>
      <c r="C425" s="1">
        <v>42400</v>
      </c>
    </row>
    <row r="426" spans="1:3">
      <c r="A426">
        <v>425</v>
      </c>
      <c r="B426" s="1" t="s">
        <v>427</v>
      </c>
      <c r="C426" s="1">
        <v>42120</v>
      </c>
    </row>
  </sheetData>
  <mergeCells count="2">
    <mergeCell ref="G1:H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D151-8586-469D-9714-4EBB321295B5}">
  <dimension ref="A1:CA413"/>
  <sheetViews>
    <sheetView workbookViewId="0">
      <selection sqref="A1:XFD1048576"/>
    </sheetView>
  </sheetViews>
  <sheetFormatPr defaultRowHeight="15"/>
  <cols>
    <col min="1" max="1" width="11.28515625" customWidth="1"/>
    <col min="4" max="4" width="18.140625" customWidth="1"/>
    <col min="5" max="5" width="12" customWidth="1"/>
    <col min="8" max="8" width="14.140625" customWidth="1"/>
    <col min="9" max="9" width="15.7109375" customWidth="1"/>
    <col min="10" max="10" width="13.28515625" customWidth="1"/>
    <col min="13" max="13" width="14.7109375" customWidth="1"/>
    <col min="14" max="14" width="14.140625" customWidth="1"/>
    <col min="15" max="15" width="14.5703125" customWidth="1"/>
    <col min="18" max="18" width="18.42578125" style="4" customWidth="1"/>
    <col min="19" max="19" width="18.7109375" style="4" customWidth="1"/>
    <col min="20" max="21" width="13.5703125" style="4" customWidth="1"/>
    <col min="23" max="23" width="17.7109375" style="5" customWidth="1"/>
    <col min="24" max="24" width="17.85546875" style="5" customWidth="1"/>
    <col min="25" max="25" width="14.42578125" style="5" customWidth="1"/>
    <col min="26" max="27" width="9.140625" style="5"/>
    <col min="29" max="29" width="16.140625" customWidth="1"/>
    <col min="30" max="30" width="11.140625" customWidth="1"/>
    <col min="31" max="31" width="16" customWidth="1"/>
    <col min="33" max="33" width="11.28515625" customWidth="1"/>
    <col min="34" max="34" width="10.42578125" customWidth="1"/>
    <col min="40" max="40" width="9.140625" style="6"/>
    <col min="43" max="43" width="11.7109375" customWidth="1"/>
    <col min="44" max="44" width="11.28515625" customWidth="1"/>
    <col min="54" max="54" width="10.28515625" customWidth="1"/>
    <col min="55" max="55" width="11.28515625" customWidth="1"/>
    <col min="56" max="56" width="10.28515625" customWidth="1"/>
    <col min="69" max="69" width="11.5703125" style="7" customWidth="1"/>
    <col min="71" max="71" width="11.140625" customWidth="1"/>
    <col min="72" max="72" width="11.42578125" customWidth="1"/>
  </cols>
  <sheetData>
    <row r="1" spans="1:79">
      <c r="A1" s="1" t="s">
        <v>1</v>
      </c>
      <c r="B1" s="1" t="s">
        <v>2</v>
      </c>
      <c r="D1" s="3" t="s">
        <v>430</v>
      </c>
      <c r="E1" s="3"/>
    </row>
    <row r="2" spans="1:79">
      <c r="A2" s="1" t="s">
        <v>3</v>
      </c>
      <c r="B2" s="1">
        <v>51720</v>
      </c>
      <c r="G2" s="8" t="s">
        <v>431</v>
      </c>
      <c r="H2" s="9">
        <v>7000</v>
      </c>
      <c r="L2" s="10" t="s">
        <v>432</v>
      </c>
      <c r="M2" s="10"/>
      <c r="N2" s="10"/>
      <c r="O2" s="10"/>
      <c r="R2" s="11" t="s">
        <v>433</v>
      </c>
      <c r="S2" s="11"/>
      <c r="T2" s="11"/>
      <c r="U2" s="12"/>
      <c r="W2" s="13" t="s">
        <v>434</v>
      </c>
      <c r="X2" s="13"/>
      <c r="Y2" s="13"/>
      <c r="Z2" s="13"/>
      <c r="AA2" s="13"/>
      <c r="AC2" s="14" t="s">
        <v>435</v>
      </c>
      <c r="AD2" s="14"/>
      <c r="AE2" s="14"/>
      <c r="AG2" s="15" t="s">
        <v>436</v>
      </c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B2" s="15" t="s">
        <v>437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S2" s="16" t="s">
        <v>438</v>
      </c>
      <c r="BT2" s="16"/>
      <c r="BU2" s="16"/>
      <c r="BV2" s="16"/>
      <c r="BW2" s="16"/>
    </row>
    <row r="3" spans="1:79" ht="30">
      <c r="A3" s="1" t="s">
        <v>4</v>
      </c>
      <c r="B3" s="1">
        <v>51660</v>
      </c>
      <c r="D3" t="s">
        <v>439</v>
      </c>
      <c r="E3">
        <v>72579.73890339426</v>
      </c>
      <c r="G3" s="17" t="s">
        <v>440</v>
      </c>
      <c r="H3" s="18">
        <v>1000</v>
      </c>
      <c r="I3" s="5"/>
      <c r="J3" s="5"/>
      <c r="K3" s="5"/>
      <c r="L3" s="19" t="s">
        <v>441</v>
      </c>
      <c r="M3" s="19" t="s">
        <v>442</v>
      </c>
      <c r="N3" s="19"/>
      <c r="O3" s="19" t="s">
        <v>443</v>
      </c>
      <c r="P3" s="5"/>
      <c r="Q3" s="5"/>
      <c r="R3" s="5" t="s">
        <v>444</v>
      </c>
      <c r="S3" s="5" t="s">
        <v>445</v>
      </c>
      <c r="T3" s="5" t="s">
        <v>443</v>
      </c>
      <c r="U3" s="5"/>
      <c r="V3" s="5"/>
      <c r="W3" s="5" t="s">
        <v>444</v>
      </c>
      <c r="X3" s="20" t="s">
        <v>445</v>
      </c>
      <c r="Y3" s="5" t="s">
        <v>443</v>
      </c>
      <c r="Z3" s="20" t="s">
        <v>446</v>
      </c>
      <c r="AA3" s="20" t="s">
        <v>447</v>
      </c>
      <c r="AB3" s="5"/>
      <c r="AC3" s="20" t="s">
        <v>446</v>
      </c>
      <c r="AD3" s="5"/>
      <c r="AE3" s="20" t="s">
        <v>447</v>
      </c>
      <c r="AG3" s="4" t="s">
        <v>448</v>
      </c>
      <c r="AH3" s="4" t="s">
        <v>449</v>
      </c>
      <c r="AI3" s="5" t="s">
        <v>443</v>
      </c>
      <c r="AJ3" s="20" t="s">
        <v>446</v>
      </c>
      <c r="AK3" s="21" t="s">
        <v>450</v>
      </c>
      <c r="AL3" s="20" t="s">
        <v>447</v>
      </c>
      <c r="AM3" s="21" t="s">
        <v>451</v>
      </c>
      <c r="AN3" s="22" t="s">
        <v>452</v>
      </c>
      <c r="AO3" s="23" t="s">
        <v>453</v>
      </c>
      <c r="AP3" s="23" t="s">
        <v>454</v>
      </c>
      <c r="AQ3" s="23" t="s">
        <v>455</v>
      </c>
      <c r="AR3" s="23" t="s">
        <v>456</v>
      </c>
      <c r="AS3" s="23" t="s">
        <v>457</v>
      </c>
      <c r="AT3" s="23" t="s">
        <v>458</v>
      </c>
      <c r="AU3" s="23" t="s">
        <v>459</v>
      </c>
      <c r="AV3" s="23" t="s">
        <v>460</v>
      </c>
      <c r="AW3" s="23" t="s">
        <v>461</v>
      </c>
      <c r="AX3" s="23" t="s">
        <v>462</v>
      </c>
      <c r="AY3" s="23" t="s">
        <v>463</v>
      </c>
      <c r="AZ3" s="23" t="s">
        <v>464</v>
      </c>
      <c r="BB3" s="5" t="s">
        <v>448</v>
      </c>
      <c r="BC3" s="5" t="s">
        <v>449</v>
      </c>
      <c r="BD3" s="5" t="s">
        <v>443</v>
      </c>
      <c r="BE3" s="23" t="s">
        <v>453</v>
      </c>
      <c r="BF3" s="23" t="s">
        <v>454</v>
      </c>
      <c r="BG3" s="23" t="s">
        <v>455</v>
      </c>
      <c r="BH3" s="23" t="s">
        <v>456</v>
      </c>
      <c r="BI3" s="23" t="s">
        <v>457</v>
      </c>
      <c r="BJ3" s="23" t="s">
        <v>458</v>
      </c>
      <c r="BK3" s="23" t="s">
        <v>459</v>
      </c>
      <c r="BL3" s="23" t="s">
        <v>460</v>
      </c>
      <c r="BM3" s="23" t="s">
        <v>461</v>
      </c>
      <c r="BN3" s="23" t="s">
        <v>462</v>
      </c>
      <c r="BO3" s="23" t="s">
        <v>463</v>
      </c>
      <c r="BP3" s="23" t="s">
        <v>464</v>
      </c>
      <c r="BQ3" s="24" t="s">
        <v>465</v>
      </c>
      <c r="BS3" s="5" t="s">
        <v>449</v>
      </c>
      <c r="BT3" s="23" t="s">
        <v>465</v>
      </c>
      <c r="BU3" s="5" t="s">
        <v>466</v>
      </c>
      <c r="BV3" s="5" t="s">
        <v>467</v>
      </c>
      <c r="BW3" s="25" t="s">
        <v>468</v>
      </c>
      <c r="BX3" s="5"/>
      <c r="BY3" s="5"/>
      <c r="BZ3" s="5"/>
      <c r="CA3" s="5"/>
    </row>
    <row r="4" spans="1:79">
      <c r="A4" s="1" t="s">
        <v>5</v>
      </c>
      <c r="B4" s="1">
        <v>54390</v>
      </c>
      <c r="D4" t="s">
        <v>469</v>
      </c>
      <c r="E4">
        <v>613.36344825504079</v>
      </c>
      <c r="G4" s="26" t="s">
        <v>470</v>
      </c>
      <c r="H4" s="9">
        <f>E12-H2</f>
        <v>40690</v>
      </c>
      <c r="I4">
        <f>E13+H3</f>
        <v>101000</v>
      </c>
      <c r="L4" s="19"/>
      <c r="M4" s="4" t="s">
        <v>471</v>
      </c>
      <c r="N4" s="4" t="s">
        <v>472</v>
      </c>
      <c r="O4" s="19"/>
      <c r="Q4">
        <v>1</v>
      </c>
      <c r="R4" s="27" t="str">
        <f>A2</f>
        <v>01/09/2023</v>
      </c>
      <c r="S4" s="27">
        <f>B2</f>
        <v>51720</v>
      </c>
      <c r="T4" s="4" t="str">
        <f>VLOOKUP(S4,$N$5:$O$14,2,TRUE)</f>
        <v>A2</v>
      </c>
      <c r="V4">
        <v>1</v>
      </c>
      <c r="W4" s="28" t="str">
        <f t="shared" ref="W4:Y67" si="0">R4</f>
        <v>01/09/2023</v>
      </c>
      <c r="X4" s="28">
        <f t="shared" si="0"/>
        <v>51720</v>
      </c>
      <c r="Y4" s="28" t="str">
        <f t="shared" si="0"/>
        <v>A2</v>
      </c>
      <c r="AC4" s="5" t="s">
        <v>473</v>
      </c>
      <c r="AD4" s="5" t="s">
        <v>474</v>
      </c>
      <c r="AE4" s="5">
        <v>0</v>
      </c>
      <c r="AG4" s="29" t="str">
        <f>W4</f>
        <v>01/09/2023</v>
      </c>
      <c r="AH4" s="30">
        <f>X4</f>
        <v>51720</v>
      </c>
      <c r="AI4" s="4" t="str">
        <f>VLOOKUP(AH4,$N$5:$O$14,2,TRUE)</f>
        <v>A2</v>
      </c>
      <c r="AJ4" s="5" t="s">
        <v>475</v>
      </c>
      <c r="AK4" s="5" t="s">
        <v>475</v>
      </c>
      <c r="AL4" s="5" t="s">
        <v>475</v>
      </c>
      <c r="AM4" s="5" t="s">
        <v>475</v>
      </c>
      <c r="AN4" s="31" t="s">
        <v>475</v>
      </c>
      <c r="AO4" s="5" t="s">
        <v>475</v>
      </c>
      <c r="AP4" s="5" t="s">
        <v>475</v>
      </c>
      <c r="AQ4" s="5" t="s">
        <v>475</v>
      </c>
      <c r="AR4" s="5" t="s">
        <v>475</v>
      </c>
      <c r="AS4" s="5" t="s">
        <v>475</v>
      </c>
      <c r="AT4" s="5" t="s">
        <v>475</v>
      </c>
      <c r="AU4" s="5" t="s">
        <v>475</v>
      </c>
      <c r="AV4" s="5" t="s">
        <v>475</v>
      </c>
      <c r="AW4" s="5" t="s">
        <v>475</v>
      </c>
      <c r="AX4" s="5" t="s">
        <v>475</v>
      </c>
      <c r="AY4" s="5" t="s">
        <v>475</v>
      </c>
      <c r="AZ4" s="5" t="s">
        <v>475</v>
      </c>
      <c r="BB4" s="32" t="str">
        <f>AG4</f>
        <v>01/09/2023</v>
      </c>
      <c r="BC4" s="33">
        <f>AH4</f>
        <v>51720</v>
      </c>
      <c r="BD4" s="4" t="str">
        <f>AI4</f>
        <v>A2</v>
      </c>
      <c r="BE4" s="5" t="s">
        <v>475</v>
      </c>
      <c r="BF4" s="5" t="s">
        <v>475</v>
      </c>
      <c r="BG4" s="5" t="s">
        <v>475</v>
      </c>
      <c r="BH4" s="5" t="s">
        <v>475</v>
      </c>
      <c r="BI4" s="5" t="s">
        <v>475</v>
      </c>
      <c r="BJ4" s="5" t="s">
        <v>475</v>
      </c>
      <c r="BK4" s="5" t="s">
        <v>475</v>
      </c>
      <c r="BL4" s="5" t="s">
        <v>475</v>
      </c>
      <c r="BM4" s="5" t="s">
        <v>475</v>
      </c>
      <c r="BN4" s="5" t="s">
        <v>475</v>
      </c>
      <c r="BO4" s="5" t="s">
        <v>475</v>
      </c>
      <c r="BP4" s="5" t="s">
        <v>475</v>
      </c>
      <c r="BQ4" s="34" t="s">
        <v>475</v>
      </c>
      <c r="BS4" s="30">
        <f>BC4</f>
        <v>51720</v>
      </c>
      <c r="BT4" s="4" t="str">
        <f>BQ4</f>
        <v>-</v>
      </c>
      <c r="BW4" s="35"/>
    </row>
    <row r="5" spans="1:79">
      <c r="A5" s="1" t="s">
        <v>6</v>
      </c>
      <c r="B5" s="1">
        <v>50560</v>
      </c>
      <c r="D5" t="s">
        <v>476</v>
      </c>
      <c r="E5">
        <v>71840</v>
      </c>
      <c r="G5" s="36" t="s">
        <v>477</v>
      </c>
      <c r="H5" s="9">
        <f>LOG10(E15)</f>
        <v>2.5831987739686229</v>
      </c>
      <c r="L5">
        <v>1</v>
      </c>
      <c r="M5">
        <f>I12</f>
        <v>46721</v>
      </c>
      <c r="N5">
        <f>H12</f>
        <v>40690</v>
      </c>
      <c r="O5" s="4" t="s">
        <v>473</v>
      </c>
      <c r="Q5">
        <v>2</v>
      </c>
      <c r="R5" s="27" t="str">
        <f t="shared" ref="R5:S68" si="1">A3</f>
        <v>02/09/2023</v>
      </c>
      <c r="S5" s="27">
        <f t="shared" si="1"/>
        <v>51660</v>
      </c>
      <c r="T5" s="4" t="str">
        <f t="shared" ref="T5:T68" si="2">VLOOKUP(S5,$N$5:$O$14,2,TRUE)</f>
        <v>A2</v>
      </c>
      <c r="V5">
        <v>2</v>
      </c>
      <c r="W5" s="28" t="str">
        <f t="shared" si="0"/>
        <v>02/09/2023</v>
      </c>
      <c r="X5" s="28">
        <f t="shared" si="0"/>
        <v>51660</v>
      </c>
      <c r="Y5" s="28" t="str">
        <f t="shared" si="0"/>
        <v>A2</v>
      </c>
      <c r="AC5" s="5" t="s">
        <v>478</v>
      </c>
      <c r="AD5" s="5" t="s">
        <v>474</v>
      </c>
      <c r="AE5" s="5" t="s">
        <v>479</v>
      </c>
      <c r="AG5" s="29" t="str">
        <f t="shared" ref="AG5:AH68" si="3">W5</f>
        <v>02/09/2023</v>
      </c>
      <c r="AH5" s="30">
        <f t="shared" si="3"/>
        <v>51660</v>
      </c>
      <c r="AI5" s="4" t="str">
        <f t="shared" ref="AI5:AI68" si="4">VLOOKUP(AH5,$N$5:$O$14,2,TRUE)</f>
        <v>A2</v>
      </c>
      <c r="AJ5" s="5" t="s">
        <v>475</v>
      </c>
      <c r="AK5" s="5" t="s">
        <v>475</v>
      </c>
      <c r="AL5" s="5" t="s">
        <v>475</v>
      </c>
      <c r="AM5" s="5" t="s">
        <v>475</v>
      </c>
      <c r="AN5" s="31" t="s">
        <v>475</v>
      </c>
      <c r="AO5" s="5" t="s">
        <v>475</v>
      </c>
      <c r="AP5" s="5" t="s">
        <v>475</v>
      </c>
      <c r="AQ5" s="5" t="s">
        <v>475</v>
      </c>
      <c r="AR5" s="5" t="s">
        <v>475</v>
      </c>
      <c r="AS5" s="5" t="s">
        <v>475</v>
      </c>
      <c r="AT5" s="5" t="s">
        <v>475</v>
      </c>
      <c r="AU5" s="5" t="s">
        <v>475</v>
      </c>
      <c r="AV5" s="5" t="s">
        <v>475</v>
      </c>
      <c r="AW5" s="5" t="s">
        <v>475</v>
      </c>
      <c r="AX5" s="5" t="s">
        <v>475</v>
      </c>
      <c r="AY5" s="5" t="s">
        <v>475</v>
      </c>
      <c r="AZ5" s="5" t="s">
        <v>475</v>
      </c>
      <c r="BB5" s="32" t="str">
        <f t="shared" ref="BB5:BD68" si="5">AG5</f>
        <v>02/09/2023</v>
      </c>
      <c r="BC5" s="33">
        <f t="shared" si="5"/>
        <v>51660</v>
      </c>
      <c r="BD5" s="4" t="str">
        <f t="shared" si="5"/>
        <v>A2</v>
      </c>
      <c r="BE5" s="5" t="s">
        <v>475</v>
      </c>
      <c r="BF5" s="5" t="s">
        <v>475</v>
      </c>
      <c r="BG5" s="5" t="s">
        <v>475</v>
      </c>
      <c r="BH5" s="5" t="s">
        <v>475</v>
      </c>
      <c r="BI5" s="5" t="s">
        <v>475</v>
      </c>
      <c r="BJ5" s="5" t="s">
        <v>475</v>
      </c>
      <c r="BK5" s="5" t="s">
        <v>475</v>
      </c>
      <c r="BL5" s="5" t="s">
        <v>475</v>
      </c>
      <c r="BM5" s="5" t="s">
        <v>475</v>
      </c>
      <c r="BN5" s="5" t="s">
        <v>475</v>
      </c>
      <c r="BO5" s="5" t="s">
        <v>475</v>
      </c>
      <c r="BP5" s="5" t="s">
        <v>475</v>
      </c>
      <c r="BQ5" s="34" t="s">
        <v>475</v>
      </c>
      <c r="BS5" s="30">
        <f t="shared" ref="BS5:BS68" si="6">BC5</f>
        <v>51660</v>
      </c>
      <c r="BT5" s="4" t="str">
        <f t="shared" ref="BT5:BT68" si="7">BQ5</f>
        <v>-</v>
      </c>
      <c r="BU5" s="37"/>
      <c r="BW5" s="35"/>
      <c r="BX5" s="38" t="s">
        <v>480</v>
      </c>
      <c r="BY5" s="35">
        <f>SUM(BW7:BW386)</f>
        <v>3.5541975674637363</v>
      </c>
    </row>
    <row r="6" spans="1:79">
      <c r="A6" s="1" t="s">
        <v>7</v>
      </c>
      <c r="B6" s="1">
        <v>50750</v>
      </c>
      <c r="D6" t="s">
        <v>481</v>
      </c>
      <c r="E6">
        <v>69370</v>
      </c>
      <c r="G6" s="39" t="s">
        <v>482</v>
      </c>
      <c r="H6" s="9">
        <f>1+3.322*H5</f>
        <v>9.5813863271237647</v>
      </c>
      <c r="I6">
        <v>10</v>
      </c>
      <c r="L6">
        <v>2</v>
      </c>
      <c r="M6">
        <f t="shared" ref="M6:M14" si="8">I13</f>
        <v>52752</v>
      </c>
      <c r="N6">
        <f t="shared" ref="N6:N14" si="9">H13</f>
        <v>46721</v>
      </c>
      <c r="O6" s="4" t="s">
        <v>478</v>
      </c>
      <c r="Q6">
        <v>3</v>
      </c>
      <c r="R6" s="27" t="str">
        <f t="shared" si="1"/>
        <v>03/09/2023</v>
      </c>
      <c r="S6" s="27">
        <f t="shared" si="1"/>
        <v>54390</v>
      </c>
      <c r="T6" s="4" t="str">
        <f t="shared" si="2"/>
        <v>A3</v>
      </c>
      <c r="V6">
        <v>3</v>
      </c>
      <c r="W6" s="28" t="str">
        <f t="shared" si="0"/>
        <v>03/09/2023</v>
      </c>
      <c r="X6" s="28">
        <f t="shared" si="0"/>
        <v>54390</v>
      </c>
      <c r="Y6" s="28" t="str">
        <f t="shared" si="0"/>
        <v>A3</v>
      </c>
      <c r="AC6" s="5" t="s">
        <v>483</v>
      </c>
      <c r="AD6" s="5" t="s">
        <v>474</v>
      </c>
      <c r="AE6" s="5" t="s">
        <v>484</v>
      </c>
      <c r="AG6" s="29" t="str">
        <f t="shared" si="3"/>
        <v>03/09/2023</v>
      </c>
      <c r="AH6" s="30">
        <f t="shared" si="3"/>
        <v>54390</v>
      </c>
      <c r="AI6" s="4" t="str">
        <f t="shared" si="4"/>
        <v>A3</v>
      </c>
      <c r="AJ6" s="5" t="s">
        <v>475</v>
      </c>
      <c r="AK6" s="5" t="s">
        <v>475</v>
      </c>
      <c r="AL6" s="5" t="s">
        <v>475</v>
      </c>
      <c r="AM6" s="5" t="s">
        <v>475</v>
      </c>
      <c r="AN6" s="31" t="s">
        <v>475</v>
      </c>
      <c r="AO6" s="5" t="s">
        <v>475</v>
      </c>
      <c r="AP6" s="5" t="s">
        <v>475</v>
      </c>
      <c r="AQ6" s="5" t="s">
        <v>475</v>
      </c>
      <c r="AR6" s="5" t="s">
        <v>475</v>
      </c>
      <c r="AS6" s="5" t="s">
        <v>475</v>
      </c>
      <c r="AT6" s="5" t="s">
        <v>475</v>
      </c>
      <c r="AU6" s="5" t="s">
        <v>475</v>
      </c>
      <c r="AV6" s="5" t="s">
        <v>475</v>
      </c>
      <c r="AW6" s="5" t="s">
        <v>475</v>
      </c>
      <c r="AX6" s="5" t="s">
        <v>475</v>
      </c>
      <c r="AY6" s="5" t="s">
        <v>475</v>
      </c>
      <c r="AZ6" s="5" t="s">
        <v>475</v>
      </c>
      <c r="BB6" s="32" t="str">
        <f t="shared" si="5"/>
        <v>03/09/2023</v>
      </c>
      <c r="BC6" s="33">
        <f t="shared" si="5"/>
        <v>54390</v>
      </c>
      <c r="BD6" s="4" t="str">
        <f t="shared" si="5"/>
        <v>A3</v>
      </c>
      <c r="BE6" s="5" t="s">
        <v>475</v>
      </c>
      <c r="BF6" s="5" t="s">
        <v>475</v>
      </c>
      <c r="BG6" s="5" t="s">
        <v>475</v>
      </c>
      <c r="BH6" s="5" t="s">
        <v>475</v>
      </c>
      <c r="BI6" s="5" t="s">
        <v>475</v>
      </c>
      <c r="BJ6" s="5" t="s">
        <v>475</v>
      </c>
      <c r="BK6" s="5" t="s">
        <v>475</v>
      </c>
      <c r="BL6" s="5" t="s">
        <v>475</v>
      </c>
      <c r="BM6" s="5" t="s">
        <v>475</v>
      </c>
      <c r="BN6" s="5" t="s">
        <v>475</v>
      </c>
      <c r="BO6" s="5" t="s">
        <v>475</v>
      </c>
      <c r="BP6" s="5" t="s">
        <v>475</v>
      </c>
      <c r="BQ6" s="34" t="s">
        <v>475</v>
      </c>
      <c r="BS6" s="30">
        <f t="shared" si="6"/>
        <v>54390</v>
      </c>
      <c r="BT6" s="4" t="str">
        <f t="shared" si="7"/>
        <v>-</v>
      </c>
      <c r="BU6" s="37"/>
      <c r="BW6" s="35"/>
      <c r="BX6" s="38" t="s">
        <v>485</v>
      </c>
      <c r="BY6" s="35">
        <f>AVERAGE(BW7:BW386)</f>
        <v>9.3531514933256222E-3</v>
      </c>
      <c r="BZ6">
        <f>BY6*100</f>
        <v>0.93531514933256221</v>
      </c>
    </row>
    <row r="7" spans="1:79">
      <c r="A7" s="1" t="s">
        <v>8</v>
      </c>
      <c r="B7" s="1">
        <v>50410</v>
      </c>
      <c r="D7" t="s">
        <v>486</v>
      </c>
      <c r="E7">
        <v>12003.759312314842</v>
      </c>
      <c r="G7" s="39" t="s">
        <v>487</v>
      </c>
      <c r="H7" s="9">
        <f>(I4-H4)/I6</f>
        <v>6031</v>
      </c>
      <c r="L7">
        <v>3</v>
      </c>
      <c r="M7">
        <f t="shared" si="8"/>
        <v>58783</v>
      </c>
      <c r="N7">
        <f t="shared" si="9"/>
        <v>52752</v>
      </c>
      <c r="O7" s="4" t="s">
        <v>483</v>
      </c>
      <c r="Q7">
        <v>4</v>
      </c>
      <c r="R7" s="27" t="str">
        <f t="shared" si="1"/>
        <v>04/09/2023</v>
      </c>
      <c r="S7" s="27">
        <f t="shared" si="1"/>
        <v>50560</v>
      </c>
      <c r="T7" s="4" t="str">
        <f t="shared" si="2"/>
        <v>A2</v>
      </c>
      <c r="V7">
        <v>4</v>
      </c>
      <c r="W7" s="28" t="str">
        <f t="shared" si="0"/>
        <v>04/09/2023</v>
      </c>
      <c r="X7" s="28">
        <f t="shared" si="0"/>
        <v>50560</v>
      </c>
      <c r="Y7" s="28" t="str">
        <f t="shared" si="0"/>
        <v>A2</v>
      </c>
      <c r="Z7" s="5" t="str">
        <f>Y5</f>
        <v>A2</v>
      </c>
      <c r="AA7" s="5" t="str">
        <f>Y6</f>
        <v>A3</v>
      </c>
      <c r="AC7" s="5" t="s">
        <v>488</v>
      </c>
      <c r="AD7" s="5" t="s">
        <v>474</v>
      </c>
      <c r="AE7" s="5" t="s">
        <v>489</v>
      </c>
      <c r="AG7" s="29" t="str">
        <f t="shared" si="3"/>
        <v>04/09/2023</v>
      </c>
      <c r="AH7" s="30">
        <f t="shared" si="3"/>
        <v>50560</v>
      </c>
      <c r="AI7" s="4" t="str">
        <f t="shared" si="4"/>
        <v>A2</v>
      </c>
      <c r="AJ7" s="5" t="str">
        <f>AI5</f>
        <v>A2</v>
      </c>
      <c r="AK7">
        <f>VLOOKUP(AJ7,$AC$18:$AD$27,2,FALSE)</f>
        <v>49736.5</v>
      </c>
      <c r="AL7" t="str">
        <f>AI6</f>
        <v>A3</v>
      </c>
      <c r="AM7">
        <f>VLOOKUP(AL7,$AC$18:$AD$27,2,FALSE)</f>
        <v>55767.5</v>
      </c>
      <c r="AN7" s="6">
        <f>ABS(ABS(AH6-AH5)-ABS(AH5-AH4))</f>
        <v>2670</v>
      </c>
      <c r="AO7">
        <f>AH6+AN7/2</f>
        <v>55725</v>
      </c>
      <c r="AP7">
        <f>AH6-AN7/2</f>
        <v>53055</v>
      </c>
      <c r="AQ7" s="33">
        <f>AH6+AN7</f>
        <v>57060</v>
      </c>
      <c r="AR7" s="33">
        <f>AH6-AN7</f>
        <v>51720</v>
      </c>
      <c r="AS7">
        <f>AH6+AN7/4</f>
        <v>55057.5</v>
      </c>
      <c r="AT7" s="5">
        <f>AH6-AN7/4</f>
        <v>53722.5</v>
      </c>
      <c r="AU7" s="5">
        <f>AH6+2*AN7</f>
        <v>59730</v>
      </c>
      <c r="AV7" s="5">
        <f>AH6-2*AN7</f>
        <v>49050</v>
      </c>
      <c r="AW7" s="5">
        <f>AH6+AN7/6</f>
        <v>54835</v>
      </c>
      <c r="AX7" s="5">
        <f>AH6-AN7/6</f>
        <v>53945</v>
      </c>
      <c r="AY7" s="5">
        <f>AH6+3*AN7</f>
        <v>62400</v>
      </c>
      <c r="AZ7" s="5">
        <f>AH6-3*AN7</f>
        <v>46380</v>
      </c>
      <c r="BB7" s="32" t="str">
        <f t="shared" si="5"/>
        <v>04/09/2023</v>
      </c>
      <c r="BC7" s="33">
        <f t="shared" si="5"/>
        <v>50560</v>
      </c>
      <c r="BD7" s="4" t="str">
        <f t="shared" si="5"/>
        <v>A2</v>
      </c>
      <c r="BE7">
        <f>(AO7+$AM$7)/(1+1)</f>
        <v>55746.25</v>
      </c>
      <c r="BF7" s="40">
        <f>(AP7+AM7)/(1+1)</f>
        <v>54411.25</v>
      </c>
      <c r="BG7">
        <f>(AQ7+AM7)/(1+1)</f>
        <v>56413.75</v>
      </c>
      <c r="BH7">
        <f>(AR7+AM7)/(1+1)</f>
        <v>53743.75</v>
      </c>
      <c r="BI7">
        <f>(AS7+AM7)/(1+1)</f>
        <v>55412.5</v>
      </c>
      <c r="BJ7">
        <f>(AT7+AM7)/(1+1)</f>
        <v>54745</v>
      </c>
      <c r="BK7">
        <f>(AU7+AM7)/(1+1)</f>
        <v>57748.75</v>
      </c>
      <c r="BL7">
        <f>(AV7+AM7)/(1+1)</f>
        <v>52408.75</v>
      </c>
      <c r="BM7">
        <f>(AW7+AM7)/(1+1)</f>
        <v>55301.25</v>
      </c>
      <c r="BN7">
        <f>(AX7+AM7)/(1+1)</f>
        <v>54856.25</v>
      </c>
      <c r="BO7">
        <f>(AY7+AM7)/(1+1)</f>
        <v>59083.75</v>
      </c>
      <c r="BP7" s="38">
        <f>(AZ7+AM7)/(1+1)</f>
        <v>51073.75</v>
      </c>
      <c r="BQ7" s="7">
        <f>BP7</f>
        <v>51073.75</v>
      </c>
      <c r="BS7" s="30">
        <f t="shared" si="6"/>
        <v>50560</v>
      </c>
      <c r="BT7" s="4">
        <f t="shared" si="7"/>
        <v>51073.75</v>
      </c>
      <c r="BU7" s="37">
        <f t="shared" ref="BU7:BU70" si="10">BS7-BT7</f>
        <v>-513.75</v>
      </c>
      <c r="BV7">
        <f t="shared" ref="BV7:BV70" si="11">ABS(BU7)</f>
        <v>513.75</v>
      </c>
      <c r="BW7" s="35">
        <f t="shared" ref="BW7:BW70" si="12">BV7/BS7</f>
        <v>1.0161194620253165E-2</v>
      </c>
      <c r="BX7" s="38"/>
      <c r="BY7">
        <f>(BY5/380)*100</f>
        <v>0.93531514933256221</v>
      </c>
    </row>
    <row r="8" spans="1:79">
      <c r="A8" s="1" t="s">
        <v>9</v>
      </c>
      <c r="B8" s="1">
        <v>50690</v>
      </c>
      <c r="D8" t="s">
        <v>490</v>
      </c>
      <c r="E8">
        <v>144090237.6279853</v>
      </c>
      <c r="L8">
        <v>4</v>
      </c>
      <c r="M8">
        <f t="shared" si="8"/>
        <v>64814</v>
      </c>
      <c r="N8">
        <f t="shared" si="9"/>
        <v>58783</v>
      </c>
      <c r="O8" s="4" t="s">
        <v>488</v>
      </c>
      <c r="Q8">
        <v>5</v>
      </c>
      <c r="R8" s="27" t="str">
        <f t="shared" si="1"/>
        <v>05/09/2023</v>
      </c>
      <c r="S8" s="27">
        <f t="shared" si="1"/>
        <v>50750</v>
      </c>
      <c r="T8" s="4" t="str">
        <f t="shared" si="2"/>
        <v>A2</v>
      </c>
      <c r="V8">
        <v>5</v>
      </c>
      <c r="W8" s="28" t="str">
        <f t="shared" si="0"/>
        <v>05/09/2023</v>
      </c>
      <c r="X8" s="28">
        <f t="shared" si="0"/>
        <v>50750</v>
      </c>
      <c r="Y8" s="28" t="str">
        <f t="shared" si="0"/>
        <v>A2</v>
      </c>
      <c r="Z8" s="5" t="str">
        <f t="shared" ref="Z8:Z71" si="13">Y6</f>
        <v>A3</v>
      </c>
      <c r="AA8" s="5" t="str">
        <f t="shared" ref="AA8:AA71" si="14">Y7</f>
        <v>A2</v>
      </c>
      <c r="AC8" s="5" t="s">
        <v>491</v>
      </c>
      <c r="AD8" s="5" t="s">
        <v>474</v>
      </c>
      <c r="AE8" s="5" t="s">
        <v>492</v>
      </c>
      <c r="AG8" s="29" t="str">
        <f t="shared" si="3"/>
        <v>05/09/2023</v>
      </c>
      <c r="AH8" s="30">
        <f t="shared" si="3"/>
        <v>50750</v>
      </c>
      <c r="AI8" s="4" t="str">
        <f t="shared" si="4"/>
        <v>A2</v>
      </c>
      <c r="AJ8" s="5" t="str">
        <f t="shared" ref="AJ8:AJ71" si="15">AI6</f>
        <v>A3</v>
      </c>
      <c r="AK8">
        <f t="shared" ref="AK8:AK71" si="16">VLOOKUP(AJ8,$AC$18:$AD$27,2,FALSE)</f>
        <v>55767.5</v>
      </c>
      <c r="AL8" t="str">
        <f t="shared" ref="AL8:AL71" si="17">AI7</f>
        <v>A2</v>
      </c>
      <c r="AM8">
        <f t="shared" ref="AM8:AM71" si="18">VLOOKUP(AL8,$AC$18:$AD$27,2,FALSE)</f>
        <v>49736.5</v>
      </c>
      <c r="AN8" s="6">
        <f t="shared" ref="AN8:AN71" si="19">ABS(ABS(AH7-AH6)-ABS(AH6-AH5))</f>
        <v>1100</v>
      </c>
      <c r="AO8">
        <f t="shared" ref="AO8:AO71" si="20">AH7+AN8/2</f>
        <v>51110</v>
      </c>
      <c r="AP8">
        <f t="shared" ref="AP8:AP10" si="21">AH7-AN8/2</f>
        <v>50010</v>
      </c>
      <c r="AQ8" s="33">
        <f t="shared" ref="AQ8:AQ71" si="22">AH7+AN8</f>
        <v>51660</v>
      </c>
      <c r="AR8" s="33">
        <f t="shared" ref="AR8:AR71" si="23">AH7-AN8</f>
        <v>49460</v>
      </c>
      <c r="AS8">
        <f t="shared" ref="AS8:AS71" si="24">AH7+AN8/4</f>
        <v>50835</v>
      </c>
      <c r="AT8" s="5">
        <f t="shared" ref="AT8:AT71" si="25">AH7-AN8/4</f>
        <v>50285</v>
      </c>
      <c r="AU8" s="5">
        <f t="shared" ref="AU8:AU71" si="26">AH7+2*AN8</f>
        <v>52760</v>
      </c>
      <c r="AV8" s="5">
        <f t="shared" ref="AV8:AV71" si="27">AH7-2*AN8</f>
        <v>48360</v>
      </c>
      <c r="AW8" s="5">
        <f t="shared" ref="AW8:AW71" si="28">AH7+AN8/6</f>
        <v>50743.333333333336</v>
      </c>
      <c r="AX8" s="5">
        <f t="shared" ref="AX8:AX71" si="29">AH7-AN8/6</f>
        <v>50376.666666666664</v>
      </c>
      <c r="AY8" s="5">
        <f t="shared" ref="AY8:AY71" si="30">AH7+3*AN8</f>
        <v>53860</v>
      </c>
      <c r="AZ8" s="5">
        <f t="shared" ref="AZ8:AZ71" si="31">AH7-3*AN8</f>
        <v>47260</v>
      </c>
      <c r="BB8" s="32" t="str">
        <f t="shared" si="5"/>
        <v>05/09/2023</v>
      </c>
      <c r="BC8" s="33">
        <f t="shared" si="5"/>
        <v>50750</v>
      </c>
      <c r="BD8" s="4" t="str">
        <f t="shared" si="5"/>
        <v>A2</v>
      </c>
      <c r="BE8">
        <f t="shared" ref="BE8:BE71" si="32">(AO8+AM8)/(1+1)</f>
        <v>50423.25</v>
      </c>
      <c r="BF8">
        <f t="shared" ref="BF8:BF71" si="33">(AP8+AM8)/(1+1)</f>
        <v>49873.25</v>
      </c>
      <c r="BG8" s="38">
        <f t="shared" ref="BG8:BG71" si="34">(AQ8+AM8)/(1+1)</f>
        <v>50698.25</v>
      </c>
      <c r="BH8">
        <f t="shared" ref="BH8:BH71" si="35">(AR8+AM8)/(1+1)</f>
        <v>49598.25</v>
      </c>
      <c r="BI8">
        <f t="shared" ref="BI8:BI71" si="36">(AS8+AM8)/(1+1)</f>
        <v>50285.75</v>
      </c>
      <c r="BJ8">
        <f t="shared" ref="BJ8:BJ71" si="37">(AT8+AM8)/(1+1)</f>
        <v>50010.75</v>
      </c>
      <c r="BK8">
        <f t="shared" ref="BK8:BK71" si="38">(AU8+AM8)/(1+1)</f>
        <v>51248.25</v>
      </c>
      <c r="BL8">
        <f t="shared" ref="BL8:BL71" si="39">(AV8+AM8)/(1+1)</f>
        <v>49048.25</v>
      </c>
      <c r="BM8">
        <f t="shared" ref="BM8:BM71" si="40">(AW8+AM8)/(1+1)</f>
        <v>50239.916666666672</v>
      </c>
      <c r="BN8">
        <f t="shared" ref="BN8:BN71" si="41">(AX8+AM8)/(1+1)</f>
        <v>50056.583333333328</v>
      </c>
      <c r="BO8">
        <f t="shared" ref="BO8:BO71" si="42">(AY8+AM8)/(1+1)</f>
        <v>51798.25</v>
      </c>
      <c r="BP8">
        <f t="shared" ref="BP8:BP71" si="43">(AZ8+AM8)/(1+1)</f>
        <v>48498.25</v>
      </c>
      <c r="BQ8" s="7">
        <f>BG8</f>
        <v>50698.25</v>
      </c>
      <c r="BS8" s="30">
        <f t="shared" si="6"/>
        <v>50750</v>
      </c>
      <c r="BT8" s="4">
        <f t="shared" si="7"/>
        <v>50698.25</v>
      </c>
      <c r="BU8" s="37">
        <f t="shared" si="10"/>
        <v>51.75</v>
      </c>
      <c r="BV8">
        <f t="shared" si="11"/>
        <v>51.75</v>
      </c>
      <c r="BW8" s="35">
        <f t="shared" si="12"/>
        <v>1.0197044334975369E-3</v>
      </c>
    </row>
    <row r="9" spans="1:79">
      <c r="A9" s="1" t="s">
        <v>10</v>
      </c>
      <c r="B9" s="1">
        <v>50820</v>
      </c>
      <c r="D9" t="s">
        <v>493</v>
      </c>
      <c r="E9">
        <v>-0.50387091131485606</v>
      </c>
      <c r="G9" s="41" t="s">
        <v>494</v>
      </c>
      <c r="H9" s="41"/>
      <c r="I9" s="41"/>
      <c r="J9" s="41"/>
      <c r="L9">
        <v>5</v>
      </c>
      <c r="M9">
        <f t="shared" si="8"/>
        <v>70845</v>
      </c>
      <c r="N9">
        <f t="shared" si="9"/>
        <v>64814</v>
      </c>
      <c r="O9" s="4" t="s">
        <v>491</v>
      </c>
      <c r="Q9">
        <v>6</v>
      </c>
      <c r="R9" s="27" t="str">
        <f t="shared" si="1"/>
        <v>06/09/2023</v>
      </c>
      <c r="S9" s="27">
        <f t="shared" si="1"/>
        <v>50410</v>
      </c>
      <c r="T9" s="4" t="str">
        <f t="shared" si="2"/>
        <v>A2</v>
      </c>
      <c r="V9">
        <v>6</v>
      </c>
      <c r="W9" s="28" t="str">
        <f t="shared" si="0"/>
        <v>06/09/2023</v>
      </c>
      <c r="X9" s="28">
        <f t="shared" si="0"/>
        <v>50410</v>
      </c>
      <c r="Y9" s="28" t="str">
        <f t="shared" si="0"/>
        <v>A2</v>
      </c>
      <c r="Z9" s="5" t="str">
        <f t="shared" si="13"/>
        <v>A2</v>
      </c>
      <c r="AA9" s="5" t="str">
        <f t="shared" si="14"/>
        <v>A2</v>
      </c>
      <c r="AC9" s="5" t="s">
        <v>495</v>
      </c>
      <c r="AD9" s="5" t="s">
        <v>474</v>
      </c>
      <c r="AE9" s="5" t="s">
        <v>496</v>
      </c>
      <c r="AG9" s="29" t="str">
        <f t="shared" si="3"/>
        <v>06/09/2023</v>
      </c>
      <c r="AH9" s="30">
        <f t="shared" si="3"/>
        <v>50410</v>
      </c>
      <c r="AI9" s="4" t="str">
        <f t="shared" si="4"/>
        <v>A2</v>
      </c>
      <c r="AJ9" s="5" t="str">
        <f t="shared" si="15"/>
        <v>A2</v>
      </c>
      <c r="AK9">
        <f t="shared" si="16"/>
        <v>49736.5</v>
      </c>
      <c r="AL9" t="str">
        <f t="shared" si="17"/>
        <v>A2</v>
      </c>
      <c r="AM9">
        <f t="shared" si="18"/>
        <v>49736.5</v>
      </c>
      <c r="AN9" s="6">
        <f t="shared" si="19"/>
        <v>3640</v>
      </c>
      <c r="AO9">
        <f t="shared" si="20"/>
        <v>52570</v>
      </c>
      <c r="AP9">
        <f t="shared" si="21"/>
        <v>48930</v>
      </c>
      <c r="AQ9" s="33">
        <f t="shared" si="22"/>
        <v>54390</v>
      </c>
      <c r="AR9" s="33">
        <f t="shared" si="23"/>
        <v>47110</v>
      </c>
      <c r="AS9">
        <f t="shared" si="24"/>
        <v>51660</v>
      </c>
      <c r="AT9" s="5">
        <f t="shared" si="25"/>
        <v>49840</v>
      </c>
      <c r="AU9" s="5">
        <f t="shared" si="26"/>
        <v>58030</v>
      </c>
      <c r="AV9" s="5">
        <f t="shared" si="27"/>
        <v>43470</v>
      </c>
      <c r="AW9" s="5">
        <f t="shared" si="28"/>
        <v>51356.666666666664</v>
      </c>
      <c r="AX9" s="5">
        <f t="shared" si="29"/>
        <v>50143.333333333336</v>
      </c>
      <c r="AY9" s="5">
        <f t="shared" si="30"/>
        <v>61670</v>
      </c>
      <c r="AZ9" s="5">
        <f t="shared" si="31"/>
        <v>39830</v>
      </c>
      <c r="BB9" s="32" t="str">
        <f t="shared" si="5"/>
        <v>06/09/2023</v>
      </c>
      <c r="BC9" s="33">
        <f t="shared" si="5"/>
        <v>50410</v>
      </c>
      <c r="BD9" s="4" t="str">
        <f t="shared" si="5"/>
        <v>A2</v>
      </c>
      <c r="BE9">
        <f t="shared" si="32"/>
        <v>51153.25</v>
      </c>
      <c r="BF9">
        <f t="shared" si="33"/>
        <v>49333.25</v>
      </c>
      <c r="BG9">
        <f t="shared" si="34"/>
        <v>52063.25</v>
      </c>
      <c r="BH9">
        <f t="shared" si="35"/>
        <v>48423.25</v>
      </c>
      <c r="BI9">
        <f t="shared" si="36"/>
        <v>50698.25</v>
      </c>
      <c r="BJ9">
        <f t="shared" si="37"/>
        <v>49788.25</v>
      </c>
      <c r="BK9">
        <f t="shared" si="38"/>
        <v>53883.25</v>
      </c>
      <c r="BL9">
        <f t="shared" si="39"/>
        <v>46603.25</v>
      </c>
      <c r="BM9" s="38">
        <f t="shared" si="40"/>
        <v>50546.583333333328</v>
      </c>
      <c r="BN9">
        <f t="shared" si="41"/>
        <v>49939.916666666672</v>
      </c>
      <c r="BO9">
        <f t="shared" si="42"/>
        <v>55703.25</v>
      </c>
      <c r="BP9">
        <f t="shared" si="43"/>
        <v>44783.25</v>
      </c>
      <c r="BQ9" s="7">
        <f>BM9</f>
        <v>50546.583333333328</v>
      </c>
      <c r="BS9" s="30">
        <f t="shared" si="6"/>
        <v>50410</v>
      </c>
      <c r="BT9" s="4">
        <f t="shared" si="7"/>
        <v>50546.583333333328</v>
      </c>
      <c r="BU9" s="37">
        <f t="shared" si="10"/>
        <v>-136.58333333332848</v>
      </c>
      <c r="BV9">
        <f t="shared" si="11"/>
        <v>136.58333333332848</v>
      </c>
      <c r="BW9" s="35">
        <f t="shared" si="12"/>
        <v>2.7094491833629933E-3</v>
      </c>
    </row>
    <row r="10" spans="1:79">
      <c r="A10" s="1" t="s">
        <v>11</v>
      </c>
      <c r="B10" s="1">
        <v>51070</v>
      </c>
      <c r="D10" t="s">
        <v>497</v>
      </c>
      <c r="E10">
        <v>-0.13297973489353779</v>
      </c>
      <c r="G10" s="19" t="s">
        <v>441</v>
      </c>
      <c r="H10" s="19" t="s">
        <v>442</v>
      </c>
      <c r="I10" s="19"/>
      <c r="J10" s="19" t="s">
        <v>498</v>
      </c>
      <c r="L10">
        <v>6</v>
      </c>
      <c r="M10">
        <f t="shared" si="8"/>
        <v>76876</v>
      </c>
      <c r="N10">
        <f t="shared" si="9"/>
        <v>70845</v>
      </c>
      <c r="O10" s="4" t="s">
        <v>495</v>
      </c>
      <c r="Q10">
        <v>7</v>
      </c>
      <c r="R10" s="27" t="str">
        <f t="shared" si="1"/>
        <v>07/09/2023</v>
      </c>
      <c r="S10" s="27">
        <f t="shared" si="1"/>
        <v>50690</v>
      </c>
      <c r="T10" s="4" t="str">
        <f t="shared" si="2"/>
        <v>A2</v>
      </c>
      <c r="V10">
        <v>7</v>
      </c>
      <c r="W10" s="28" t="str">
        <f t="shared" si="0"/>
        <v>07/09/2023</v>
      </c>
      <c r="X10" s="28">
        <f t="shared" si="0"/>
        <v>50690</v>
      </c>
      <c r="Y10" s="28" t="str">
        <f t="shared" si="0"/>
        <v>A2</v>
      </c>
      <c r="Z10" s="5" t="str">
        <f t="shared" si="13"/>
        <v>A2</v>
      </c>
      <c r="AA10" s="5" t="str">
        <f t="shared" si="14"/>
        <v>A2</v>
      </c>
      <c r="AC10" s="5" t="s">
        <v>499</v>
      </c>
      <c r="AD10" s="5" t="s">
        <v>474</v>
      </c>
      <c r="AE10" s="5" t="s">
        <v>500</v>
      </c>
      <c r="AG10" s="29" t="str">
        <f t="shared" si="3"/>
        <v>07/09/2023</v>
      </c>
      <c r="AH10" s="30">
        <f t="shared" si="3"/>
        <v>50690</v>
      </c>
      <c r="AI10" s="4" t="str">
        <f t="shared" si="4"/>
        <v>A2</v>
      </c>
      <c r="AJ10" s="5" t="str">
        <f t="shared" si="15"/>
        <v>A2</v>
      </c>
      <c r="AK10">
        <f t="shared" si="16"/>
        <v>49736.5</v>
      </c>
      <c r="AL10" t="str">
        <f t="shared" si="17"/>
        <v>A2</v>
      </c>
      <c r="AM10">
        <f t="shared" si="18"/>
        <v>49736.5</v>
      </c>
      <c r="AN10" s="6">
        <f t="shared" si="19"/>
        <v>150</v>
      </c>
      <c r="AO10">
        <f t="shared" si="20"/>
        <v>50485</v>
      </c>
      <c r="AP10">
        <f t="shared" si="21"/>
        <v>50335</v>
      </c>
      <c r="AQ10" s="33">
        <f t="shared" si="22"/>
        <v>50560</v>
      </c>
      <c r="AR10" s="33">
        <f t="shared" si="23"/>
        <v>50260</v>
      </c>
      <c r="AS10">
        <f t="shared" si="24"/>
        <v>50447.5</v>
      </c>
      <c r="AT10" s="5">
        <f t="shared" si="25"/>
        <v>50372.5</v>
      </c>
      <c r="AU10" s="5">
        <f t="shared" si="26"/>
        <v>50710</v>
      </c>
      <c r="AV10" s="5">
        <f t="shared" si="27"/>
        <v>50110</v>
      </c>
      <c r="AW10" s="5">
        <f t="shared" si="28"/>
        <v>50435</v>
      </c>
      <c r="AX10" s="5">
        <f t="shared" si="29"/>
        <v>50385</v>
      </c>
      <c r="AY10" s="5">
        <f t="shared" si="30"/>
        <v>50860</v>
      </c>
      <c r="AZ10" s="5">
        <f t="shared" si="31"/>
        <v>49960</v>
      </c>
      <c r="BB10" s="32" t="str">
        <f t="shared" si="5"/>
        <v>07/09/2023</v>
      </c>
      <c r="BC10" s="33">
        <f t="shared" si="5"/>
        <v>50690</v>
      </c>
      <c r="BD10" s="4" t="str">
        <f t="shared" si="5"/>
        <v>A2</v>
      </c>
      <c r="BE10">
        <f t="shared" si="32"/>
        <v>50110.75</v>
      </c>
      <c r="BF10">
        <f t="shared" si="33"/>
        <v>50035.75</v>
      </c>
      <c r="BG10">
        <f t="shared" si="34"/>
        <v>50148.25</v>
      </c>
      <c r="BH10">
        <f t="shared" si="35"/>
        <v>49998.25</v>
      </c>
      <c r="BI10">
        <f t="shared" si="36"/>
        <v>50092</v>
      </c>
      <c r="BJ10">
        <f t="shared" si="37"/>
        <v>50054.5</v>
      </c>
      <c r="BK10">
        <f t="shared" si="38"/>
        <v>50223.25</v>
      </c>
      <c r="BL10">
        <f t="shared" si="39"/>
        <v>49923.25</v>
      </c>
      <c r="BM10">
        <f t="shared" si="40"/>
        <v>50085.75</v>
      </c>
      <c r="BN10">
        <f t="shared" si="41"/>
        <v>50060.75</v>
      </c>
      <c r="BO10" s="38">
        <f t="shared" si="42"/>
        <v>50298.25</v>
      </c>
      <c r="BP10">
        <f t="shared" si="43"/>
        <v>49848.25</v>
      </c>
      <c r="BQ10" s="7">
        <f>BO10</f>
        <v>50298.25</v>
      </c>
      <c r="BS10" s="30">
        <f t="shared" si="6"/>
        <v>50690</v>
      </c>
      <c r="BT10" s="4">
        <f t="shared" si="7"/>
        <v>50298.25</v>
      </c>
      <c r="BU10" s="37">
        <f t="shared" si="10"/>
        <v>391.75</v>
      </c>
      <c r="BV10">
        <f t="shared" si="11"/>
        <v>391.75</v>
      </c>
      <c r="BW10" s="35">
        <f t="shared" si="12"/>
        <v>7.7283487867429472E-3</v>
      </c>
    </row>
    <row r="11" spans="1:79">
      <c r="A11" s="1" t="s">
        <v>12</v>
      </c>
      <c r="B11" s="1">
        <v>50630</v>
      </c>
      <c r="D11" t="s">
        <v>501</v>
      </c>
      <c r="E11">
        <v>52310</v>
      </c>
      <c r="G11" s="19"/>
      <c r="H11" s="4" t="s">
        <v>472</v>
      </c>
      <c r="I11" s="4" t="s">
        <v>471</v>
      </c>
      <c r="J11" s="19"/>
      <c r="L11">
        <v>7</v>
      </c>
      <c r="M11">
        <f t="shared" si="8"/>
        <v>82907</v>
      </c>
      <c r="N11">
        <f t="shared" si="9"/>
        <v>76876</v>
      </c>
      <c r="O11" s="4" t="s">
        <v>499</v>
      </c>
      <c r="Q11">
        <v>8</v>
      </c>
      <c r="R11" s="27" t="str">
        <f t="shared" si="1"/>
        <v>08/09/2023</v>
      </c>
      <c r="S11" s="27">
        <f t="shared" si="1"/>
        <v>50820</v>
      </c>
      <c r="T11" s="4" t="str">
        <f t="shared" si="2"/>
        <v>A2</v>
      </c>
      <c r="V11">
        <v>8</v>
      </c>
      <c r="W11" s="28" t="str">
        <f t="shared" si="0"/>
        <v>08/09/2023</v>
      </c>
      <c r="X11" s="28">
        <f t="shared" si="0"/>
        <v>50820</v>
      </c>
      <c r="Y11" s="28" t="str">
        <f t="shared" si="0"/>
        <v>A2</v>
      </c>
      <c r="Z11" s="5" t="str">
        <f t="shared" si="13"/>
        <v>A2</v>
      </c>
      <c r="AA11" s="5" t="str">
        <f t="shared" si="14"/>
        <v>A2</v>
      </c>
      <c r="AC11" s="5" t="s">
        <v>502</v>
      </c>
      <c r="AD11" s="5" t="s">
        <v>474</v>
      </c>
      <c r="AE11" s="5" t="s">
        <v>503</v>
      </c>
      <c r="AG11" s="29" t="str">
        <f t="shared" si="3"/>
        <v>08/09/2023</v>
      </c>
      <c r="AH11" s="30">
        <f t="shared" si="3"/>
        <v>50820</v>
      </c>
      <c r="AI11" s="4" t="str">
        <f t="shared" si="4"/>
        <v>A2</v>
      </c>
      <c r="AJ11" s="5" t="str">
        <f t="shared" si="15"/>
        <v>A2</v>
      </c>
      <c r="AK11">
        <f t="shared" si="16"/>
        <v>49736.5</v>
      </c>
      <c r="AL11" t="str">
        <f t="shared" si="17"/>
        <v>A2</v>
      </c>
      <c r="AM11">
        <f t="shared" si="18"/>
        <v>49736.5</v>
      </c>
      <c r="AN11" s="6">
        <f t="shared" si="19"/>
        <v>60</v>
      </c>
      <c r="AO11">
        <f t="shared" si="20"/>
        <v>50720</v>
      </c>
      <c r="AP11">
        <f>AH10-AN11/2</f>
        <v>50660</v>
      </c>
      <c r="AQ11" s="33">
        <f t="shared" si="22"/>
        <v>50750</v>
      </c>
      <c r="AR11" s="33">
        <f t="shared" si="23"/>
        <v>50630</v>
      </c>
      <c r="AS11">
        <f t="shared" si="24"/>
        <v>50705</v>
      </c>
      <c r="AT11" s="5">
        <f t="shared" si="25"/>
        <v>50675</v>
      </c>
      <c r="AU11" s="5">
        <f t="shared" si="26"/>
        <v>50810</v>
      </c>
      <c r="AV11" s="5">
        <f t="shared" si="27"/>
        <v>50570</v>
      </c>
      <c r="AW11" s="5">
        <f t="shared" si="28"/>
        <v>50700</v>
      </c>
      <c r="AX11" s="5">
        <f t="shared" si="29"/>
        <v>50680</v>
      </c>
      <c r="AY11" s="5">
        <f t="shared" si="30"/>
        <v>50870</v>
      </c>
      <c r="AZ11" s="5">
        <f t="shared" si="31"/>
        <v>50510</v>
      </c>
      <c r="BB11" s="32" t="str">
        <f t="shared" si="5"/>
        <v>08/09/2023</v>
      </c>
      <c r="BC11" s="33">
        <f t="shared" si="5"/>
        <v>50820</v>
      </c>
      <c r="BD11" s="4" t="str">
        <f t="shared" si="5"/>
        <v>A2</v>
      </c>
      <c r="BE11">
        <f t="shared" si="32"/>
        <v>50228.25</v>
      </c>
      <c r="BF11">
        <f t="shared" si="33"/>
        <v>50198.25</v>
      </c>
      <c r="BG11">
        <f t="shared" si="34"/>
        <v>50243.25</v>
      </c>
      <c r="BH11">
        <f t="shared" si="35"/>
        <v>50183.25</v>
      </c>
      <c r="BI11">
        <f t="shared" si="36"/>
        <v>50220.75</v>
      </c>
      <c r="BJ11">
        <f t="shared" si="37"/>
        <v>50205.75</v>
      </c>
      <c r="BK11">
        <f t="shared" si="38"/>
        <v>50273.25</v>
      </c>
      <c r="BL11">
        <f t="shared" si="39"/>
        <v>50153.25</v>
      </c>
      <c r="BM11">
        <f t="shared" si="40"/>
        <v>50218.25</v>
      </c>
      <c r="BN11">
        <f t="shared" si="41"/>
        <v>50208.25</v>
      </c>
      <c r="BO11" s="38">
        <f t="shared" si="42"/>
        <v>50303.25</v>
      </c>
      <c r="BP11">
        <f t="shared" si="43"/>
        <v>50123.25</v>
      </c>
      <c r="BQ11" s="7">
        <f>BO11</f>
        <v>50303.25</v>
      </c>
      <c r="BS11" s="30">
        <f t="shared" si="6"/>
        <v>50820</v>
      </c>
      <c r="BT11" s="4">
        <f t="shared" si="7"/>
        <v>50303.25</v>
      </c>
      <c r="BU11" s="37">
        <f t="shared" si="10"/>
        <v>516.75</v>
      </c>
      <c r="BV11">
        <f t="shared" si="11"/>
        <v>516.75</v>
      </c>
      <c r="BW11" s="35">
        <f t="shared" si="12"/>
        <v>1.0168240850059032E-2</v>
      </c>
    </row>
    <row r="12" spans="1:79">
      <c r="A12" s="1" t="s">
        <v>13</v>
      </c>
      <c r="B12" s="1">
        <v>49290</v>
      </c>
      <c r="D12" t="s">
        <v>504</v>
      </c>
      <c r="E12">
        <v>47690</v>
      </c>
      <c r="G12">
        <v>1</v>
      </c>
      <c r="H12">
        <f>H4</f>
        <v>40690</v>
      </c>
      <c r="I12">
        <f>H4+H7</f>
        <v>46721</v>
      </c>
      <c r="J12">
        <f>(H12+I12)/2</f>
        <v>43705.5</v>
      </c>
      <c r="L12">
        <v>8</v>
      </c>
      <c r="M12">
        <f t="shared" si="8"/>
        <v>88938</v>
      </c>
      <c r="N12">
        <f t="shared" si="9"/>
        <v>82907</v>
      </c>
      <c r="O12" s="4" t="s">
        <v>502</v>
      </c>
      <c r="Q12">
        <v>9</v>
      </c>
      <c r="R12" s="27" t="str">
        <f t="shared" si="1"/>
        <v>09/09/2023</v>
      </c>
      <c r="S12" s="27">
        <f t="shared" si="1"/>
        <v>51070</v>
      </c>
      <c r="T12" s="4" t="str">
        <f t="shared" si="2"/>
        <v>A2</v>
      </c>
      <c r="V12">
        <v>9</v>
      </c>
      <c r="W12" s="28" t="str">
        <f t="shared" si="0"/>
        <v>09/09/2023</v>
      </c>
      <c r="X12" s="28">
        <f t="shared" si="0"/>
        <v>51070</v>
      </c>
      <c r="Y12" s="28" t="str">
        <f t="shared" si="0"/>
        <v>A2</v>
      </c>
      <c r="Z12" s="5" t="str">
        <f t="shared" si="13"/>
        <v>A2</v>
      </c>
      <c r="AA12" s="5" t="str">
        <f t="shared" si="14"/>
        <v>A2</v>
      </c>
      <c r="AC12" s="5" t="s">
        <v>505</v>
      </c>
      <c r="AD12" s="5" t="s">
        <v>474</v>
      </c>
      <c r="AE12" s="5" t="s">
        <v>506</v>
      </c>
      <c r="AG12" s="29" t="str">
        <f t="shared" si="3"/>
        <v>09/09/2023</v>
      </c>
      <c r="AH12" s="30">
        <f t="shared" si="3"/>
        <v>51070</v>
      </c>
      <c r="AI12" s="4" t="str">
        <f t="shared" si="4"/>
        <v>A2</v>
      </c>
      <c r="AJ12" s="5" t="str">
        <f t="shared" si="15"/>
        <v>A2</v>
      </c>
      <c r="AK12">
        <f t="shared" si="16"/>
        <v>49736.5</v>
      </c>
      <c r="AL12" t="str">
        <f t="shared" si="17"/>
        <v>A2</v>
      </c>
      <c r="AM12">
        <f t="shared" si="18"/>
        <v>49736.5</v>
      </c>
      <c r="AN12" s="6">
        <f t="shared" si="19"/>
        <v>150</v>
      </c>
      <c r="AO12">
        <f t="shared" si="20"/>
        <v>50895</v>
      </c>
      <c r="AP12">
        <f t="shared" ref="AP12:AP75" si="44">AH11-AN12/2</f>
        <v>50745</v>
      </c>
      <c r="AQ12" s="33">
        <f t="shared" si="22"/>
        <v>50970</v>
      </c>
      <c r="AR12" s="33">
        <f t="shared" si="23"/>
        <v>50670</v>
      </c>
      <c r="AS12">
        <f t="shared" si="24"/>
        <v>50857.5</v>
      </c>
      <c r="AT12" s="5">
        <f t="shared" si="25"/>
        <v>50782.5</v>
      </c>
      <c r="AU12" s="5">
        <f t="shared" si="26"/>
        <v>51120</v>
      </c>
      <c r="AV12" s="5">
        <f t="shared" si="27"/>
        <v>50520</v>
      </c>
      <c r="AW12" s="5">
        <f t="shared" si="28"/>
        <v>50845</v>
      </c>
      <c r="AX12" s="5">
        <f t="shared" si="29"/>
        <v>50795</v>
      </c>
      <c r="AY12" s="5">
        <f t="shared" si="30"/>
        <v>51270</v>
      </c>
      <c r="AZ12" s="5">
        <f t="shared" si="31"/>
        <v>50370</v>
      </c>
      <c r="BB12" s="32" t="str">
        <f t="shared" si="5"/>
        <v>09/09/2023</v>
      </c>
      <c r="BC12" s="33">
        <f t="shared" si="5"/>
        <v>51070</v>
      </c>
      <c r="BD12" s="4" t="str">
        <f t="shared" si="5"/>
        <v>A2</v>
      </c>
      <c r="BE12">
        <f t="shared" si="32"/>
        <v>50315.75</v>
      </c>
      <c r="BF12">
        <f t="shared" si="33"/>
        <v>50240.75</v>
      </c>
      <c r="BG12">
        <f t="shared" si="34"/>
        <v>50353.25</v>
      </c>
      <c r="BH12">
        <f t="shared" si="35"/>
        <v>50203.25</v>
      </c>
      <c r="BI12">
        <f t="shared" si="36"/>
        <v>50297</v>
      </c>
      <c r="BJ12">
        <f t="shared" si="37"/>
        <v>50259.5</v>
      </c>
      <c r="BK12">
        <f t="shared" si="38"/>
        <v>50428.25</v>
      </c>
      <c r="BL12">
        <f t="shared" si="39"/>
        <v>50128.25</v>
      </c>
      <c r="BM12">
        <f t="shared" si="40"/>
        <v>50290.75</v>
      </c>
      <c r="BN12">
        <f t="shared" si="41"/>
        <v>50265.75</v>
      </c>
      <c r="BO12" s="38">
        <f t="shared" si="42"/>
        <v>50503.25</v>
      </c>
      <c r="BP12">
        <f t="shared" si="43"/>
        <v>50053.25</v>
      </c>
      <c r="BQ12" s="7">
        <f>BO12</f>
        <v>50503.25</v>
      </c>
      <c r="BS12" s="30">
        <f t="shared" si="6"/>
        <v>51070</v>
      </c>
      <c r="BT12" s="4">
        <f t="shared" si="7"/>
        <v>50503.25</v>
      </c>
      <c r="BU12" s="37">
        <f t="shared" si="10"/>
        <v>566.75</v>
      </c>
      <c r="BV12">
        <f t="shared" si="11"/>
        <v>566.75</v>
      </c>
      <c r="BW12" s="35">
        <f t="shared" si="12"/>
        <v>1.1097513217152927E-2</v>
      </c>
    </row>
    <row r="13" spans="1:79">
      <c r="A13" s="1" t="s">
        <v>14</v>
      </c>
      <c r="B13" s="1">
        <v>49820</v>
      </c>
      <c r="D13" t="s">
        <v>507</v>
      </c>
      <c r="E13">
        <v>100000</v>
      </c>
      <c r="G13">
        <v>2</v>
      </c>
      <c r="H13">
        <f>H4+H7</f>
        <v>46721</v>
      </c>
      <c r="I13">
        <f>$H$4+G13*$H$7</f>
        <v>52752</v>
      </c>
      <c r="J13">
        <f t="shared" ref="J13:J21" si="45">(H13+I13)/2</f>
        <v>49736.5</v>
      </c>
      <c r="L13">
        <v>9</v>
      </c>
      <c r="M13">
        <f t="shared" si="8"/>
        <v>94969</v>
      </c>
      <c r="N13">
        <f t="shared" si="9"/>
        <v>88938</v>
      </c>
      <c r="O13" s="4" t="s">
        <v>505</v>
      </c>
      <c r="Q13">
        <v>10</v>
      </c>
      <c r="R13" s="27" t="str">
        <f t="shared" si="1"/>
        <v>10/09/2023</v>
      </c>
      <c r="S13" s="27">
        <f t="shared" si="1"/>
        <v>50630</v>
      </c>
      <c r="T13" s="4" t="str">
        <f t="shared" si="2"/>
        <v>A2</v>
      </c>
      <c r="V13">
        <v>10</v>
      </c>
      <c r="W13" s="28" t="str">
        <f t="shared" si="0"/>
        <v>10/09/2023</v>
      </c>
      <c r="X13" s="28">
        <f t="shared" si="0"/>
        <v>50630</v>
      </c>
      <c r="Y13" s="28" t="str">
        <f t="shared" si="0"/>
        <v>A2</v>
      </c>
      <c r="Z13" s="5" t="str">
        <f t="shared" si="13"/>
        <v>A2</v>
      </c>
      <c r="AA13" s="5" t="str">
        <f t="shared" si="14"/>
        <v>A2</v>
      </c>
      <c r="AC13" s="5" t="s">
        <v>508</v>
      </c>
      <c r="AD13" s="5" t="s">
        <v>474</v>
      </c>
      <c r="AE13" s="5" t="s">
        <v>506</v>
      </c>
      <c r="AG13" s="29" t="str">
        <f t="shared" si="3"/>
        <v>10/09/2023</v>
      </c>
      <c r="AH13" s="30">
        <f t="shared" si="3"/>
        <v>50630</v>
      </c>
      <c r="AI13" s="4" t="str">
        <f t="shared" si="4"/>
        <v>A2</v>
      </c>
      <c r="AJ13" s="5" t="str">
        <f t="shared" si="15"/>
        <v>A2</v>
      </c>
      <c r="AK13">
        <f t="shared" si="16"/>
        <v>49736.5</v>
      </c>
      <c r="AL13" t="str">
        <f t="shared" si="17"/>
        <v>A2</v>
      </c>
      <c r="AM13">
        <f t="shared" si="18"/>
        <v>49736.5</v>
      </c>
      <c r="AN13" s="6">
        <f t="shared" si="19"/>
        <v>120</v>
      </c>
      <c r="AO13">
        <f t="shared" si="20"/>
        <v>51130</v>
      </c>
      <c r="AP13">
        <f t="shared" si="44"/>
        <v>51010</v>
      </c>
      <c r="AQ13" s="33">
        <f t="shared" si="22"/>
        <v>51190</v>
      </c>
      <c r="AR13" s="33">
        <f t="shared" si="23"/>
        <v>50950</v>
      </c>
      <c r="AS13">
        <f t="shared" si="24"/>
        <v>51100</v>
      </c>
      <c r="AT13" s="5">
        <f t="shared" si="25"/>
        <v>51040</v>
      </c>
      <c r="AU13" s="5">
        <f t="shared" si="26"/>
        <v>51310</v>
      </c>
      <c r="AV13" s="5">
        <f t="shared" si="27"/>
        <v>50830</v>
      </c>
      <c r="AW13" s="5">
        <f t="shared" si="28"/>
        <v>51090</v>
      </c>
      <c r="AX13" s="5">
        <f t="shared" si="29"/>
        <v>51050</v>
      </c>
      <c r="AY13" s="5">
        <f t="shared" si="30"/>
        <v>51430</v>
      </c>
      <c r="AZ13" s="5">
        <f t="shared" si="31"/>
        <v>50710</v>
      </c>
      <c r="BB13" s="32" t="str">
        <f t="shared" si="5"/>
        <v>10/09/2023</v>
      </c>
      <c r="BC13" s="33">
        <f t="shared" si="5"/>
        <v>50630</v>
      </c>
      <c r="BD13" s="4" t="str">
        <f t="shared" si="5"/>
        <v>A2</v>
      </c>
      <c r="BE13">
        <f t="shared" si="32"/>
        <v>50433.25</v>
      </c>
      <c r="BF13">
        <f t="shared" si="33"/>
        <v>50373.25</v>
      </c>
      <c r="BG13">
        <f t="shared" si="34"/>
        <v>50463.25</v>
      </c>
      <c r="BH13">
        <f t="shared" si="35"/>
        <v>50343.25</v>
      </c>
      <c r="BI13">
        <f t="shared" si="36"/>
        <v>50418.25</v>
      </c>
      <c r="BJ13">
        <f t="shared" si="37"/>
        <v>50388.25</v>
      </c>
      <c r="BK13">
        <f t="shared" si="38"/>
        <v>50523.25</v>
      </c>
      <c r="BL13">
        <f t="shared" si="39"/>
        <v>50283.25</v>
      </c>
      <c r="BM13">
        <f t="shared" si="40"/>
        <v>50413.25</v>
      </c>
      <c r="BN13">
        <f t="shared" si="41"/>
        <v>50393.25</v>
      </c>
      <c r="BO13" s="38">
        <f t="shared" si="42"/>
        <v>50583.25</v>
      </c>
      <c r="BP13">
        <f t="shared" si="43"/>
        <v>50223.25</v>
      </c>
      <c r="BQ13" s="7">
        <f>BO13</f>
        <v>50583.25</v>
      </c>
      <c r="BS13" s="30">
        <f t="shared" si="6"/>
        <v>50630</v>
      </c>
      <c r="BT13" s="4">
        <f t="shared" si="7"/>
        <v>50583.25</v>
      </c>
      <c r="BU13" s="37">
        <f t="shared" si="10"/>
        <v>46.75</v>
      </c>
      <c r="BV13">
        <f t="shared" si="11"/>
        <v>46.75</v>
      </c>
      <c r="BW13" s="35">
        <f t="shared" si="12"/>
        <v>9.2336559352162745E-4</v>
      </c>
    </row>
    <row r="14" spans="1:79">
      <c r="A14" s="1" t="s">
        <v>15</v>
      </c>
      <c r="B14" s="1">
        <v>50520</v>
      </c>
      <c r="D14" t="s">
        <v>509</v>
      </c>
      <c r="E14">
        <v>27798040</v>
      </c>
      <c r="G14">
        <v>3</v>
      </c>
      <c r="H14">
        <f t="shared" ref="H14:H21" si="46">$H$4+G13*$H$7</f>
        <v>52752</v>
      </c>
      <c r="I14">
        <f t="shared" ref="I14:I21" si="47">$H$4+G14*$H$7</f>
        <v>58783</v>
      </c>
      <c r="J14">
        <f t="shared" si="45"/>
        <v>55767.5</v>
      </c>
      <c r="L14">
        <v>10</v>
      </c>
      <c r="M14">
        <f t="shared" si="8"/>
        <v>101000</v>
      </c>
      <c r="N14">
        <f t="shared" si="9"/>
        <v>94969</v>
      </c>
      <c r="O14" s="4" t="s">
        <v>508</v>
      </c>
      <c r="Q14">
        <v>11</v>
      </c>
      <c r="R14" s="27" t="str">
        <f t="shared" si="1"/>
        <v>11/09/2023</v>
      </c>
      <c r="S14" s="27">
        <f t="shared" si="1"/>
        <v>49290</v>
      </c>
      <c r="T14" s="4" t="str">
        <f t="shared" si="2"/>
        <v>A2</v>
      </c>
      <c r="V14">
        <v>11</v>
      </c>
      <c r="W14" s="28" t="str">
        <f t="shared" si="0"/>
        <v>11/09/2023</v>
      </c>
      <c r="X14" s="28">
        <f t="shared" si="0"/>
        <v>49290</v>
      </c>
      <c r="Y14" s="28" t="str">
        <f t="shared" si="0"/>
        <v>A2</v>
      </c>
      <c r="Z14" s="5" t="str">
        <f t="shared" si="13"/>
        <v>A2</v>
      </c>
      <c r="AA14" s="5" t="str">
        <f t="shared" si="14"/>
        <v>A2</v>
      </c>
      <c r="AG14" s="29" t="str">
        <f t="shared" si="3"/>
        <v>11/09/2023</v>
      </c>
      <c r="AH14" s="30">
        <f t="shared" si="3"/>
        <v>49290</v>
      </c>
      <c r="AI14" s="4" t="str">
        <f t="shared" si="4"/>
        <v>A2</v>
      </c>
      <c r="AJ14" s="5" t="str">
        <f t="shared" si="15"/>
        <v>A2</v>
      </c>
      <c r="AK14">
        <f t="shared" si="16"/>
        <v>49736.5</v>
      </c>
      <c r="AL14" t="str">
        <f t="shared" si="17"/>
        <v>A2</v>
      </c>
      <c r="AM14">
        <f t="shared" si="18"/>
        <v>49736.5</v>
      </c>
      <c r="AN14" s="6">
        <f t="shared" si="19"/>
        <v>190</v>
      </c>
      <c r="AO14">
        <f t="shared" si="20"/>
        <v>50725</v>
      </c>
      <c r="AP14">
        <f t="shared" si="44"/>
        <v>50535</v>
      </c>
      <c r="AQ14" s="33">
        <f t="shared" si="22"/>
        <v>50820</v>
      </c>
      <c r="AR14" s="33">
        <f t="shared" si="23"/>
        <v>50440</v>
      </c>
      <c r="AS14">
        <f t="shared" si="24"/>
        <v>50677.5</v>
      </c>
      <c r="AT14" s="5">
        <f t="shared" si="25"/>
        <v>50582.5</v>
      </c>
      <c r="AU14" s="5">
        <f t="shared" si="26"/>
        <v>51010</v>
      </c>
      <c r="AV14" s="5">
        <f t="shared" si="27"/>
        <v>50250</v>
      </c>
      <c r="AW14" s="5">
        <f t="shared" si="28"/>
        <v>50661.666666666664</v>
      </c>
      <c r="AX14" s="5">
        <f t="shared" si="29"/>
        <v>50598.333333333336</v>
      </c>
      <c r="AY14" s="5">
        <f t="shared" si="30"/>
        <v>51200</v>
      </c>
      <c r="AZ14" s="5">
        <f t="shared" si="31"/>
        <v>50060</v>
      </c>
      <c r="BB14" s="32" t="str">
        <f t="shared" si="5"/>
        <v>11/09/2023</v>
      </c>
      <c r="BC14" s="33">
        <f t="shared" si="5"/>
        <v>49290</v>
      </c>
      <c r="BD14" s="4" t="str">
        <f t="shared" si="5"/>
        <v>A2</v>
      </c>
      <c r="BE14">
        <f t="shared" si="32"/>
        <v>50230.75</v>
      </c>
      <c r="BF14">
        <f t="shared" si="33"/>
        <v>50135.75</v>
      </c>
      <c r="BG14">
        <f t="shared" si="34"/>
        <v>50278.25</v>
      </c>
      <c r="BH14">
        <f t="shared" si="35"/>
        <v>50088.25</v>
      </c>
      <c r="BI14">
        <f t="shared" si="36"/>
        <v>50207</v>
      </c>
      <c r="BJ14">
        <f t="shared" si="37"/>
        <v>50159.5</v>
      </c>
      <c r="BK14">
        <f t="shared" si="38"/>
        <v>50373.25</v>
      </c>
      <c r="BL14">
        <f t="shared" si="39"/>
        <v>49993.25</v>
      </c>
      <c r="BM14">
        <f t="shared" si="40"/>
        <v>50199.083333333328</v>
      </c>
      <c r="BN14">
        <f t="shared" si="41"/>
        <v>50167.416666666672</v>
      </c>
      <c r="BO14">
        <f t="shared" si="42"/>
        <v>50468.25</v>
      </c>
      <c r="BP14" s="38">
        <f t="shared" si="43"/>
        <v>49898.25</v>
      </c>
      <c r="BQ14" s="7">
        <f>BP14</f>
        <v>49898.25</v>
      </c>
      <c r="BS14" s="30">
        <f t="shared" si="6"/>
        <v>49290</v>
      </c>
      <c r="BT14" s="4">
        <f t="shared" si="7"/>
        <v>49898.25</v>
      </c>
      <c r="BU14" s="37">
        <f t="shared" si="10"/>
        <v>-608.25</v>
      </c>
      <c r="BV14">
        <f t="shared" si="11"/>
        <v>608.25</v>
      </c>
      <c r="BW14" s="35">
        <f t="shared" si="12"/>
        <v>1.2340231284236154E-2</v>
      </c>
    </row>
    <row r="15" spans="1:79" ht="15.75" thickBot="1">
      <c r="A15" s="1" t="s">
        <v>16</v>
      </c>
      <c r="B15" s="1">
        <v>49640</v>
      </c>
      <c r="D15" s="42" t="s">
        <v>510</v>
      </c>
      <c r="E15" s="42">
        <v>383</v>
      </c>
      <c r="G15">
        <v>4</v>
      </c>
      <c r="H15">
        <f t="shared" si="46"/>
        <v>58783</v>
      </c>
      <c r="I15">
        <f t="shared" si="47"/>
        <v>64814</v>
      </c>
      <c r="J15">
        <f t="shared" si="45"/>
        <v>61798.5</v>
      </c>
      <c r="Q15">
        <v>12</v>
      </c>
      <c r="R15" s="27" t="str">
        <f t="shared" si="1"/>
        <v>12/09/2023</v>
      </c>
      <c r="S15" s="27">
        <f t="shared" si="1"/>
        <v>49820</v>
      </c>
      <c r="T15" s="4" t="str">
        <f t="shared" si="2"/>
        <v>A2</v>
      </c>
      <c r="V15">
        <v>12</v>
      </c>
      <c r="W15" s="28" t="str">
        <f t="shared" si="0"/>
        <v>12/09/2023</v>
      </c>
      <c r="X15" s="28">
        <f t="shared" si="0"/>
        <v>49820</v>
      </c>
      <c r="Y15" s="28" t="str">
        <f t="shared" si="0"/>
        <v>A2</v>
      </c>
      <c r="Z15" s="5" t="str">
        <f t="shared" si="13"/>
        <v>A2</v>
      </c>
      <c r="AA15" s="5" t="str">
        <f t="shared" si="14"/>
        <v>A2</v>
      </c>
      <c r="AG15" s="29" t="str">
        <f t="shared" si="3"/>
        <v>12/09/2023</v>
      </c>
      <c r="AH15" s="30">
        <f t="shared" si="3"/>
        <v>49820</v>
      </c>
      <c r="AI15" s="4" t="str">
        <f t="shared" si="4"/>
        <v>A2</v>
      </c>
      <c r="AJ15" s="5" t="str">
        <f t="shared" si="15"/>
        <v>A2</v>
      </c>
      <c r="AK15">
        <f t="shared" si="16"/>
        <v>49736.5</v>
      </c>
      <c r="AL15" t="str">
        <f t="shared" si="17"/>
        <v>A2</v>
      </c>
      <c r="AM15">
        <f t="shared" si="18"/>
        <v>49736.5</v>
      </c>
      <c r="AN15" s="6">
        <f t="shared" si="19"/>
        <v>900</v>
      </c>
      <c r="AO15">
        <f t="shared" si="20"/>
        <v>49740</v>
      </c>
      <c r="AP15">
        <f t="shared" si="44"/>
        <v>48840</v>
      </c>
      <c r="AQ15" s="33">
        <f t="shared" si="22"/>
        <v>50190</v>
      </c>
      <c r="AR15" s="33">
        <f t="shared" si="23"/>
        <v>48390</v>
      </c>
      <c r="AS15">
        <f t="shared" si="24"/>
        <v>49515</v>
      </c>
      <c r="AT15" s="5">
        <f t="shared" si="25"/>
        <v>49065</v>
      </c>
      <c r="AU15" s="5">
        <f t="shared" si="26"/>
        <v>51090</v>
      </c>
      <c r="AV15" s="5">
        <f t="shared" si="27"/>
        <v>47490</v>
      </c>
      <c r="AW15" s="5">
        <f t="shared" si="28"/>
        <v>49440</v>
      </c>
      <c r="AX15" s="5">
        <f t="shared" si="29"/>
        <v>49140</v>
      </c>
      <c r="AY15" s="5">
        <f t="shared" si="30"/>
        <v>51990</v>
      </c>
      <c r="AZ15" s="5">
        <f t="shared" si="31"/>
        <v>46590</v>
      </c>
      <c r="BB15" s="32" t="str">
        <f t="shared" si="5"/>
        <v>12/09/2023</v>
      </c>
      <c r="BC15" s="33">
        <f t="shared" si="5"/>
        <v>49820</v>
      </c>
      <c r="BD15" s="4" t="str">
        <f t="shared" si="5"/>
        <v>A2</v>
      </c>
      <c r="BE15" s="38">
        <f t="shared" si="32"/>
        <v>49738.25</v>
      </c>
      <c r="BF15">
        <f t="shared" si="33"/>
        <v>49288.25</v>
      </c>
      <c r="BG15">
        <f t="shared" si="34"/>
        <v>49963.25</v>
      </c>
      <c r="BH15">
        <f t="shared" si="35"/>
        <v>49063.25</v>
      </c>
      <c r="BI15">
        <f t="shared" si="36"/>
        <v>49625.75</v>
      </c>
      <c r="BJ15">
        <f t="shared" si="37"/>
        <v>49400.75</v>
      </c>
      <c r="BK15">
        <f t="shared" si="38"/>
        <v>50413.25</v>
      </c>
      <c r="BL15">
        <f t="shared" si="39"/>
        <v>48613.25</v>
      </c>
      <c r="BM15">
        <f t="shared" si="40"/>
        <v>49588.25</v>
      </c>
      <c r="BN15">
        <f t="shared" si="41"/>
        <v>49438.25</v>
      </c>
      <c r="BO15">
        <f t="shared" si="42"/>
        <v>50863.25</v>
      </c>
      <c r="BP15">
        <f t="shared" si="43"/>
        <v>48163.25</v>
      </c>
      <c r="BQ15" s="7">
        <f>BE15</f>
        <v>49738.25</v>
      </c>
      <c r="BS15" s="30">
        <f t="shared" si="6"/>
        <v>49820</v>
      </c>
      <c r="BT15" s="4">
        <f t="shared" si="7"/>
        <v>49738.25</v>
      </c>
      <c r="BU15" s="37">
        <f t="shared" si="10"/>
        <v>81.75</v>
      </c>
      <c r="BV15">
        <f t="shared" si="11"/>
        <v>81.75</v>
      </c>
      <c r="BW15" s="35">
        <f t="shared" si="12"/>
        <v>1.6409072661581693E-3</v>
      </c>
    </row>
    <row r="16" spans="1:79">
      <c r="A16" s="1" t="s">
        <v>17</v>
      </c>
      <c r="B16" s="1">
        <v>49200</v>
      </c>
      <c r="G16">
        <v>5</v>
      </c>
      <c r="H16">
        <f t="shared" si="46"/>
        <v>64814</v>
      </c>
      <c r="I16">
        <f t="shared" si="47"/>
        <v>70845</v>
      </c>
      <c r="J16">
        <f t="shared" si="45"/>
        <v>67829.5</v>
      </c>
      <c r="Q16">
        <v>13</v>
      </c>
      <c r="R16" s="27" t="str">
        <f t="shared" si="1"/>
        <v>13/09/2023</v>
      </c>
      <c r="S16" s="27">
        <f t="shared" si="1"/>
        <v>50520</v>
      </c>
      <c r="T16" s="4" t="str">
        <f t="shared" si="2"/>
        <v>A2</v>
      </c>
      <c r="V16">
        <v>13</v>
      </c>
      <c r="W16" s="28" t="str">
        <f t="shared" si="0"/>
        <v>13/09/2023</v>
      </c>
      <c r="X16" s="28">
        <f t="shared" si="0"/>
        <v>50520</v>
      </c>
      <c r="Y16" s="28" t="str">
        <f t="shared" si="0"/>
        <v>A2</v>
      </c>
      <c r="Z16" s="5" t="str">
        <f t="shared" si="13"/>
        <v>A2</v>
      </c>
      <c r="AA16" s="5" t="str">
        <f t="shared" si="14"/>
        <v>A2</v>
      </c>
      <c r="AG16" s="29" t="str">
        <f t="shared" si="3"/>
        <v>13/09/2023</v>
      </c>
      <c r="AH16" s="30">
        <f t="shared" si="3"/>
        <v>50520</v>
      </c>
      <c r="AI16" s="4" t="str">
        <f t="shared" si="4"/>
        <v>A2</v>
      </c>
      <c r="AJ16" s="5" t="str">
        <f t="shared" si="15"/>
        <v>A2</v>
      </c>
      <c r="AK16">
        <f t="shared" si="16"/>
        <v>49736.5</v>
      </c>
      <c r="AL16" t="str">
        <f t="shared" si="17"/>
        <v>A2</v>
      </c>
      <c r="AM16">
        <f t="shared" si="18"/>
        <v>49736.5</v>
      </c>
      <c r="AN16" s="6">
        <f t="shared" si="19"/>
        <v>810</v>
      </c>
      <c r="AO16">
        <f t="shared" si="20"/>
        <v>50225</v>
      </c>
      <c r="AP16">
        <f t="shared" si="44"/>
        <v>49415</v>
      </c>
      <c r="AQ16" s="33">
        <f t="shared" si="22"/>
        <v>50630</v>
      </c>
      <c r="AR16" s="33">
        <f t="shared" si="23"/>
        <v>49010</v>
      </c>
      <c r="AS16">
        <f t="shared" si="24"/>
        <v>50022.5</v>
      </c>
      <c r="AT16" s="5">
        <f t="shared" si="25"/>
        <v>49617.5</v>
      </c>
      <c r="AU16" s="5">
        <f t="shared" si="26"/>
        <v>51440</v>
      </c>
      <c r="AV16" s="5">
        <f t="shared" si="27"/>
        <v>48200</v>
      </c>
      <c r="AW16" s="5">
        <f t="shared" si="28"/>
        <v>49955</v>
      </c>
      <c r="AX16" s="5">
        <f t="shared" si="29"/>
        <v>49685</v>
      </c>
      <c r="AY16" s="5">
        <f t="shared" si="30"/>
        <v>52250</v>
      </c>
      <c r="AZ16" s="5">
        <f t="shared" si="31"/>
        <v>47390</v>
      </c>
      <c r="BB16" s="32" t="str">
        <f t="shared" si="5"/>
        <v>13/09/2023</v>
      </c>
      <c r="BC16" s="33">
        <f t="shared" si="5"/>
        <v>50520</v>
      </c>
      <c r="BD16" s="4" t="str">
        <f t="shared" si="5"/>
        <v>A2</v>
      </c>
      <c r="BE16">
        <f t="shared" si="32"/>
        <v>49980.75</v>
      </c>
      <c r="BF16">
        <f t="shared" si="33"/>
        <v>49575.75</v>
      </c>
      <c r="BG16">
        <f t="shared" si="34"/>
        <v>50183.25</v>
      </c>
      <c r="BH16">
        <f t="shared" si="35"/>
        <v>49373.25</v>
      </c>
      <c r="BI16">
        <f t="shared" si="36"/>
        <v>49879.5</v>
      </c>
      <c r="BJ16">
        <f t="shared" si="37"/>
        <v>49677</v>
      </c>
      <c r="BK16" s="38">
        <f t="shared" si="38"/>
        <v>50588.25</v>
      </c>
      <c r="BL16">
        <f t="shared" si="39"/>
        <v>48968.25</v>
      </c>
      <c r="BM16">
        <f t="shared" si="40"/>
        <v>49845.75</v>
      </c>
      <c r="BN16">
        <f t="shared" si="41"/>
        <v>49710.75</v>
      </c>
      <c r="BO16">
        <f t="shared" si="42"/>
        <v>50993.25</v>
      </c>
      <c r="BP16">
        <f t="shared" si="43"/>
        <v>48563.25</v>
      </c>
      <c r="BQ16" s="7">
        <f>BK16</f>
        <v>50588.25</v>
      </c>
      <c r="BS16" s="30">
        <f t="shared" si="6"/>
        <v>50520</v>
      </c>
      <c r="BT16" s="4">
        <f t="shared" si="7"/>
        <v>50588.25</v>
      </c>
      <c r="BU16" s="37">
        <f t="shared" si="10"/>
        <v>-68.25</v>
      </c>
      <c r="BV16">
        <f t="shared" si="11"/>
        <v>68.25</v>
      </c>
      <c r="BW16" s="35">
        <f t="shared" si="12"/>
        <v>1.3509501187648457E-3</v>
      </c>
    </row>
    <row r="17" spans="1:75">
      <c r="A17" s="1" t="s">
        <v>18</v>
      </c>
      <c r="B17" s="1">
        <v>50650</v>
      </c>
      <c r="G17">
        <v>6</v>
      </c>
      <c r="H17">
        <f t="shared" si="46"/>
        <v>70845</v>
      </c>
      <c r="I17">
        <f t="shared" si="47"/>
        <v>76876</v>
      </c>
      <c r="J17">
        <f t="shared" si="45"/>
        <v>73860.5</v>
      </c>
      <c r="Q17">
        <v>14</v>
      </c>
      <c r="R17" s="27" t="str">
        <f t="shared" si="1"/>
        <v>14/09/2023</v>
      </c>
      <c r="S17" s="27">
        <f t="shared" si="1"/>
        <v>49640</v>
      </c>
      <c r="T17" s="4" t="str">
        <f t="shared" si="2"/>
        <v>A2</v>
      </c>
      <c r="V17">
        <v>14</v>
      </c>
      <c r="W17" s="28" t="str">
        <f t="shared" si="0"/>
        <v>14/09/2023</v>
      </c>
      <c r="X17" s="28">
        <f t="shared" si="0"/>
        <v>49640</v>
      </c>
      <c r="Y17" s="28" t="str">
        <f t="shared" si="0"/>
        <v>A2</v>
      </c>
      <c r="Z17" s="5" t="str">
        <f t="shared" si="13"/>
        <v>A2</v>
      </c>
      <c r="AA17" s="5" t="str">
        <f t="shared" si="14"/>
        <v>A2</v>
      </c>
      <c r="AC17" s="20" t="s">
        <v>511</v>
      </c>
      <c r="AD17" s="5" t="s">
        <v>498</v>
      </c>
      <c r="AE17" s="20"/>
      <c r="AG17" s="29" t="str">
        <f t="shared" si="3"/>
        <v>14/09/2023</v>
      </c>
      <c r="AH17" s="30">
        <f t="shared" si="3"/>
        <v>49640</v>
      </c>
      <c r="AI17" s="4" t="str">
        <f t="shared" si="4"/>
        <v>A2</v>
      </c>
      <c r="AJ17" s="5" t="str">
        <f t="shared" si="15"/>
        <v>A2</v>
      </c>
      <c r="AK17">
        <f t="shared" si="16"/>
        <v>49736.5</v>
      </c>
      <c r="AL17" t="str">
        <f t="shared" si="17"/>
        <v>A2</v>
      </c>
      <c r="AM17">
        <f t="shared" si="18"/>
        <v>49736.5</v>
      </c>
      <c r="AN17" s="6">
        <f t="shared" si="19"/>
        <v>170</v>
      </c>
      <c r="AO17">
        <f t="shared" si="20"/>
        <v>50605</v>
      </c>
      <c r="AP17">
        <f t="shared" si="44"/>
        <v>50435</v>
      </c>
      <c r="AQ17" s="33">
        <f t="shared" si="22"/>
        <v>50690</v>
      </c>
      <c r="AR17" s="33">
        <f t="shared" si="23"/>
        <v>50350</v>
      </c>
      <c r="AS17">
        <f t="shared" si="24"/>
        <v>50562.5</v>
      </c>
      <c r="AT17" s="5">
        <f t="shared" si="25"/>
        <v>50477.5</v>
      </c>
      <c r="AU17" s="5">
        <f t="shared" si="26"/>
        <v>50860</v>
      </c>
      <c r="AV17" s="5">
        <f t="shared" si="27"/>
        <v>50180</v>
      </c>
      <c r="AW17" s="5">
        <f t="shared" si="28"/>
        <v>50548.333333333336</v>
      </c>
      <c r="AX17" s="5">
        <f t="shared" si="29"/>
        <v>50491.666666666664</v>
      </c>
      <c r="AY17" s="5">
        <f t="shared" si="30"/>
        <v>51030</v>
      </c>
      <c r="AZ17" s="5">
        <f t="shared" si="31"/>
        <v>50010</v>
      </c>
      <c r="BB17" s="32" t="str">
        <f t="shared" si="5"/>
        <v>14/09/2023</v>
      </c>
      <c r="BC17" s="33">
        <f t="shared" si="5"/>
        <v>49640</v>
      </c>
      <c r="BD17" s="4" t="str">
        <f t="shared" si="5"/>
        <v>A2</v>
      </c>
      <c r="BE17">
        <f t="shared" si="32"/>
        <v>50170.75</v>
      </c>
      <c r="BF17">
        <f t="shared" si="33"/>
        <v>50085.75</v>
      </c>
      <c r="BG17">
        <f t="shared" si="34"/>
        <v>50213.25</v>
      </c>
      <c r="BH17">
        <f t="shared" si="35"/>
        <v>50043.25</v>
      </c>
      <c r="BI17">
        <f t="shared" si="36"/>
        <v>50149.5</v>
      </c>
      <c r="BJ17">
        <f t="shared" si="37"/>
        <v>50107</v>
      </c>
      <c r="BK17">
        <f t="shared" si="38"/>
        <v>50298.25</v>
      </c>
      <c r="BL17">
        <f t="shared" si="39"/>
        <v>49958.25</v>
      </c>
      <c r="BM17">
        <f t="shared" si="40"/>
        <v>50142.416666666672</v>
      </c>
      <c r="BN17">
        <f t="shared" si="41"/>
        <v>50114.083333333328</v>
      </c>
      <c r="BO17">
        <f t="shared" si="42"/>
        <v>50383.25</v>
      </c>
      <c r="BP17" s="38">
        <f t="shared" si="43"/>
        <v>49873.25</v>
      </c>
      <c r="BQ17" s="7">
        <f>BP17</f>
        <v>49873.25</v>
      </c>
      <c r="BS17" s="30">
        <f t="shared" si="6"/>
        <v>49640</v>
      </c>
      <c r="BT17" s="4">
        <f t="shared" si="7"/>
        <v>49873.25</v>
      </c>
      <c r="BU17" s="37">
        <f t="shared" si="10"/>
        <v>-233.25</v>
      </c>
      <c r="BV17">
        <f t="shared" si="11"/>
        <v>233.25</v>
      </c>
      <c r="BW17" s="35">
        <f t="shared" si="12"/>
        <v>4.6988315874294927E-3</v>
      </c>
    </row>
    <row r="18" spans="1:75">
      <c r="A18" s="1" t="s">
        <v>19</v>
      </c>
      <c r="B18" s="1">
        <v>49980</v>
      </c>
      <c r="G18">
        <v>7</v>
      </c>
      <c r="H18">
        <f t="shared" si="46"/>
        <v>76876</v>
      </c>
      <c r="I18">
        <f t="shared" si="47"/>
        <v>82907</v>
      </c>
      <c r="J18">
        <f t="shared" si="45"/>
        <v>79891.5</v>
      </c>
      <c r="Q18">
        <v>15</v>
      </c>
      <c r="R18" s="27" t="str">
        <f t="shared" si="1"/>
        <v>15/09/2023</v>
      </c>
      <c r="S18" s="27">
        <f t="shared" si="1"/>
        <v>49200</v>
      </c>
      <c r="T18" s="4" t="str">
        <f t="shared" si="2"/>
        <v>A2</v>
      </c>
      <c r="V18">
        <v>15</v>
      </c>
      <c r="W18" s="28" t="str">
        <f t="shared" si="0"/>
        <v>15/09/2023</v>
      </c>
      <c r="X18" s="28">
        <f t="shared" si="0"/>
        <v>49200</v>
      </c>
      <c r="Y18" s="28" t="str">
        <f t="shared" si="0"/>
        <v>A2</v>
      </c>
      <c r="Z18" s="5" t="str">
        <f t="shared" si="13"/>
        <v>A2</v>
      </c>
      <c r="AA18" s="5" t="str">
        <f t="shared" si="14"/>
        <v>A2</v>
      </c>
      <c r="AC18" s="5" t="s">
        <v>473</v>
      </c>
      <c r="AD18" s="5">
        <f>J12</f>
        <v>43705.5</v>
      </c>
      <c r="AE18" s="5"/>
      <c r="AG18" s="29" t="str">
        <f t="shared" si="3"/>
        <v>15/09/2023</v>
      </c>
      <c r="AH18" s="30">
        <f t="shared" si="3"/>
        <v>49200</v>
      </c>
      <c r="AI18" s="4" t="str">
        <f t="shared" si="4"/>
        <v>A2</v>
      </c>
      <c r="AJ18" s="5" t="str">
        <f t="shared" si="15"/>
        <v>A2</v>
      </c>
      <c r="AK18">
        <f t="shared" si="16"/>
        <v>49736.5</v>
      </c>
      <c r="AL18" t="str">
        <f t="shared" si="17"/>
        <v>A2</v>
      </c>
      <c r="AM18">
        <f t="shared" si="18"/>
        <v>49736.5</v>
      </c>
      <c r="AN18" s="6">
        <f t="shared" si="19"/>
        <v>180</v>
      </c>
      <c r="AO18">
        <f t="shared" si="20"/>
        <v>49730</v>
      </c>
      <c r="AP18">
        <f t="shared" si="44"/>
        <v>49550</v>
      </c>
      <c r="AQ18" s="33">
        <f t="shared" si="22"/>
        <v>49820</v>
      </c>
      <c r="AR18" s="33">
        <f t="shared" si="23"/>
        <v>49460</v>
      </c>
      <c r="AS18">
        <f t="shared" si="24"/>
        <v>49685</v>
      </c>
      <c r="AT18" s="5">
        <f t="shared" si="25"/>
        <v>49595</v>
      </c>
      <c r="AU18" s="5">
        <f t="shared" si="26"/>
        <v>50000</v>
      </c>
      <c r="AV18" s="5">
        <f t="shared" si="27"/>
        <v>49280</v>
      </c>
      <c r="AW18" s="5">
        <f t="shared" si="28"/>
        <v>49670</v>
      </c>
      <c r="AX18" s="5">
        <f t="shared" si="29"/>
        <v>49610</v>
      </c>
      <c r="AY18" s="5">
        <f t="shared" si="30"/>
        <v>50180</v>
      </c>
      <c r="AZ18" s="5">
        <f t="shared" si="31"/>
        <v>49100</v>
      </c>
      <c r="BB18" s="32" t="str">
        <f t="shared" si="5"/>
        <v>15/09/2023</v>
      </c>
      <c r="BC18" s="33">
        <f t="shared" si="5"/>
        <v>49200</v>
      </c>
      <c r="BD18" s="4" t="str">
        <f t="shared" si="5"/>
        <v>A2</v>
      </c>
      <c r="BE18">
        <f t="shared" si="32"/>
        <v>49733.25</v>
      </c>
      <c r="BF18">
        <f t="shared" si="33"/>
        <v>49643.25</v>
      </c>
      <c r="BG18">
        <f t="shared" si="34"/>
        <v>49778.25</v>
      </c>
      <c r="BH18">
        <f t="shared" si="35"/>
        <v>49598.25</v>
      </c>
      <c r="BI18">
        <f t="shared" si="36"/>
        <v>49710.75</v>
      </c>
      <c r="BJ18">
        <f t="shared" si="37"/>
        <v>49665.75</v>
      </c>
      <c r="BK18">
        <f t="shared" si="38"/>
        <v>49868.25</v>
      </c>
      <c r="BL18">
        <f t="shared" si="39"/>
        <v>49508.25</v>
      </c>
      <c r="BM18">
        <f t="shared" si="40"/>
        <v>49703.25</v>
      </c>
      <c r="BN18">
        <f t="shared" si="41"/>
        <v>49673.25</v>
      </c>
      <c r="BO18">
        <f t="shared" si="42"/>
        <v>49958.25</v>
      </c>
      <c r="BP18" s="38">
        <f t="shared" si="43"/>
        <v>49418.25</v>
      </c>
      <c r="BQ18" s="7">
        <f>BP18</f>
        <v>49418.25</v>
      </c>
      <c r="BS18" s="30">
        <f t="shared" si="6"/>
        <v>49200</v>
      </c>
      <c r="BT18" s="4">
        <f t="shared" si="7"/>
        <v>49418.25</v>
      </c>
      <c r="BU18" s="37">
        <f t="shared" si="10"/>
        <v>-218.25</v>
      </c>
      <c r="BV18">
        <f t="shared" si="11"/>
        <v>218.25</v>
      </c>
      <c r="BW18" s="35">
        <f t="shared" si="12"/>
        <v>4.4359756097560972E-3</v>
      </c>
    </row>
    <row r="19" spans="1:75">
      <c r="A19" s="1" t="s">
        <v>20</v>
      </c>
      <c r="B19" s="1">
        <v>52830</v>
      </c>
      <c r="G19">
        <v>8</v>
      </c>
      <c r="H19">
        <f t="shared" si="46"/>
        <v>82907</v>
      </c>
      <c r="I19">
        <f t="shared" si="47"/>
        <v>88938</v>
      </c>
      <c r="J19">
        <f t="shared" si="45"/>
        <v>85922.5</v>
      </c>
      <c r="Q19">
        <v>16</v>
      </c>
      <c r="R19" s="27" t="str">
        <f t="shared" si="1"/>
        <v>16/09/2023</v>
      </c>
      <c r="S19" s="27">
        <f t="shared" si="1"/>
        <v>50650</v>
      </c>
      <c r="T19" s="4" t="str">
        <f t="shared" si="2"/>
        <v>A2</v>
      </c>
      <c r="V19">
        <v>16</v>
      </c>
      <c r="W19" s="28" t="str">
        <f t="shared" si="0"/>
        <v>16/09/2023</v>
      </c>
      <c r="X19" s="28">
        <f t="shared" si="0"/>
        <v>50650</v>
      </c>
      <c r="Y19" s="28" t="str">
        <f t="shared" si="0"/>
        <v>A2</v>
      </c>
      <c r="Z19" s="5" t="str">
        <f t="shared" si="13"/>
        <v>A2</v>
      </c>
      <c r="AA19" s="5" t="str">
        <f t="shared" si="14"/>
        <v>A2</v>
      </c>
      <c r="AC19" s="5" t="s">
        <v>478</v>
      </c>
      <c r="AD19" s="5">
        <f t="shared" ref="AD19:AD27" si="48">J13</f>
        <v>49736.5</v>
      </c>
      <c r="AE19" s="5"/>
      <c r="AG19" s="29" t="str">
        <f t="shared" si="3"/>
        <v>16/09/2023</v>
      </c>
      <c r="AH19" s="30">
        <f t="shared" si="3"/>
        <v>50650</v>
      </c>
      <c r="AI19" s="4" t="str">
        <f t="shared" si="4"/>
        <v>A2</v>
      </c>
      <c r="AJ19" s="5" t="str">
        <f t="shared" si="15"/>
        <v>A2</v>
      </c>
      <c r="AK19">
        <f t="shared" si="16"/>
        <v>49736.5</v>
      </c>
      <c r="AL19" t="str">
        <f t="shared" si="17"/>
        <v>A2</v>
      </c>
      <c r="AM19">
        <f t="shared" si="18"/>
        <v>49736.5</v>
      </c>
      <c r="AN19" s="6">
        <f t="shared" si="19"/>
        <v>440</v>
      </c>
      <c r="AO19">
        <f t="shared" si="20"/>
        <v>49420</v>
      </c>
      <c r="AP19">
        <f t="shared" si="44"/>
        <v>48980</v>
      </c>
      <c r="AQ19" s="33">
        <f t="shared" si="22"/>
        <v>49640</v>
      </c>
      <c r="AR19" s="33">
        <f t="shared" si="23"/>
        <v>48760</v>
      </c>
      <c r="AS19">
        <f t="shared" si="24"/>
        <v>49310</v>
      </c>
      <c r="AT19" s="5">
        <f t="shared" si="25"/>
        <v>49090</v>
      </c>
      <c r="AU19" s="5">
        <f t="shared" si="26"/>
        <v>50080</v>
      </c>
      <c r="AV19" s="5">
        <f t="shared" si="27"/>
        <v>48320</v>
      </c>
      <c r="AW19" s="5">
        <f t="shared" si="28"/>
        <v>49273.333333333336</v>
      </c>
      <c r="AX19" s="5">
        <f t="shared" si="29"/>
        <v>49126.666666666664</v>
      </c>
      <c r="AY19" s="5">
        <f t="shared" si="30"/>
        <v>50520</v>
      </c>
      <c r="AZ19" s="5">
        <f t="shared" si="31"/>
        <v>47880</v>
      </c>
      <c r="BB19" s="32" t="str">
        <f t="shared" si="5"/>
        <v>16/09/2023</v>
      </c>
      <c r="BC19" s="33">
        <f t="shared" si="5"/>
        <v>50650</v>
      </c>
      <c r="BD19" s="4" t="str">
        <f t="shared" si="5"/>
        <v>A2</v>
      </c>
      <c r="BE19">
        <f t="shared" si="32"/>
        <v>49578.25</v>
      </c>
      <c r="BF19">
        <f t="shared" si="33"/>
        <v>49358.25</v>
      </c>
      <c r="BG19">
        <f t="shared" si="34"/>
        <v>49688.25</v>
      </c>
      <c r="BH19">
        <f t="shared" si="35"/>
        <v>49248.25</v>
      </c>
      <c r="BI19">
        <f t="shared" si="36"/>
        <v>49523.25</v>
      </c>
      <c r="BJ19">
        <f t="shared" si="37"/>
        <v>49413.25</v>
      </c>
      <c r="BK19">
        <f t="shared" si="38"/>
        <v>49908.25</v>
      </c>
      <c r="BL19">
        <f t="shared" si="39"/>
        <v>49028.25</v>
      </c>
      <c r="BM19">
        <f t="shared" si="40"/>
        <v>49504.916666666672</v>
      </c>
      <c r="BN19">
        <f t="shared" si="41"/>
        <v>49431.583333333328</v>
      </c>
      <c r="BO19" s="38">
        <f t="shared" si="42"/>
        <v>50128.25</v>
      </c>
      <c r="BP19">
        <f t="shared" si="43"/>
        <v>48808.25</v>
      </c>
      <c r="BQ19" s="7">
        <f>BO19</f>
        <v>50128.25</v>
      </c>
      <c r="BS19" s="30">
        <f t="shared" si="6"/>
        <v>50650</v>
      </c>
      <c r="BT19" s="4">
        <f t="shared" si="7"/>
        <v>50128.25</v>
      </c>
      <c r="BU19" s="37">
        <f t="shared" si="10"/>
        <v>521.75</v>
      </c>
      <c r="BV19">
        <f t="shared" si="11"/>
        <v>521.75</v>
      </c>
      <c r="BW19" s="35">
        <f t="shared" si="12"/>
        <v>1.0301085883514314E-2</v>
      </c>
    </row>
    <row r="20" spans="1:75">
      <c r="A20" s="1" t="s">
        <v>21</v>
      </c>
      <c r="B20" s="1">
        <v>50560</v>
      </c>
      <c r="G20">
        <v>9</v>
      </c>
      <c r="H20">
        <f t="shared" si="46"/>
        <v>88938</v>
      </c>
      <c r="I20">
        <f t="shared" si="47"/>
        <v>94969</v>
      </c>
      <c r="J20">
        <f t="shared" si="45"/>
        <v>91953.5</v>
      </c>
      <c r="Q20">
        <v>17</v>
      </c>
      <c r="R20" s="27" t="str">
        <f t="shared" si="1"/>
        <v>17/09/2023</v>
      </c>
      <c r="S20" s="27">
        <f t="shared" si="1"/>
        <v>49980</v>
      </c>
      <c r="T20" s="4" t="str">
        <f t="shared" si="2"/>
        <v>A2</v>
      </c>
      <c r="V20">
        <v>17</v>
      </c>
      <c r="W20" s="28" t="str">
        <f t="shared" si="0"/>
        <v>17/09/2023</v>
      </c>
      <c r="X20" s="28">
        <f t="shared" si="0"/>
        <v>49980</v>
      </c>
      <c r="Y20" s="28" t="str">
        <f t="shared" si="0"/>
        <v>A2</v>
      </c>
      <c r="Z20" s="5" t="str">
        <f t="shared" si="13"/>
        <v>A2</v>
      </c>
      <c r="AA20" s="5" t="str">
        <f t="shared" si="14"/>
        <v>A2</v>
      </c>
      <c r="AC20" s="5" t="s">
        <v>483</v>
      </c>
      <c r="AD20" s="5">
        <f t="shared" si="48"/>
        <v>55767.5</v>
      </c>
      <c r="AE20" s="5"/>
      <c r="AG20" s="29" t="str">
        <f t="shared" si="3"/>
        <v>17/09/2023</v>
      </c>
      <c r="AH20" s="30">
        <f t="shared" si="3"/>
        <v>49980</v>
      </c>
      <c r="AI20" s="4" t="str">
        <f t="shared" si="4"/>
        <v>A2</v>
      </c>
      <c r="AJ20" s="5" t="str">
        <f t="shared" si="15"/>
        <v>A2</v>
      </c>
      <c r="AK20">
        <f t="shared" si="16"/>
        <v>49736.5</v>
      </c>
      <c r="AL20" t="str">
        <f t="shared" si="17"/>
        <v>A2</v>
      </c>
      <c r="AM20">
        <f t="shared" si="18"/>
        <v>49736.5</v>
      </c>
      <c r="AN20" s="6">
        <f t="shared" si="19"/>
        <v>1010</v>
      </c>
      <c r="AO20">
        <f t="shared" si="20"/>
        <v>51155</v>
      </c>
      <c r="AP20">
        <f t="shared" si="44"/>
        <v>50145</v>
      </c>
      <c r="AQ20" s="33">
        <f t="shared" si="22"/>
        <v>51660</v>
      </c>
      <c r="AR20" s="33">
        <f t="shared" si="23"/>
        <v>49640</v>
      </c>
      <c r="AS20">
        <f t="shared" si="24"/>
        <v>50902.5</v>
      </c>
      <c r="AT20" s="5">
        <f t="shared" si="25"/>
        <v>50397.5</v>
      </c>
      <c r="AU20" s="5">
        <f t="shared" si="26"/>
        <v>52670</v>
      </c>
      <c r="AV20" s="5">
        <f t="shared" si="27"/>
        <v>48630</v>
      </c>
      <c r="AW20" s="5">
        <f t="shared" si="28"/>
        <v>50818.333333333336</v>
      </c>
      <c r="AX20" s="5">
        <f t="shared" si="29"/>
        <v>50481.666666666664</v>
      </c>
      <c r="AY20" s="5">
        <f t="shared" si="30"/>
        <v>53680</v>
      </c>
      <c r="AZ20" s="5">
        <f t="shared" si="31"/>
        <v>47620</v>
      </c>
      <c r="BB20" s="32" t="str">
        <f t="shared" si="5"/>
        <v>17/09/2023</v>
      </c>
      <c r="BC20" s="33">
        <f t="shared" si="5"/>
        <v>49980</v>
      </c>
      <c r="BD20" s="4" t="str">
        <f t="shared" si="5"/>
        <v>A2</v>
      </c>
      <c r="BE20">
        <f t="shared" si="32"/>
        <v>50445.75</v>
      </c>
      <c r="BF20" s="38">
        <f t="shared" si="33"/>
        <v>49940.75</v>
      </c>
      <c r="BG20">
        <f t="shared" si="34"/>
        <v>50698.25</v>
      </c>
      <c r="BH20">
        <f t="shared" si="35"/>
        <v>49688.25</v>
      </c>
      <c r="BI20">
        <f t="shared" si="36"/>
        <v>50319.5</v>
      </c>
      <c r="BJ20">
        <f t="shared" si="37"/>
        <v>50067</v>
      </c>
      <c r="BK20">
        <f t="shared" si="38"/>
        <v>51203.25</v>
      </c>
      <c r="BL20">
        <f t="shared" si="39"/>
        <v>49183.25</v>
      </c>
      <c r="BM20">
        <f t="shared" si="40"/>
        <v>50277.416666666672</v>
      </c>
      <c r="BN20">
        <f t="shared" si="41"/>
        <v>50109.083333333328</v>
      </c>
      <c r="BO20">
        <f t="shared" si="42"/>
        <v>51708.25</v>
      </c>
      <c r="BP20">
        <f t="shared" si="43"/>
        <v>48678.25</v>
      </c>
      <c r="BQ20" s="7">
        <f>BF20</f>
        <v>49940.75</v>
      </c>
      <c r="BS20" s="30">
        <f t="shared" si="6"/>
        <v>49980</v>
      </c>
      <c r="BT20" s="4">
        <f t="shared" si="7"/>
        <v>49940.75</v>
      </c>
      <c r="BU20" s="37">
        <f t="shared" si="10"/>
        <v>39.25</v>
      </c>
      <c r="BV20">
        <f t="shared" si="11"/>
        <v>39.25</v>
      </c>
      <c r="BW20" s="35">
        <f t="shared" si="12"/>
        <v>7.8531412565026012E-4</v>
      </c>
    </row>
    <row r="21" spans="1:75">
      <c r="A21" s="1" t="s">
        <v>22</v>
      </c>
      <c r="B21" s="1">
        <v>53130</v>
      </c>
      <c r="G21">
        <v>10</v>
      </c>
      <c r="H21">
        <f t="shared" si="46"/>
        <v>94969</v>
      </c>
      <c r="I21">
        <f t="shared" si="47"/>
        <v>101000</v>
      </c>
      <c r="J21">
        <f t="shared" si="45"/>
        <v>97984.5</v>
      </c>
      <c r="Q21">
        <v>18</v>
      </c>
      <c r="R21" s="27" t="str">
        <f t="shared" si="1"/>
        <v>18/09/2023</v>
      </c>
      <c r="S21" s="27">
        <f t="shared" si="1"/>
        <v>52830</v>
      </c>
      <c r="T21" s="4" t="str">
        <f t="shared" si="2"/>
        <v>A3</v>
      </c>
      <c r="V21">
        <v>18</v>
      </c>
      <c r="W21" s="28" t="str">
        <f t="shared" si="0"/>
        <v>18/09/2023</v>
      </c>
      <c r="X21" s="28">
        <f t="shared" si="0"/>
        <v>52830</v>
      </c>
      <c r="Y21" s="28" t="str">
        <f t="shared" si="0"/>
        <v>A3</v>
      </c>
      <c r="Z21" s="5" t="str">
        <f t="shared" si="13"/>
        <v>A2</v>
      </c>
      <c r="AA21" s="5" t="str">
        <f t="shared" si="14"/>
        <v>A2</v>
      </c>
      <c r="AC21" s="5" t="s">
        <v>488</v>
      </c>
      <c r="AD21" s="5">
        <f t="shared" si="48"/>
        <v>61798.5</v>
      </c>
      <c r="AE21" s="5"/>
      <c r="AG21" s="29" t="str">
        <f t="shared" si="3"/>
        <v>18/09/2023</v>
      </c>
      <c r="AH21" s="30">
        <f t="shared" si="3"/>
        <v>52830</v>
      </c>
      <c r="AI21" s="4" t="str">
        <f t="shared" si="4"/>
        <v>A3</v>
      </c>
      <c r="AJ21" s="5" t="str">
        <f t="shared" si="15"/>
        <v>A2</v>
      </c>
      <c r="AK21">
        <f t="shared" si="16"/>
        <v>49736.5</v>
      </c>
      <c r="AL21" t="str">
        <f t="shared" si="17"/>
        <v>A2</v>
      </c>
      <c r="AM21">
        <f t="shared" si="18"/>
        <v>49736.5</v>
      </c>
      <c r="AN21" s="6">
        <f t="shared" si="19"/>
        <v>780</v>
      </c>
      <c r="AO21">
        <f t="shared" si="20"/>
        <v>50370</v>
      </c>
      <c r="AP21">
        <f t="shared" si="44"/>
        <v>49590</v>
      </c>
      <c r="AQ21" s="33">
        <f t="shared" si="22"/>
        <v>50760</v>
      </c>
      <c r="AR21" s="33">
        <f t="shared" si="23"/>
        <v>49200</v>
      </c>
      <c r="AS21">
        <f t="shared" si="24"/>
        <v>50175</v>
      </c>
      <c r="AT21" s="5">
        <f t="shared" si="25"/>
        <v>49785</v>
      </c>
      <c r="AU21" s="5">
        <f t="shared" si="26"/>
        <v>51540</v>
      </c>
      <c r="AV21" s="5">
        <f t="shared" si="27"/>
        <v>48420</v>
      </c>
      <c r="AW21" s="5">
        <f t="shared" si="28"/>
        <v>50110</v>
      </c>
      <c r="AX21" s="5">
        <f t="shared" si="29"/>
        <v>49850</v>
      </c>
      <c r="AY21" s="5">
        <f t="shared" si="30"/>
        <v>52320</v>
      </c>
      <c r="AZ21" s="5">
        <f t="shared" si="31"/>
        <v>47640</v>
      </c>
      <c r="BB21" s="32" t="str">
        <f t="shared" si="5"/>
        <v>18/09/2023</v>
      </c>
      <c r="BC21" s="33">
        <f t="shared" si="5"/>
        <v>52830</v>
      </c>
      <c r="BD21" s="4" t="str">
        <f t="shared" si="5"/>
        <v>A3</v>
      </c>
      <c r="BE21">
        <f t="shared" si="32"/>
        <v>50053.25</v>
      </c>
      <c r="BF21">
        <f t="shared" si="33"/>
        <v>49663.25</v>
      </c>
      <c r="BG21">
        <f t="shared" si="34"/>
        <v>50248.25</v>
      </c>
      <c r="BH21">
        <f t="shared" si="35"/>
        <v>49468.25</v>
      </c>
      <c r="BI21">
        <f t="shared" si="36"/>
        <v>49955.75</v>
      </c>
      <c r="BJ21">
        <f t="shared" si="37"/>
        <v>49760.75</v>
      </c>
      <c r="BK21">
        <f t="shared" si="38"/>
        <v>50638.25</v>
      </c>
      <c r="BL21">
        <f t="shared" si="39"/>
        <v>49078.25</v>
      </c>
      <c r="BM21">
        <f t="shared" si="40"/>
        <v>49923.25</v>
      </c>
      <c r="BN21">
        <f t="shared" si="41"/>
        <v>49793.25</v>
      </c>
      <c r="BO21" s="38">
        <f t="shared" si="42"/>
        <v>51028.25</v>
      </c>
      <c r="BP21">
        <f t="shared" si="43"/>
        <v>48688.25</v>
      </c>
      <c r="BQ21" s="7">
        <f>BO21</f>
        <v>51028.25</v>
      </c>
      <c r="BS21" s="30">
        <f t="shared" si="6"/>
        <v>52830</v>
      </c>
      <c r="BT21" s="4">
        <f t="shared" si="7"/>
        <v>51028.25</v>
      </c>
      <c r="BU21" s="37">
        <f t="shared" si="10"/>
        <v>1801.75</v>
      </c>
      <c r="BV21">
        <f t="shared" si="11"/>
        <v>1801.75</v>
      </c>
      <c r="BW21" s="35">
        <f t="shared" si="12"/>
        <v>3.4104675373840619E-2</v>
      </c>
    </row>
    <row r="22" spans="1:75">
      <c r="A22" s="1" t="s">
        <v>23</v>
      </c>
      <c r="B22" s="1">
        <v>53580</v>
      </c>
      <c r="Q22">
        <v>19</v>
      </c>
      <c r="R22" s="27" t="str">
        <f t="shared" si="1"/>
        <v>19/09/2023</v>
      </c>
      <c r="S22" s="27">
        <f t="shared" si="1"/>
        <v>50560</v>
      </c>
      <c r="T22" s="4" t="str">
        <f t="shared" si="2"/>
        <v>A2</v>
      </c>
      <c r="V22">
        <v>19</v>
      </c>
      <c r="W22" s="28" t="str">
        <f t="shared" si="0"/>
        <v>19/09/2023</v>
      </c>
      <c r="X22" s="28">
        <f t="shared" si="0"/>
        <v>50560</v>
      </c>
      <c r="Y22" s="28" t="str">
        <f t="shared" si="0"/>
        <v>A2</v>
      </c>
      <c r="Z22" s="5" t="str">
        <f t="shared" si="13"/>
        <v>A2</v>
      </c>
      <c r="AA22" s="5" t="str">
        <f t="shared" si="14"/>
        <v>A3</v>
      </c>
      <c r="AC22" s="5" t="s">
        <v>491</v>
      </c>
      <c r="AD22" s="5">
        <f t="shared" si="48"/>
        <v>67829.5</v>
      </c>
      <c r="AE22" s="5"/>
      <c r="AG22" s="29" t="str">
        <f t="shared" si="3"/>
        <v>19/09/2023</v>
      </c>
      <c r="AH22" s="30">
        <f t="shared" si="3"/>
        <v>50560</v>
      </c>
      <c r="AI22" s="4" t="str">
        <f t="shared" si="4"/>
        <v>A2</v>
      </c>
      <c r="AJ22" s="5" t="str">
        <f t="shared" si="15"/>
        <v>A2</v>
      </c>
      <c r="AK22">
        <f t="shared" si="16"/>
        <v>49736.5</v>
      </c>
      <c r="AL22" t="str">
        <f t="shared" si="17"/>
        <v>A3</v>
      </c>
      <c r="AM22">
        <f t="shared" si="18"/>
        <v>55767.5</v>
      </c>
      <c r="AN22" s="6">
        <f t="shared" si="19"/>
        <v>2180</v>
      </c>
      <c r="AO22">
        <f t="shared" si="20"/>
        <v>53920</v>
      </c>
      <c r="AP22">
        <f t="shared" si="44"/>
        <v>51740</v>
      </c>
      <c r="AQ22" s="33">
        <f t="shared" si="22"/>
        <v>55010</v>
      </c>
      <c r="AR22" s="33">
        <f t="shared" si="23"/>
        <v>50650</v>
      </c>
      <c r="AS22">
        <f t="shared" si="24"/>
        <v>53375</v>
      </c>
      <c r="AT22" s="5">
        <f t="shared" si="25"/>
        <v>52285</v>
      </c>
      <c r="AU22" s="5">
        <f t="shared" si="26"/>
        <v>57190</v>
      </c>
      <c r="AV22" s="5">
        <f t="shared" si="27"/>
        <v>48470</v>
      </c>
      <c r="AW22" s="5">
        <f t="shared" si="28"/>
        <v>53193.333333333336</v>
      </c>
      <c r="AX22" s="5">
        <f t="shared" si="29"/>
        <v>52466.666666666664</v>
      </c>
      <c r="AY22" s="5">
        <f t="shared" si="30"/>
        <v>59370</v>
      </c>
      <c r="AZ22" s="5">
        <f t="shared" si="31"/>
        <v>46290</v>
      </c>
      <c r="BB22" s="32" t="str">
        <f t="shared" si="5"/>
        <v>19/09/2023</v>
      </c>
      <c r="BC22" s="33">
        <f t="shared" si="5"/>
        <v>50560</v>
      </c>
      <c r="BD22" s="4" t="str">
        <f t="shared" si="5"/>
        <v>A2</v>
      </c>
      <c r="BE22">
        <f t="shared" si="32"/>
        <v>54843.75</v>
      </c>
      <c r="BF22">
        <f t="shared" si="33"/>
        <v>53753.75</v>
      </c>
      <c r="BG22">
        <f t="shared" si="34"/>
        <v>55388.75</v>
      </c>
      <c r="BH22">
        <f t="shared" si="35"/>
        <v>53208.75</v>
      </c>
      <c r="BI22">
        <f t="shared" si="36"/>
        <v>54571.25</v>
      </c>
      <c r="BJ22">
        <f t="shared" si="37"/>
        <v>54026.25</v>
      </c>
      <c r="BK22">
        <f t="shared" si="38"/>
        <v>56478.75</v>
      </c>
      <c r="BL22">
        <f t="shared" si="39"/>
        <v>52118.75</v>
      </c>
      <c r="BM22" s="40">
        <f t="shared" si="40"/>
        <v>54480.416666666672</v>
      </c>
      <c r="BN22">
        <f t="shared" si="41"/>
        <v>54117.083333333328</v>
      </c>
      <c r="BO22">
        <f t="shared" si="42"/>
        <v>57568.75</v>
      </c>
      <c r="BP22" s="38">
        <f t="shared" si="43"/>
        <v>51028.75</v>
      </c>
      <c r="BQ22" s="7">
        <f>BP22</f>
        <v>51028.75</v>
      </c>
      <c r="BS22" s="30">
        <f t="shared" si="6"/>
        <v>50560</v>
      </c>
      <c r="BT22" s="4">
        <f t="shared" si="7"/>
        <v>51028.75</v>
      </c>
      <c r="BU22" s="37">
        <f t="shared" si="10"/>
        <v>-468.75</v>
      </c>
      <c r="BV22">
        <f t="shared" si="11"/>
        <v>468.75</v>
      </c>
      <c r="BW22" s="35">
        <f t="shared" si="12"/>
        <v>9.2711629746835451E-3</v>
      </c>
    </row>
    <row r="23" spans="1:75">
      <c r="A23" s="1" t="s">
        <v>24</v>
      </c>
      <c r="B23" s="1">
        <v>55150</v>
      </c>
      <c r="Q23">
        <v>20</v>
      </c>
      <c r="R23" s="27" t="str">
        <f t="shared" si="1"/>
        <v>20/09/2023</v>
      </c>
      <c r="S23" s="27">
        <f t="shared" si="1"/>
        <v>53130</v>
      </c>
      <c r="T23" s="4" t="str">
        <f t="shared" si="2"/>
        <v>A3</v>
      </c>
      <c r="V23">
        <v>20</v>
      </c>
      <c r="W23" s="28" t="str">
        <f t="shared" si="0"/>
        <v>20/09/2023</v>
      </c>
      <c r="X23" s="28">
        <f t="shared" si="0"/>
        <v>53130</v>
      </c>
      <c r="Y23" s="28" t="str">
        <f t="shared" si="0"/>
        <v>A3</v>
      </c>
      <c r="Z23" s="5" t="str">
        <f t="shared" si="13"/>
        <v>A3</v>
      </c>
      <c r="AA23" s="5" t="str">
        <f t="shared" si="14"/>
        <v>A2</v>
      </c>
      <c r="AC23" s="5" t="s">
        <v>495</v>
      </c>
      <c r="AD23" s="5">
        <f t="shared" si="48"/>
        <v>73860.5</v>
      </c>
      <c r="AE23" s="5"/>
      <c r="AG23" s="29" t="str">
        <f t="shared" si="3"/>
        <v>20/09/2023</v>
      </c>
      <c r="AH23" s="30">
        <f t="shared" si="3"/>
        <v>53130</v>
      </c>
      <c r="AI23" s="4" t="str">
        <f t="shared" si="4"/>
        <v>A3</v>
      </c>
      <c r="AJ23" s="5" t="str">
        <f t="shared" si="15"/>
        <v>A3</v>
      </c>
      <c r="AK23">
        <f t="shared" si="16"/>
        <v>55767.5</v>
      </c>
      <c r="AL23" t="str">
        <f t="shared" si="17"/>
        <v>A2</v>
      </c>
      <c r="AM23">
        <f t="shared" si="18"/>
        <v>49736.5</v>
      </c>
      <c r="AN23" s="6">
        <f t="shared" si="19"/>
        <v>580</v>
      </c>
      <c r="AO23">
        <f t="shared" si="20"/>
        <v>50850</v>
      </c>
      <c r="AP23">
        <f t="shared" si="44"/>
        <v>50270</v>
      </c>
      <c r="AQ23" s="33">
        <f t="shared" si="22"/>
        <v>51140</v>
      </c>
      <c r="AR23" s="33">
        <f t="shared" si="23"/>
        <v>49980</v>
      </c>
      <c r="AS23">
        <f t="shared" si="24"/>
        <v>50705</v>
      </c>
      <c r="AT23" s="5">
        <f t="shared" si="25"/>
        <v>50415</v>
      </c>
      <c r="AU23" s="5">
        <f t="shared" si="26"/>
        <v>51720</v>
      </c>
      <c r="AV23" s="5">
        <f t="shared" si="27"/>
        <v>49400</v>
      </c>
      <c r="AW23" s="5">
        <f t="shared" si="28"/>
        <v>50656.666666666664</v>
      </c>
      <c r="AX23" s="5">
        <f t="shared" si="29"/>
        <v>50463.333333333336</v>
      </c>
      <c r="AY23" s="5">
        <f t="shared" si="30"/>
        <v>52300</v>
      </c>
      <c r="AZ23" s="5">
        <f t="shared" si="31"/>
        <v>48820</v>
      </c>
      <c r="BB23" s="32" t="str">
        <f t="shared" si="5"/>
        <v>20/09/2023</v>
      </c>
      <c r="BC23" s="33">
        <f t="shared" si="5"/>
        <v>53130</v>
      </c>
      <c r="BD23" s="4" t="str">
        <f t="shared" si="5"/>
        <v>A3</v>
      </c>
      <c r="BE23">
        <f t="shared" si="32"/>
        <v>50293.25</v>
      </c>
      <c r="BF23">
        <f t="shared" si="33"/>
        <v>50003.25</v>
      </c>
      <c r="BG23">
        <f t="shared" si="34"/>
        <v>50438.25</v>
      </c>
      <c r="BH23">
        <f t="shared" si="35"/>
        <v>49858.25</v>
      </c>
      <c r="BI23">
        <f t="shared" si="36"/>
        <v>50220.75</v>
      </c>
      <c r="BJ23">
        <f t="shared" si="37"/>
        <v>50075.75</v>
      </c>
      <c r="BK23">
        <f t="shared" si="38"/>
        <v>50728.25</v>
      </c>
      <c r="BL23">
        <f t="shared" si="39"/>
        <v>49568.25</v>
      </c>
      <c r="BM23">
        <f t="shared" si="40"/>
        <v>50196.583333333328</v>
      </c>
      <c r="BN23">
        <f t="shared" si="41"/>
        <v>50099.916666666672</v>
      </c>
      <c r="BO23" s="38">
        <f t="shared" si="42"/>
        <v>51018.25</v>
      </c>
      <c r="BP23">
        <f t="shared" si="43"/>
        <v>49278.25</v>
      </c>
      <c r="BQ23" s="7">
        <f>BO23</f>
        <v>51018.25</v>
      </c>
      <c r="BS23" s="30">
        <f t="shared" si="6"/>
        <v>53130</v>
      </c>
      <c r="BT23" s="4">
        <f t="shared" si="7"/>
        <v>51018.25</v>
      </c>
      <c r="BU23" s="37">
        <f t="shared" si="10"/>
        <v>2111.75</v>
      </c>
      <c r="BV23">
        <f t="shared" si="11"/>
        <v>2111.75</v>
      </c>
      <c r="BW23" s="35">
        <f t="shared" si="12"/>
        <v>3.9746847355543007E-2</v>
      </c>
    </row>
    <row r="24" spans="1:75">
      <c r="A24" s="1" t="s">
        <v>25</v>
      </c>
      <c r="B24" s="1">
        <v>56540</v>
      </c>
      <c r="Q24">
        <v>21</v>
      </c>
      <c r="R24" s="27" t="str">
        <f t="shared" si="1"/>
        <v>21/09/2023</v>
      </c>
      <c r="S24" s="27">
        <f t="shared" si="1"/>
        <v>53580</v>
      </c>
      <c r="T24" s="4" t="str">
        <f t="shared" si="2"/>
        <v>A3</v>
      </c>
      <c r="V24">
        <v>21</v>
      </c>
      <c r="W24" s="28" t="str">
        <f t="shared" si="0"/>
        <v>21/09/2023</v>
      </c>
      <c r="X24" s="28">
        <f t="shared" si="0"/>
        <v>53580</v>
      </c>
      <c r="Y24" s="28" t="str">
        <f t="shared" si="0"/>
        <v>A3</v>
      </c>
      <c r="Z24" s="5" t="str">
        <f t="shared" si="13"/>
        <v>A2</v>
      </c>
      <c r="AA24" s="5" t="str">
        <f t="shared" si="14"/>
        <v>A3</v>
      </c>
      <c r="AC24" s="5" t="s">
        <v>499</v>
      </c>
      <c r="AD24" s="5">
        <f t="shared" si="48"/>
        <v>79891.5</v>
      </c>
      <c r="AE24" s="5"/>
      <c r="AG24" s="29" t="str">
        <f t="shared" si="3"/>
        <v>21/09/2023</v>
      </c>
      <c r="AH24" s="30">
        <f t="shared" si="3"/>
        <v>53580</v>
      </c>
      <c r="AI24" s="4" t="str">
        <f t="shared" si="4"/>
        <v>A3</v>
      </c>
      <c r="AJ24" s="5" t="str">
        <f t="shared" si="15"/>
        <v>A2</v>
      </c>
      <c r="AK24">
        <f t="shared" si="16"/>
        <v>49736.5</v>
      </c>
      <c r="AL24" t="str">
        <f t="shared" si="17"/>
        <v>A3</v>
      </c>
      <c r="AM24">
        <f t="shared" si="18"/>
        <v>55767.5</v>
      </c>
      <c r="AN24" s="6">
        <f t="shared" si="19"/>
        <v>300</v>
      </c>
      <c r="AO24">
        <f t="shared" si="20"/>
        <v>53280</v>
      </c>
      <c r="AP24">
        <f t="shared" si="44"/>
        <v>52980</v>
      </c>
      <c r="AQ24" s="33">
        <f t="shared" si="22"/>
        <v>53430</v>
      </c>
      <c r="AR24" s="33">
        <f t="shared" si="23"/>
        <v>52830</v>
      </c>
      <c r="AS24">
        <f t="shared" si="24"/>
        <v>53205</v>
      </c>
      <c r="AT24" s="5">
        <f t="shared" si="25"/>
        <v>53055</v>
      </c>
      <c r="AU24" s="5">
        <f t="shared" si="26"/>
        <v>53730</v>
      </c>
      <c r="AV24" s="5">
        <f t="shared" si="27"/>
        <v>52530</v>
      </c>
      <c r="AW24" s="5">
        <f t="shared" si="28"/>
        <v>53180</v>
      </c>
      <c r="AX24" s="5">
        <f t="shared" si="29"/>
        <v>53080</v>
      </c>
      <c r="AY24" s="5">
        <f t="shared" si="30"/>
        <v>54030</v>
      </c>
      <c r="AZ24" s="5">
        <f t="shared" si="31"/>
        <v>52230</v>
      </c>
      <c r="BB24" s="32" t="str">
        <f t="shared" si="5"/>
        <v>21/09/2023</v>
      </c>
      <c r="BC24" s="33">
        <f t="shared" si="5"/>
        <v>53580</v>
      </c>
      <c r="BD24" s="4" t="str">
        <f t="shared" si="5"/>
        <v>A3</v>
      </c>
      <c r="BE24">
        <f t="shared" si="32"/>
        <v>54523.75</v>
      </c>
      <c r="BF24">
        <f t="shared" si="33"/>
        <v>54373.75</v>
      </c>
      <c r="BG24">
        <f t="shared" si="34"/>
        <v>54598.75</v>
      </c>
      <c r="BH24" s="40">
        <f t="shared" si="35"/>
        <v>54298.75</v>
      </c>
      <c r="BI24">
        <f t="shared" si="36"/>
        <v>54486.25</v>
      </c>
      <c r="BJ24">
        <f t="shared" si="37"/>
        <v>54411.25</v>
      </c>
      <c r="BK24">
        <f t="shared" si="38"/>
        <v>54748.75</v>
      </c>
      <c r="BL24">
        <f t="shared" si="39"/>
        <v>54148.75</v>
      </c>
      <c r="BM24">
        <f t="shared" si="40"/>
        <v>54473.75</v>
      </c>
      <c r="BN24">
        <f t="shared" si="41"/>
        <v>54423.75</v>
      </c>
      <c r="BO24">
        <f t="shared" si="42"/>
        <v>54898.75</v>
      </c>
      <c r="BP24" s="38">
        <f t="shared" si="43"/>
        <v>53998.75</v>
      </c>
      <c r="BQ24" s="7">
        <f>BP24</f>
        <v>53998.75</v>
      </c>
      <c r="BS24" s="30">
        <f t="shared" si="6"/>
        <v>53580</v>
      </c>
      <c r="BT24" s="4">
        <f t="shared" si="7"/>
        <v>53998.75</v>
      </c>
      <c r="BU24" s="37">
        <f t="shared" si="10"/>
        <v>-418.75</v>
      </c>
      <c r="BV24">
        <f t="shared" si="11"/>
        <v>418.75</v>
      </c>
      <c r="BW24" s="35">
        <f t="shared" si="12"/>
        <v>7.8154162000746551E-3</v>
      </c>
    </row>
    <row r="25" spans="1:75">
      <c r="A25" s="1" t="s">
        <v>26</v>
      </c>
      <c r="B25" s="1">
        <v>55860</v>
      </c>
      <c r="Q25">
        <v>22</v>
      </c>
      <c r="R25" s="27" t="str">
        <f t="shared" si="1"/>
        <v>22/09/2023</v>
      </c>
      <c r="S25" s="27">
        <f t="shared" si="1"/>
        <v>55150</v>
      </c>
      <c r="T25" s="4" t="str">
        <f t="shared" si="2"/>
        <v>A3</v>
      </c>
      <c r="V25">
        <v>22</v>
      </c>
      <c r="W25" s="28" t="str">
        <f t="shared" si="0"/>
        <v>22/09/2023</v>
      </c>
      <c r="X25" s="28">
        <f t="shared" si="0"/>
        <v>55150</v>
      </c>
      <c r="Y25" s="28" t="str">
        <f t="shared" si="0"/>
        <v>A3</v>
      </c>
      <c r="Z25" s="5" t="str">
        <f t="shared" si="13"/>
        <v>A3</v>
      </c>
      <c r="AA25" s="5" t="str">
        <f t="shared" si="14"/>
        <v>A3</v>
      </c>
      <c r="AC25" s="5" t="s">
        <v>502</v>
      </c>
      <c r="AD25" s="5">
        <f t="shared" si="48"/>
        <v>85922.5</v>
      </c>
      <c r="AE25" s="5"/>
      <c r="AG25" s="29" t="str">
        <f t="shared" si="3"/>
        <v>22/09/2023</v>
      </c>
      <c r="AH25" s="30">
        <f t="shared" si="3"/>
        <v>55150</v>
      </c>
      <c r="AI25" s="4" t="str">
        <f t="shared" si="4"/>
        <v>A3</v>
      </c>
      <c r="AJ25" s="5" t="str">
        <f t="shared" si="15"/>
        <v>A3</v>
      </c>
      <c r="AK25">
        <f t="shared" si="16"/>
        <v>55767.5</v>
      </c>
      <c r="AL25" t="str">
        <f t="shared" si="17"/>
        <v>A3</v>
      </c>
      <c r="AM25">
        <f t="shared" si="18"/>
        <v>55767.5</v>
      </c>
      <c r="AN25" s="6">
        <f t="shared" si="19"/>
        <v>2120</v>
      </c>
      <c r="AO25">
        <f t="shared" si="20"/>
        <v>54640</v>
      </c>
      <c r="AP25">
        <f t="shared" si="44"/>
        <v>52520</v>
      </c>
      <c r="AQ25" s="33">
        <f t="shared" si="22"/>
        <v>55700</v>
      </c>
      <c r="AR25" s="33">
        <f t="shared" si="23"/>
        <v>51460</v>
      </c>
      <c r="AS25">
        <f t="shared" si="24"/>
        <v>54110</v>
      </c>
      <c r="AT25" s="5">
        <f t="shared" si="25"/>
        <v>53050</v>
      </c>
      <c r="AU25" s="5">
        <f t="shared" si="26"/>
        <v>57820</v>
      </c>
      <c r="AV25" s="5">
        <f t="shared" si="27"/>
        <v>49340</v>
      </c>
      <c r="AW25" s="5">
        <f t="shared" si="28"/>
        <v>53933.333333333336</v>
      </c>
      <c r="AX25" s="5">
        <f t="shared" si="29"/>
        <v>53226.666666666664</v>
      </c>
      <c r="AY25" s="5">
        <f t="shared" si="30"/>
        <v>59940</v>
      </c>
      <c r="AZ25" s="5">
        <f t="shared" si="31"/>
        <v>47220</v>
      </c>
      <c r="BB25" s="32" t="str">
        <f t="shared" si="5"/>
        <v>22/09/2023</v>
      </c>
      <c r="BC25" s="33">
        <f t="shared" si="5"/>
        <v>55150</v>
      </c>
      <c r="BD25" s="4" t="str">
        <f t="shared" si="5"/>
        <v>A3</v>
      </c>
      <c r="BE25" s="38">
        <f t="shared" si="32"/>
        <v>55203.75</v>
      </c>
      <c r="BF25">
        <f t="shared" si="33"/>
        <v>54143.75</v>
      </c>
      <c r="BG25">
        <f t="shared" si="34"/>
        <v>55733.75</v>
      </c>
      <c r="BH25">
        <f t="shared" si="35"/>
        <v>53613.75</v>
      </c>
      <c r="BI25">
        <f t="shared" si="36"/>
        <v>54938.75</v>
      </c>
      <c r="BJ25">
        <f t="shared" si="37"/>
        <v>54408.75</v>
      </c>
      <c r="BK25">
        <f t="shared" si="38"/>
        <v>56793.75</v>
      </c>
      <c r="BL25">
        <f t="shared" si="39"/>
        <v>52553.75</v>
      </c>
      <c r="BM25">
        <f t="shared" si="40"/>
        <v>54850.416666666672</v>
      </c>
      <c r="BN25">
        <f t="shared" si="41"/>
        <v>54497.083333333328</v>
      </c>
      <c r="BO25">
        <f t="shared" si="42"/>
        <v>57853.75</v>
      </c>
      <c r="BP25">
        <f t="shared" si="43"/>
        <v>51493.75</v>
      </c>
      <c r="BQ25" s="7">
        <f>BE25</f>
        <v>55203.75</v>
      </c>
      <c r="BS25" s="30">
        <f t="shared" si="6"/>
        <v>55150</v>
      </c>
      <c r="BT25" s="4">
        <f t="shared" si="7"/>
        <v>55203.75</v>
      </c>
      <c r="BU25" s="37">
        <f t="shared" si="10"/>
        <v>-53.75</v>
      </c>
      <c r="BV25">
        <f t="shared" si="11"/>
        <v>53.75</v>
      </c>
      <c r="BW25" s="35">
        <f t="shared" si="12"/>
        <v>9.7461468721668173E-4</v>
      </c>
    </row>
    <row r="26" spans="1:75">
      <c r="A26" s="1" t="s">
        <v>27</v>
      </c>
      <c r="B26" s="1">
        <v>57090</v>
      </c>
      <c r="Q26">
        <v>23</v>
      </c>
      <c r="R26" s="27" t="str">
        <f t="shared" si="1"/>
        <v>23/09/2023</v>
      </c>
      <c r="S26" s="27">
        <f t="shared" si="1"/>
        <v>56540</v>
      </c>
      <c r="T26" s="4" t="str">
        <f t="shared" si="2"/>
        <v>A3</v>
      </c>
      <c r="V26">
        <v>23</v>
      </c>
      <c r="W26" s="28" t="str">
        <f t="shared" si="0"/>
        <v>23/09/2023</v>
      </c>
      <c r="X26" s="28">
        <f t="shared" si="0"/>
        <v>56540</v>
      </c>
      <c r="Y26" s="28" t="str">
        <f t="shared" si="0"/>
        <v>A3</v>
      </c>
      <c r="Z26" s="5" t="str">
        <f t="shared" si="13"/>
        <v>A3</v>
      </c>
      <c r="AA26" s="5" t="str">
        <f t="shared" si="14"/>
        <v>A3</v>
      </c>
      <c r="AC26" s="5" t="s">
        <v>505</v>
      </c>
      <c r="AD26" s="5">
        <f t="shared" si="48"/>
        <v>91953.5</v>
      </c>
      <c r="AE26" s="5"/>
      <c r="AG26" s="29" t="str">
        <f t="shared" si="3"/>
        <v>23/09/2023</v>
      </c>
      <c r="AH26" s="30">
        <f t="shared" si="3"/>
        <v>56540</v>
      </c>
      <c r="AI26" s="4" t="str">
        <f t="shared" si="4"/>
        <v>A3</v>
      </c>
      <c r="AJ26" s="5" t="str">
        <f t="shared" si="15"/>
        <v>A3</v>
      </c>
      <c r="AK26">
        <f t="shared" si="16"/>
        <v>55767.5</v>
      </c>
      <c r="AL26" t="str">
        <f t="shared" si="17"/>
        <v>A3</v>
      </c>
      <c r="AM26">
        <f t="shared" si="18"/>
        <v>55767.5</v>
      </c>
      <c r="AN26" s="6">
        <f t="shared" si="19"/>
        <v>1120</v>
      </c>
      <c r="AO26">
        <f t="shared" si="20"/>
        <v>55710</v>
      </c>
      <c r="AP26">
        <f t="shared" si="44"/>
        <v>54590</v>
      </c>
      <c r="AQ26" s="33">
        <f t="shared" si="22"/>
        <v>56270</v>
      </c>
      <c r="AR26" s="33">
        <f t="shared" si="23"/>
        <v>54030</v>
      </c>
      <c r="AS26">
        <f t="shared" si="24"/>
        <v>55430</v>
      </c>
      <c r="AT26" s="5">
        <f t="shared" si="25"/>
        <v>54870</v>
      </c>
      <c r="AU26" s="5">
        <f t="shared" si="26"/>
        <v>57390</v>
      </c>
      <c r="AV26" s="5">
        <f t="shared" si="27"/>
        <v>52910</v>
      </c>
      <c r="AW26" s="5">
        <f t="shared" si="28"/>
        <v>55336.666666666664</v>
      </c>
      <c r="AX26" s="5">
        <f t="shared" si="29"/>
        <v>54963.333333333336</v>
      </c>
      <c r="AY26" s="5">
        <f t="shared" si="30"/>
        <v>58510</v>
      </c>
      <c r="AZ26" s="5">
        <f t="shared" si="31"/>
        <v>51790</v>
      </c>
      <c r="BB26" s="32" t="str">
        <f t="shared" si="5"/>
        <v>23/09/2023</v>
      </c>
      <c r="BC26" s="33">
        <f t="shared" si="5"/>
        <v>56540</v>
      </c>
      <c r="BD26" s="4" t="str">
        <f t="shared" si="5"/>
        <v>A3</v>
      </c>
      <c r="BE26">
        <f t="shared" si="32"/>
        <v>55738.75</v>
      </c>
      <c r="BF26">
        <f t="shared" si="33"/>
        <v>55178.75</v>
      </c>
      <c r="BG26" s="38">
        <f t="shared" si="34"/>
        <v>56018.75</v>
      </c>
      <c r="BH26">
        <f t="shared" si="35"/>
        <v>54898.75</v>
      </c>
      <c r="BI26">
        <f t="shared" si="36"/>
        <v>55598.75</v>
      </c>
      <c r="BJ26">
        <f t="shared" si="37"/>
        <v>55318.75</v>
      </c>
      <c r="BK26" s="40">
        <f t="shared" si="38"/>
        <v>56578.75</v>
      </c>
      <c r="BL26">
        <f t="shared" si="39"/>
        <v>54338.75</v>
      </c>
      <c r="BM26">
        <f t="shared" si="40"/>
        <v>55552.083333333328</v>
      </c>
      <c r="BN26">
        <f t="shared" si="41"/>
        <v>55365.416666666672</v>
      </c>
      <c r="BO26">
        <f t="shared" si="42"/>
        <v>57138.75</v>
      </c>
      <c r="BP26">
        <f t="shared" si="43"/>
        <v>53778.75</v>
      </c>
      <c r="BQ26" s="7">
        <f>BK26</f>
        <v>56578.75</v>
      </c>
      <c r="BS26" s="30">
        <f t="shared" si="6"/>
        <v>56540</v>
      </c>
      <c r="BT26" s="4">
        <f t="shared" si="7"/>
        <v>56578.75</v>
      </c>
      <c r="BU26" s="37">
        <f t="shared" si="10"/>
        <v>-38.75</v>
      </c>
      <c r="BV26">
        <f t="shared" si="11"/>
        <v>38.75</v>
      </c>
      <c r="BW26" s="35">
        <f t="shared" si="12"/>
        <v>6.8535550053059778E-4</v>
      </c>
    </row>
    <row r="27" spans="1:75">
      <c r="A27" s="1" t="s">
        <v>28</v>
      </c>
      <c r="B27" s="1">
        <v>57520</v>
      </c>
      <c r="Q27">
        <v>24</v>
      </c>
      <c r="R27" s="27" t="str">
        <f t="shared" si="1"/>
        <v>24/09/2023</v>
      </c>
      <c r="S27" s="27">
        <f t="shared" si="1"/>
        <v>55860</v>
      </c>
      <c r="T27" s="4" t="str">
        <f t="shared" si="2"/>
        <v>A3</v>
      </c>
      <c r="V27">
        <v>24</v>
      </c>
      <c r="W27" s="28" t="str">
        <f t="shared" si="0"/>
        <v>24/09/2023</v>
      </c>
      <c r="X27" s="28">
        <f t="shared" si="0"/>
        <v>55860</v>
      </c>
      <c r="Y27" s="28" t="str">
        <f t="shared" si="0"/>
        <v>A3</v>
      </c>
      <c r="Z27" s="5" t="str">
        <f t="shared" si="13"/>
        <v>A3</v>
      </c>
      <c r="AA27" s="5" t="str">
        <f t="shared" si="14"/>
        <v>A3</v>
      </c>
      <c r="AC27" s="5" t="s">
        <v>508</v>
      </c>
      <c r="AD27" s="5">
        <f t="shared" si="48"/>
        <v>97984.5</v>
      </c>
      <c r="AE27" s="5"/>
      <c r="AG27" s="29" t="str">
        <f t="shared" si="3"/>
        <v>24/09/2023</v>
      </c>
      <c r="AH27" s="30">
        <f t="shared" si="3"/>
        <v>55860</v>
      </c>
      <c r="AI27" s="4" t="str">
        <f t="shared" si="4"/>
        <v>A3</v>
      </c>
      <c r="AJ27" s="5" t="str">
        <f t="shared" si="15"/>
        <v>A3</v>
      </c>
      <c r="AK27">
        <f t="shared" si="16"/>
        <v>55767.5</v>
      </c>
      <c r="AL27" t="str">
        <f t="shared" si="17"/>
        <v>A3</v>
      </c>
      <c r="AM27">
        <f t="shared" si="18"/>
        <v>55767.5</v>
      </c>
      <c r="AN27" s="6">
        <f t="shared" si="19"/>
        <v>180</v>
      </c>
      <c r="AO27">
        <f t="shared" si="20"/>
        <v>56630</v>
      </c>
      <c r="AP27">
        <f t="shared" si="44"/>
        <v>56450</v>
      </c>
      <c r="AQ27" s="33">
        <f t="shared" si="22"/>
        <v>56720</v>
      </c>
      <c r="AR27" s="33">
        <f t="shared" si="23"/>
        <v>56360</v>
      </c>
      <c r="AS27">
        <f t="shared" si="24"/>
        <v>56585</v>
      </c>
      <c r="AT27" s="5">
        <f t="shared" si="25"/>
        <v>56495</v>
      </c>
      <c r="AU27" s="5">
        <f t="shared" si="26"/>
        <v>56900</v>
      </c>
      <c r="AV27" s="5">
        <f t="shared" si="27"/>
        <v>56180</v>
      </c>
      <c r="AW27" s="5">
        <f t="shared" si="28"/>
        <v>56570</v>
      </c>
      <c r="AX27" s="5">
        <f t="shared" si="29"/>
        <v>56510</v>
      </c>
      <c r="AY27" s="5">
        <f t="shared" si="30"/>
        <v>57080</v>
      </c>
      <c r="AZ27" s="5">
        <f t="shared" si="31"/>
        <v>56000</v>
      </c>
      <c r="BB27" s="32" t="str">
        <f t="shared" si="5"/>
        <v>24/09/2023</v>
      </c>
      <c r="BC27" s="33">
        <f t="shared" si="5"/>
        <v>55860</v>
      </c>
      <c r="BD27" s="4" t="str">
        <f t="shared" si="5"/>
        <v>A3</v>
      </c>
      <c r="BE27">
        <f t="shared" si="32"/>
        <v>56198.75</v>
      </c>
      <c r="BF27">
        <f t="shared" si="33"/>
        <v>56108.75</v>
      </c>
      <c r="BG27">
        <f t="shared" si="34"/>
        <v>56243.75</v>
      </c>
      <c r="BH27">
        <f t="shared" si="35"/>
        <v>56063.75</v>
      </c>
      <c r="BI27">
        <f t="shared" si="36"/>
        <v>56176.25</v>
      </c>
      <c r="BJ27">
        <f t="shared" si="37"/>
        <v>56131.25</v>
      </c>
      <c r="BK27">
        <f t="shared" si="38"/>
        <v>56333.75</v>
      </c>
      <c r="BL27">
        <f t="shared" si="39"/>
        <v>55973.75</v>
      </c>
      <c r="BM27">
        <f t="shared" si="40"/>
        <v>56168.75</v>
      </c>
      <c r="BN27">
        <f t="shared" si="41"/>
        <v>56138.75</v>
      </c>
      <c r="BO27">
        <f t="shared" si="42"/>
        <v>56423.75</v>
      </c>
      <c r="BP27" s="38">
        <f t="shared" si="43"/>
        <v>55883.75</v>
      </c>
      <c r="BQ27" s="7">
        <f>BP27</f>
        <v>55883.75</v>
      </c>
      <c r="BS27" s="30">
        <f t="shared" si="6"/>
        <v>55860</v>
      </c>
      <c r="BT27" s="4">
        <f t="shared" si="7"/>
        <v>55883.75</v>
      </c>
      <c r="BU27" s="37">
        <f t="shared" si="10"/>
        <v>-23.75</v>
      </c>
      <c r="BV27">
        <f t="shared" si="11"/>
        <v>23.75</v>
      </c>
      <c r="BW27" s="35">
        <f t="shared" si="12"/>
        <v>4.2517006802721087E-4</v>
      </c>
    </row>
    <row r="28" spans="1:75">
      <c r="A28" s="1" t="s">
        <v>29</v>
      </c>
      <c r="B28" s="1">
        <v>57180</v>
      </c>
      <c r="Q28">
        <v>25</v>
      </c>
      <c r="R28" s="27" t="str">
        <f t="shared" si="1"/>
        <v>25/09/2023</v>
      </c>
      <c r="S28" s="27">
        <f t="shared" si="1"/>
        <v>57090</v>
      </c>
      <c r="T28" s="4" t="str">
        <f t="shared" si="2"/>
        <v>A3</v>
      </c>
      <c r="V28">
        <v>25</v>
      </c>
      <c r="W28" s="28" t="str">
        <f t="shared" si="0"/>
        <v>25/09/2023</v>
      </c>
      <c r="X28" s="28">
        <f t="shared" si="0"/>
        <v>57090</v>
      </c>
      <c r="Y28" s="28" t="str">
        <f t="shared" si="0"/>
        <v>A3</v>
      </c>
      <c r="Z28" s="5" t="str">
        <f t="shared" si="13"/>
        <v>A3</v>
      </c>
      <c r="AA28" s="5" t="str">
        <f t="shared" si="14"/>
        <v>A3</v>
      </c>
      <c r="AG28" s="29" t="str">
        <f t="shared" si="3"/>
        <v>25/09/2023</v>
      </c>
      <c r="AH28" s="30">
        <f t="shared" si="3"/>
        <v>57090</v>
      </c>
      <c r="AI28" s="4" t="str">
        <f t="shared" si="4"/>
        <v>A3</v>
      </c>
      <c r="AJ28" s="5" t="str">
        <f t="shared" si="15"/>
        <v>A3</v>
      </c>
      <c r="AK28">
        <f t="shared" si="16"/>
        <v>55767.5</v>
      </c>
      <c r="AL28" t="str">
        <f t="shared" si="17"/>
        <v>A3</v>
      </c>
      <c r="AM28">
        <f t="shared" si="18"/>
        <v>55767.5</v>
      </c>
      <c r="AN28" s="6">
        <f t="shared" si="19"/>
        <v>710</v>
      </c>
      <c r="AO28">
        <f t="shared" si="20"/>
        <v>56215</v>
      </c>
      <c r="AP28">
        <f t="shared" si="44"/>
        <v>55505</v>
      </c>
      <c r="AQ28" s="33">
        <f t="shared" si="22"/>
        <v>56570</v>
      </c>
      <c r="AR28" s="33">
        <f t="shared" si="23"/>
        <v>55150</v>
      </c>
      <c r="AS28">
        <f t="shared" si="24"/>
        <v>56037.5</v>
      </c>
      <c r="AT28" s="5">
        <f t="shared" si="25"/>
        <v>55682.5</v>
      </c>
      <c r="AU28" s="5">
        <f t="shared" si="26"/>
        <v>57280</v>
      </c>
      <c r="AV28" s="5">
        <f t="shared" si="27"/>
        <v>54440</v>
      </c>
      <c r="AW28" s="5">
        <f t="shared" si="28"/>
        <v>55978.333333333336</v>
      </c>
      <c r="AX28" s="5">
        <f t="shared" si="29"/>
        <v>55741.666666666664</v>
      </c>
      <c r="AY28" s="5">
        <f t="shared" si="30"/>
        <v>57990</v>
      </c>
      <c r="AZ28" s="5">
        <f t="shared" si="31"/>
        <v>53730</v>
      </c>
      <c r="BB28" s="32" t="str">
        <f t="shared" si="5"/>
        <v>25/09/2023</v>
      </c>
      <c r="BC28" s="33">
        <f t="shared" si="5"/>
        <v>57090</v>
      </c>
      <c r="BD28" s="4" t="str">
        <f t="shared" si="5"/>
        <v>A3</v>
      </c>
      <c r="BE28">
        <f t="shared" si="32"/>
        <v>55991.25</v>
      </c>
      <c r="BF28">
        <f t="shared" si="33"/>
        <v>55636.25</v>
      </c>
      <c r="BG28">
        <f t="shared" si="34"/>
        <v>56168.75</v>
      </c>
      <c r="BH28">
        <f t="shared" si="35"/>
        <v>55458.75</v>
      </c>
      <c r="BI28">
        <f t="shared" si="36"/>
        <v>55902.5</v>
      </c>
      <c r="BJ28">
        <f t="shared" si="37"/>
        <v>55725</v>
      </c>
      <c r="BK28">
        <f t="shared" si="38"/>
        <v>56523.75</v>
      </c>
      <c r="BL28">
        <f t="shared" si="39"/>
        <v>55103.75</v>
      </c>
      <c r="BM28">
        <f t="shared" si="40"/>
        <v>55872.916666666672</v>
      </c>
      <c r="BN28">
        <f t="shared" si="41"/>
        <v>55754.583333333328</v>
      </c>
      <c r="BO28" s="38">
        <f t="shared" si="42"/>
        <v>56878.75</v>
      </c>
      <c r="BP28">
        <f t="shared" si="43"/>
        <v>54748.75</v>
      </c>
      <c r="BQ28" s="7">
        <f>BO28</f>
        <v>56878.75</v>
      </c>
      <c r="BS28" s="30">
        <f t="shared" si="6"/>
        <v>57090</v>
      </c>
      <c r="BT28" s="4">
        <f t="shared" si="7"/>
        <v>56878.75</v>
      </c>
      <c r="BU28" s="37">
        <f t="shared" si="10"/>
        <v>211.25</v>
      </c>
      <c r="BV28">
        <f t="shared" si="11"/>
        <v>211.25</v>
      </c>
      <c r="BW28" s="35">
        <f t="shared" si="12"/>
        <v>3.7002977754422841E-3</v>
      </c>
    </row>
    <row r="29" spans="1:75">
      <c r="A29" s="1" t="s">
        <v>30</v>
      </c>
      <c r="B29" s="1">
        <v>56610</v>
      </c>
      <c r="Q29">
        <v>26</v>
      </c>
      <c r="R29" s="27" t="str">
        <f t="shared" si="1"/>
        <v>26/09/2023</v>
      </c>
      <c r="S29" s="27">
        <f t="shared" si="1"/>
        <v>57520</v>
      </c>
      <c r="T29" s="4" t="str">
        <f t="shared" si="2"/>
        <v>A3</v>
      </c>
      <c r="V29">
        <v>26</v>
      </c>
      <c r="W29" s="28" t="str">
        <f t="shared" si="0"/>
        <v>26/09/2023</v>
      </c>
      <c r="X29" s="28">
        <f t="shared" si="0"/>
        <v>57520</v>
      </c>
      <c r="Y29" s="28" t="str">
        <f t="shared" si="0"/>
        <v>A3</v>
      </c>
      <c r="Z29" s="5" t="str">
        <f t="shared" si="13"/>
        <v>A3</v>
      </c>
      <c r="AA29" s="5" t="str">
        <f t="shared" si="14"/>
        <v>A3</v>
      </c>
      <c r="AG29" s="29" t="str">
        <f t="shared" si="3"/>
        <v>26/09/2023</v>
      </c>
      <c r="AH29" s="30">
        <f t="shared" si="3"/>
        <v>57520</v>
      </c>
      <c r="AI29" s="4" t="str">
        <f t="shared" si="4"/>
        <v>A3</v>
      </c>
      <c r="AJ29" s="5" t="str">
        <f t="shared" si="15"/>
        <v>A3</v>
      </c>
      <c r="AK29">
        <f t="shared" si="16"/>
        <v>55767.5</v>
      </c>
      <c r="AL29" t="str">
        <f t="shared" si="17"/>
        <v>A3</v>
      </c>
      <c r="AM29">
        <f t="shared" si="18"/>
        <v>55767.5</v>
      </c>
      <c r="AN29" s="6">
        <f t="shared" si="19"/>
        <v>550</v>
      </c>
      <c r="AO29">
        <f t="shared" si="20"/>
        <v>57365</v>
      </c>
      <c r="AP29">
        <f t="shared" si="44"/>
        <v>56815</v>
      </c>
      <c r="AQ29" s="33">
        <f t="shared" si="22"/>
        <v>57640</v>
      </c>
      <c r="AR29" s="33">
        <f t="shared" si="23"/>
        <v>56540</v>
      </c>
      <c r="AS29">
        <f t="shared" si="24"/>
        <v>57227.5</v>
      </c>
      <c r="AT29" s="5">
        <f t="shared" si="25"/>
        <v>56952.5</v>
      </c>
      <c r="AU29" s="5">
        <f t="shared" si="26"/>
        <v>58190</v>
      </c>
      <c r="AV29" s="5">
        <f t="shared" si="27"/>
        <v>55990</v>
      </c>
      <c r="AW29" s="5">
        <f t="shared" si="28"/>
        <v>57181.666666666664</v>
      </c>
      <c r="AX29" s="5">
        <f t="shared" si="29"/>
        <v>56998.333333333336</v>
      </c>
      <c r="AY29" s="5">
        <f t="shared" si="30"/>
        <v>58740</v>
      </c>
      <c r="AZ29" s="5">
        <f t="shared" si="31"/>
        <v>55440</v>
      </c>
      <c r="BB29" s="32" t="str">
        <f t="shared" si="5"/>
        <v>26/09/2023</v>
      </c>
      <c r="BC29" s="33">
        <f t="shared" si="5"/>
        <v>57520</v>
      </c>
      <c r="BD29" s="4" t="str">
        <f t="shared" si="5"/>
        <v>A3</v>
      </c>
      <c r="BE29">
        <f t="shared" si="32"/>
        <v>56566.25</v>
      </c>
      <c r="BF29">
        <f t="shared" si="33"/>
        <v>56291.25</v>
      </c>
      <c r="BG29">
        <f t="shared" si="34"/>
        <v>56703.75</v>
      </c>
      <c r="BH29">
        <f t="shared" si="35"/>
        <v>56153.75</v>
      </c>
      <c r="BI29">
        <f t="shared" si="36"/>
        <v>56497.5</v>
      </c>
      <c r="BJ29">
        <f t="shared" si="37"/>
        <v>56360</v>
      </c>
      <c r="BK29">
        <f t="shared" si="38"/>
        <v>56978.75</v>
      </c>
      <c r="BL29">
        <f t="shared" si="39"/>
        <v>55878.75</v>
      </c>
      <c r="BM29">
        <f t="shared" si="40"/>
        <v>56474.583333333328</v>
      </c>
      <c r="BN29">
        <f t="shared" si="41"/>
        <v>56382.916666666672</v>
      </c>
      <c r="BO29" s="38">
        <f t="shared" si="42"/>
        <v>57253.75</v>
      </c>
      <c r="BP29">
        <f t="shared" si="43"/>
        <v>55603.75</v>
      </c>
      <c r="BQ29" s="7">
        <f>BO29</f>
        <v>57253.75</v>
      </c>
      <c r="BS29" s="30">
        <f t="shared" si="6"/>
        <v>57520</v>
      </c>
      <c r="BT29" s="4">
        <f t="shared" si="7"/>
        <v>57253.75</v>
      </c>
      <c r="BU29" s="37">
        <f t="shared" si="10"/>
        <v>266.25</v>
      </c>
      <c r="BV29">
        <f t="shared" si="11"/>
        <v>266.25</v>
      </c>
      <c r="BW29" s="35">
        <f t="shared" si="12"/>
        <v>4.6288247566063975E-3</v>
      </c>
    </row>
    <row r="30" spans="1:75">
      <c r="A30" s="1" t="s">
        <v>31</v>
      </c>
      <c r="B30" s="1">
        <v>59040</v>
      </c>
      <c r="Q30">
        <v>27</v>
      </c>
      <c r="R30" s="27" t="str">
        <f t="shared" si="1"/>
        <v>27/09/2023</v>
      </c>
      <c r="S30" s="27">
        <f t="shared" si="1"/>
        <v>57180</v>
      </c>
      <c r="T30" s="4" t="str">
        <f t="shared" si="2"/>
        <v>A3</v>
      </c>
      <c r="V30">
        <v>27</v>
      </c>
      <c r="W30" s="28" t="str">
        <f t="shared" si="0"/>
        <v>27/09/2023</v>
      </c>
      <c r="X30" s="28">
        <f t="shared" si="0"/>
        <v>57180</v>
      </c>
      <c r="Y30" s="28" t="str">
        <f t="shared" si="0"/>
        <v>A3</v>
      </c>
      <c r="Z30" s="5" t="str">
        <f t="shared" si="13"/>
        <v>A3</v>
      </c>
      <c r="AA30" s="5" t="str">
        <f t="shared" si="14"/>
        <v>A3</v>
      </c>
      <c r="AG30" s="29" t="str">
        <f t="shared" si="3"/>
        <v>27/09/2023</v>
      </c>
      <c r="AH30" s="30">
        <f t="shared" si="3"/>
        <v>57180</v>
      </c>
      <c r="AI30" s="4" t="str">
        <f t="shared" si="4"/>
        <v>A3</v>
      </c>
      <c r="AJ30" s="5" t="str">
        <f t="shared" si="15"/>
        <v>A3</v>
      </c>
      <c r="AK30">
        <f t="shared" si="16"/>
        <v>55767.5</v>
      </c>
      <c r="AL30" t="str">
        <f t="shared" si="17"/>
        <v>A3</v>
      </c>
      <c r="AM30">
        <f t="shared" si="18"/>
        <v>55767.5</v>
      </c>
      <c r="AN30" s="6">
        <f t="shared" si="19"/>
        <v>800</v>
      </c>
      <c r="AO30">
        <f t="shared" si="20"/>
        <v>57920</v>
      </c>
      <c r="AP30">
        <f t="shared" si="44"/>
        <v>57120</v>
      </c>
      <c r="AQ30" s="33">
        <f t="shared" si="22"/>
        <v>58320</v>
      </c>
      <c r="AR30" s="33">
        <f t="shared" si="23"/>
        <v>56720</v>
      </c>
      <c r="AS30">
        <f t="shared" si="24"/>
        <v>57720</v>
      </c>
      <c r="AT30" s="5">
        <f t="shared" si="25"/>
        <v>57320</v>
      </c>
      <c r="AU30" s="5">
        <f t="shared" si="26"/>
        <v>59120</v>
      </c>
      <c r="AV30" s="5">
        <f t="shared" si="27"/>
        <v>55920</v>
      </c>
      <c r="AW30" s="5">
        <f t="shared" si="28"/>
        <v>57653.333333333336</v>
      </c>
      <c r="AX30" s="5">
        <f t="shared" si="29"/>
        <v>57386.666666666664</v>
      </c>
      <c r="AY30" s="5">
        <f t="shared" si="30"/>
        <v>59920</v>
      </c>
      <c r="AZ30" s="5">
        <f t="shared" si="31"/>
        <v>55120</v>
      </c>
      <c r="BB30" s="32" t="str">
        <f t="shared" si="5"/>
        <v>27/09/2023</v>
      </c>
      <c r="BC30" s="33">
        <f t="shared" si="5"/>
        <v>57180</v>
      </c>
      <c r="BD30" s="4" t="str">
        <f t="shared" si="5"/>
        <v>A3</v>
      </c>
      <c r="BE30">
        <f t="shared" si="32"/>
        <v>56843.75</v>
      </c>
      <c r="BF30">
        <f t="shared" si="33"/>
        <v>56443.75</v>
      </c>
      <c r="BG30" s="38">
        <f t="shared" si="34"/>
        <v>57043.75</v>
      </c>
      <c r="BH30">
        <f t="shared" si="35"/>
        <v>56243.75</v>
      </c>
      <c r="BI30">
        <f t="shared" si="36"/>
        <v>56743.75</v>
      </c>
      <c r="BJ30">
        <f t="shared" si="37"/>
        <v>56543.75</v>
      </c>
      <c r="BK30">
        <f t="shared" si="38"/>
        <v>57443.75</v>
      </c>
      <c r="BL30">
        <f t="shared" si="39"/>
        <v>55843.75</v>
      </c>
      <c r="BM30">
        <f t="shared" si="40"/>
        <v>56710.416666666672</v>
      </c>
      <c r="BN30">
        <f t="shared" si="41"/>
        <v>56577.083333333328</v>
      </c>
      <c r="BO30">
        <f t="shared" si="42"/>
        <v>57843.75</v>
      </c>
      <c r="BP30">
        <f t="shared" si="43"/>
        <v>55443.75</v>
      </c>
      <c r="BQ30" s="7">
        <f>BG30</f>
        <v>57043.75</v>
      </c>
      <c r="BS30" s="30">
        <f t="shared" si="6"/>
        <v>57180</v>
      </c>
      <c r="BT30" s="4">
        <f t="shared" si="7"/>
        <v>57043.75</v>
      </c>
      <c r="BU30" s="37">
        <f t="shared" si="10"/>
        <v>136.25</v>
      </c>
      <c r="BV30">
        <f t="shared" si="11"/>
        <v>136.25</v>
      </c>
      <c r="BW30" s="35">
        <f t="shared" si="12"/>
        <v>2.3828261629940538E-3</v>
      </c>
    </row>
    <row r="31" spans="1:75">
      <c r="A31" s="1" t="s">
        <v>32</v>
      </c>
      <c r="B31" s="1">
        <v>60850</v>
      </c>
      <c r="Q31">
        <v>28</v>
      </c>
      <c r="R31" s="27" t="str">
        <f t="shared" si="1"/>
        <v>28/09/2023</v>
      </c>
      <c r="S31" s="27">
        <f t="shared" si="1"/>
        <v>56610</v>
      </c>
      <c r="T31" s="4" t="str">
        <f t="shared" si="2"/>
        <v>A3</v>
      </c>
      <c r="V31">
        <v>28</v>
      </c>
      <c r="W31" s="28" t="str">
        <f t="shared" si="0"/>
        <v>28/09/2023</v>
      </c>
      <c r="X31" s="28">
        <f t="shared" si="0"/>
        <v>56610</v>
      </c>
      <c r="Y31" s="28" t="str">
        <f t="shared" si="0"/>
        <v>A3</v>
      </c>
      <c r="Z31" s="5" t="str">
        <f t="shared" si="13"/>
        <v>A3</v>
      </c>
      <c r="AA31" s="5" t="str">
        <f t="shared" si="14"/>
        <v>A3</v>
      </c>
      <c r="AG31" s="29" t="str">
        <f t="shared" si="3"/>
        <v>28/09/2023</v>
      </c>
      <c r="AH31" s="30">
        <f t="shared" si="3"/>
        <v>56610</v>
      </c>
      <c r="AI31" s="4" t="str">
        <f t="shared" si="4"/>
        <v>A3</v>
      </c>
      <c r="AJ31" s="5" t="str">
        <f t="shared" si="15"/>
        <v>A3</v>
      </c>
      <c r="AK31">
        <f t="shared" si="16"/>
        <v>55767.5</v>
      </c>
      <c r="AL31" t="str">
        <f t="shared" si="17"/>
        <v>A3</v>
      </c>
      <c r="AM31">
        <f t="shared" si="18"/>
        <v>55767.5</v>
      </c>
      <c r="AN31" s="6">
        <f t="shared" si="19"/>
        <v>90</v>
      </c>
      <c r="AO31">
        <f t="shared" si="20"/>
        <v>57225</v>
      </c>
      <c r="AP31">
        <f t="shared" si="44"/>
        <v>57135</v>
      </c>
      <c r="AQ31" s="33">
        <f t="shared" si="22"/>
        <v>57270</v>
      </c>
      <c r="AR31" s="33">
        <f t="shared" si="23"/>
        <v>57090</v>
      </c>
      <c r="AS31">
        <f t="shared" si="24"/>
        <v>57202.5</v>
      </c>
      <c r="AT31" s="5">
        <f t="shared" si="25"/>
        <v>57157.5</v>
      </c>
      <c r="AU31" s="5">
        <f t="shared" si="26"/>
        <v>57360</v>
      </c>
      <c r="AV31" s="5">
        <f t="shared" si="27"/>
        <v>57000</v>
      </c>
      <c r="AW31" s="5">
        <f t="shared" si="28"/>
        <v>57195</v>
      </c>
      <c r="AX31" s="5">
        <f t="shared" si="29"/>
        <v>57165</v>
      </c>
      <c r="AY31" s="5">
        <f t="shared" si="30"/>
        <v>57450</v>
      </c>
      <c r="AZ31" s="5">
        <f t="shared" si="31"/>
        <v>56910</v>
      </c>
      <c r="BB31" s="32" t="str">
        <f t="shared" si="5"/>
        <v>28/09/2023</v>
      </c>
      <c r="BC31" s="33">
        <f t="shared" si="5"/>
        <v>56610</v>
      </c>
      <c r="BD31" s="4" t="str">
        <f t="shared" si="5"/>
        <v>A3</v>
      </c>
      <c r="BE31">
        <f t="shared" si="32"/>
        <v>56496.25</v>
      </c>
      <c r="BF31">
        <f t="shared" si="33"/>
        <v>56451.25</v>
      </c>
      <c r="BG31">
        <f t="shared" si="34"/>
        <v>56518.75</v>
      </c>
      <c r="BH31">
        <f t="shared" si="35"/>
        <v>56428.75</v>
      </c>
      <c r="BI31">
        <f t="shared" si="36"/>
        <v>56485</v>
      </c>
      <c r="BJ31">
        <f t="shared" si="37"/>
        <v>56462.5</v>
      </c>
      <c r="BK31">
        <f t="shared" si="38"/>
        <v>56563.75</v>
      </c>
      <c r="BL31">
        <f t="shared" si="39"/>
        <v>56383.75</v>
      </c>
      <c r="BM31">
        <f t="shared" si="40"/>
        <v>56481.25</v>
      </c>
      <c r="BN31">
        <f t="shared" si="41"/>
        <v>56466.25</v>
      </c>
      <c r="BO31" s="38">
        <f t="shared" si="42"/>
        <v>56608.75</v>
      </c>
      <c r="BP31">
        <f t="shared" si="43"/>
        <v>56338.75</v>
      </c>
      <c r="BQ31" s="7">
        <f>BO31</f>
        <v>56608.75</v>
      </c>
      <c r="BS31" s="30">
        <f t="shared" si="6"/>
        <v>56610</v>
      </c>
      <c r="BT31" s="4">
        <f t="shared" si="7"/>
        <v>56608.75</v>
      </c>
      <c r="BU31" s="37">
        <f t="shared" si="10"/>
        <v>1.25</v>
      </c>
      <c r="BV31">
        <f t="shared" si="11"/>
        <v>1.25</v>
      </c>
      <c r="BW31" s="35">
        <f t="shared" si="12"/>
        <v>2.2080904433845612E-5</v>
      </c>
    </row>
    <row r="32" spans="1:75">
      <c r="A32" s="1" t="s">
        <v>33</v>
      </c>
      <c r="B32" s="1">
        <v>59170</v>
      </c>
      <c r="Q32">
        <v>29</v>
      </c>
      <c r="R32" s="27" t="str">
        <f t="shared" si="1"/>
        <v>29/09/2023</v>
      </c>
      <c r="S32" s="27">
        <f t="shared" si="1"/>
        <v>59040</v>
      </c>
      <c r="T32" s="4" t="str">
        <f t="shared" si="2"/>
        <v>A4</v>
      </c>
      <c r="V32">
        <v>29</v>
      </c>
      <c r="W32" s="28" t="str">
        <f t="shared" si="0"/>
        <v>29/09/2023</v>
      </c>
      <c r="X32" s="28">
        <f t="shared" si="0"/>
        <v>59040</v>
      </c>
      <c r="Y32" s="28" t="str">
        <f t="shared" si="0"/>
        <v>A4</v>
      </c>
      <c r="Z32" s="5" t="str">
        <f t="shared" si="13"/>
        <v>A3</v>
      </c>
      <c r="AA32" s="5" t="str">
        <f t="shared" si="14"/>
        <v>A3</v>
      </c>
      <c r="AG32" s="29" t="str">
        <f t="shared" si="3"/>
        <v>29/09/2023</v>
      </c>
      <c r="AH32" s="30">
        <f t="shared" si="3"/>
        <v>59040</v>
      </c>
      <c r="AI32" s="4" t="str">
        <f t="shared" si="4"/>
        <v>A4</v>
      </c>
      <c r="AJ32" s="5" t="str">
        <f t="shared" si="15"/>
        <v>A3</v>
      </c>
      <c r="AK32">
        <f t="shared" si="16"/>
        <v>55767.5</v>
      </c>
      <c r="AL32" t="str">
        <f t="shared" si="17"/>
        <v>A3</v>
      </c>
      <c r="AM32">
        <f t="shared" si="18"/>
        <v>55767.5</v>
      </c>
      <c r="AN32" s="6">
        <f t="shared" si="19"/>
        <v>230</v>
      </c>
      <c r="AO32">
        <f t="shared" si="20"/>
        <v>56725</v>
      </c>
      <c r="AP32">
        <f t="shared" si="44"/>
        <v>56495</v>
      </c>
      <c r="AQ32" s="33">
        <f t="shared" si="22"/>
        <v>56840</v>
      </c>
      <c r="AR32" s="33">
        <f t="shared" si="23"/>
        <v>56380</v>
      </c>
      <c r="AS32">
        <f t="shared" si="24"/>
        <v>56667.5</v>
      </c>
      <c r="AT32" s="5">
        <f t="shared" si="25"/>
        <v>56552.5</v>
      </c>
      <c r="AU32" s="5">
        <f t="shared" si="26"/>
        <v>57070</v>
      </c>
      <c r="AV32" s="5">
        <f t="shared" si="27"/>
        <v>56150</v>
      </c>
      <c r="AW32" s="5">
        <f t="shared" si="28"/>
        <v>56648.333333333336</v>
      </c>
      <c r="AX32" s="5">
        <f t="shared" si="29"/>
        <v>56571.666666666664</v>
      </c>
      <c r="AY32" s="5">
        <f t="shared" si="30"/>
        <v>57300</v>
      </c>
      <c r="AZ32" s="5">
        <f t="shared" si="31"/>
        <v>55920</v>
      </c>
      <c r="BB32" s="32" t="str">
        <f t="shared" si="5"/>
        <v>29/09/2023</v>
      </c>
      <c r="BC32" s="33">
        <f t="shared" si="5"/>
        <v>59040</v>
      </c>
      <c r="BD32" s="4" t="str">
        <f t="shared" si="5"/>
        <v>A4</v>
      </c>
      <c r="BE32">
        <f t="shared" si="32"/>
        <v>56246.25</v>
      </c>
      <c r="BF32">
        <f t="shared" si="33"/>
        <v>56131.25</v>
      </c>
      <c r="BG32">
        <f t="shared" si="34"/>
        <v>56303.75</v>
      </c>
      <c r="BH32">
        <f t="shared" si="35"/>
        <v>56073.75</v>
      </c>
      <c r="BI32">
        <f t="shared" si="36"/>
        <v>56217.5</v>
      </c>
      <c r="BJ32">
        <f t="shared" si="37"/>
        <v>56160</v>
      </c>
      <c r="BK32" s="38">
        <f t="shared" si="38"/>
        <v>56418.75</v>
      </c>
      <c r="BL32">
        <f t="shared" si="39"/>
        <v>55958.75</v>
      </c>
      <c r="BM32">
        <f t="shared" si="40"/>
        <v>56207.916666666672</v>
      </c>
      <c r="BN32">
        <f t="shared" si="41"/>
        <v>56169.583333333328</v>
      </c>
      <c r="BO32">
        <f t="shared" si="42"/>
        <v>56533.75</v>
      </c>
      <c r="BP32">
        <f t="shared" si="43"/>
        <v>55843.75</v>
      </c>
      <c r="BQ32" s="7">
        <f>BK32</f>
        <v>56418.75</v>
      </c>
      <c r="BS32" s="30">
        <f t="shared" si="6"/>
        <v>59040</v>
      </c>
      <c r="BT32" s="4">
        <f t="shared" si="7"/>
        <v>56418.75</v>
      </c>
      <c r="BU32" s="37">
        <f t="shared" si="10"/>
        <v>2621.25</v>
      </c>
      <c r="BV32">
        <f t="shared" si="11"/>
        <v>2621.25</v>
      </c>
      <c r="BW32" s="35">
        <f t="shared" si="12"/>
        <v>4.4397865853658534E-2</v>
      </c>
    </row>
    <row r="33" spans="1:75">
      <c r="A33" s="1" t="s">
        <v>34</v>
      </c>
      <c r="B33" s="1">
        <v>59780</v>
      </c>
      <c r="Q33">
        <v>30</v>
      </c>
      <c r="R33" s="27" t="str">
        <f t="shared" si="1"/>
        <v>30/09/2023</v>
      </c>
      <c r="S33" s="27">
        <f t="shared" si="1"/>
        <v>60850</v>
      </c>
      <c r="T33" s="4" t="str">
        <f t="shared" si="2"/>
        <v>A4</v>
      </c>
      <c r="V33">
        <v>30</v>
      </c>
      <c r="W33" s="28" t="str">
        <f t="shared" si="0"/>
        <v>30/09/2023</v>
      </c>
      <c r="X33" s="28">
        <f t="shared" si="0"/>
        <v>60850</v>
      </c>
      <c r="Y33" s="28" t="str">
        <f t="shared" si="0"/>
        <v>A4</v>
      </c>
      <c r="Z33" s="5" t="str">
        <f t="shared" si="13"/>
        <v>A3</v>
      </c>
      <c r="AA33" s="5" t="str">
        <f t="shared" si="14"/>
        <v>A4</v>
      </c>
      <c r="AG33" s="29" t="str">
        <f t="shared" si="3"/>
        <v>30/09/2023</v>
      </c>
      <c r="AH33" s="30">
        <f t="shared" si="3"/>
        <v>60850</v>
      </c>
      <c r="AI33" s="4" t="str">
        <f t="shared" si="4"/>
        <v>A4</v>
      </c>
      <c r="AJ33" s="5" t="str">
        <f t="shared" si="15"/>
        <v>A3</v>
      </c>
      <c r="AK33">
        <f t="shared" si="16"/>
        <v>55767.5</v>
      </c>
      <c r="AL33" t="str">
        <f t="shared" si="17"/>
        <v>A4</v>
      </c>
      <c r="AM33">
        <f t="shared" si="18"/>
        <v>61798.5</v>
      </c>
      <c r="AN33" s="6">
        <f t="shared" si="19"/>
        <v>1860</v>
      </c>
      <c r="AO33">
        <f t="shared" si="20"/>
        <v>59970</v>
      </c>
      <c r="AP33">
        <f t="shared" si="44"/>
        <v>58110</v>
      </c>
      <c r="AQ33" s="33">
        <f t="shared" si="22"/>
        <v>60900</v>
      </c>
      <c r="AR33" s="33">
        <f t="shared" si="23"/>
        <v>57180</v>
      </c>
      <c r="AS33">
        <f t="shared" si="24"/>
        <v>59505</v>
      </c>
      <c r="AT33" s="5">
        <f t="shared" si="25"/>
        <v>58575</v>
      </c>
      <c r="AU33" s="5">
        <f t="shared" si="26"/>
        <v>62760</v>
      </c>
      <c r="AV33" s="5">
        <f t="shared" si="27"/>
        <v>55320</v>
      </c>
      <c r="AW33" s="5">
        <f t="shared" si="28"/>
        <v>59350</v>
      </c>
      <c r="AX33" s="5">
        <f t="shared" si="29"/>
        <v>58730</v>
      </c>
      <c r="AY33" s="5">
        <f t="shared" si="30"/>
        <v>64620</v>
      </c>
      <c r="AZ33" s="5">
        <f t="shared" si="31"/>
        <v>53460</v>
      </c>
      <c r="BB33" s="32" t="str">
        <f t="shared" si="5"/>
        <v>30/09/2023</v>
      </c>
      <c r="BC33" s="33">
        <f t="shared" si="5"/>
        <v>60850</v>
      </c>
      <c r="BD33" s="4" t="str">
        <f t="shared" si="5"/>
        <v>A4</v>
      </c>
      <c r="BE33" s="38">
        <f t="shared" si="32"/>
        <v>60884.25</v>
      </c>
      <c r="BF33">
        <f t="shared" si="33"/>
        <v>59954.25</v>
      </c>
      <c r="BG33">
        <f t="shared" si="34"/>
        <v>61349.25</v>
      </c>
      <c r="BH33">
        <f t="shared" si="35"/>
        <v>59489.25</v>
      </c>
      <c r="BI33">
        <f t="shared" si="36"/>
        <v>60651.75</v>
      </c>
      <c r="BJ33">
        <f t="shared" si="37"/>
        <v>60186.75</v>
      </c>
      <c r="BK33">
        <f t="shared" si="38"/>
        <v>62279.25</v>
      </c>
      <c r="BL33">
        <f t="shared" si="39"/>
        <v>58559.25</v>
      </c>
      <c r="BM33">
        <f t="shared" si="40"/>
        <v>60574.25</v>
      </c>
      <c r="BN33">
        <f t="shared" si="41"/>
        <v>60264.25</v>
      </c>
      <c r="BO33">
        <f t="shared" si="42"/>
        <v>63209.25</v>
      </c>
      <c r="BP33">
        <f t="shared" si="43"/>
        <v>57629.25</v>
      </c>
      <c r="BQ33" s="7">
        <f>BE33</f>
        <v>60884.25</v>
      </c>
      <c r="BS33" s="30">
        <f t="shared" si="6"/>
        <v>60850</v>
      </c>
      <c r="BT33" s="4">
        <f t="shared" si="7"/>
        <v>60884.25</v>
      </c>
      <c r="BU33" s="37">
        <f t="shared" si="10"/>
        <v>-34.25</v>
      </c>
      <c r="BV33">
        <f t="shared" si="11"/>
        <v>34.25</v>
      </c>
      <c r="BW33" s="35">
        <f t="shared" si="12"/>
        <v>5.6285949055053408E-4</v>
      </c>
    </row>
    <row r="34" spans="1:75">
      <c r="A34" s="1" t="s">
        <v>35</v>
      </c>
      <c r="B34" s="1">
        <v>60060</v>
      </c>
      <c r="Q34">
        <v>31</v>
      </c>
      <c r="R34" s="27" t="str">
        <f t="shared" si="1"/>
        <v>01/10/2023</v>
      </c>
      <c r="S34" s="27">
        <f t="shared" si="1"/>
        <v>59170</v>
      </c>
      <c r="T34" s="4" t="str">
        <f t="shared" si="2"/>
        <v>A4</v>
      </c>
      <c r="V34">
        <v>31</v>
      </c>
      <c r="W34" s="28" t="str">
        <f t="shared" si="0"/>
        <v>01/10/2023</v>
      </c>
      <c r="X34" s="28">
        <f t="shared" si="0"/>
        <v>59170</v>
      </c>
      <c r="Y34" s="28" t="str">
        <f t="shared" si="0"/>
        <v>A4</v>
      </c>
      <c r="Z34" s="5" t="str">
        <f t="shared" si="13"/>
        <v>A4</v>
      </c>
      <c r="AA34" s="5" t="str">
        <f t="shared" si="14"/>
        <v>A4</v>
      </c>
      <c r="AG34" s="29" t="str">
        <f t="shared" si="3"/>
        <v>01/10/2023</v>
      </c>
      <c r="AH34" s="30">
        <f t="shared" si="3"/>
        <v>59170</v>
      </c>
      <c r="AI34" s="4" t="str">
        <f t="shared" si="4"/>
        <v>A4</v>
      </c>
      <c r="AJ34" s="5" t="str">
        <f t="shared" si="15"/>
        <v>A4</v>
      </c>
      <c r="AK34">
        <f t="shared" si="16"/>
        <v>61798.5</v>
      </c>
      <c r="AL34" t="str">
        <f t="shared" si="17"/>
        <v>A4</v>
      </c>
      <c r="AM34">
        <f t="shared" si="18"/>
        <v>61798.5</v>
      </c>
      <c r="AN34" s="6">
        <f t="shared" si="19"/>
        <v>620</v>
      </c>
      <c r="AO34">
        <f t="shared" si="20"/>
        <v>61160</v>
      </c>
      <c r="AP34">
        <f t="shared" si="44"/>
        <v>60540</v>
      </c>
      <c r="AQ34" s="33">
        <f t="shared" si="22"/>
        <v>61470</v>
      </c>
      <c r="AR34" s="33">
        <f t="shared" si="23"/>
        <v>60230</v>
      </c>
      <c r="AS34">
        <f t="shared" si="24"/>
        <v>61005</v>
      </c>
      <c r="AT34" s="5">
        <f t="shared" si="25"/>
        <v>60695</v>
      </c>
      <c r="AU34" s="5">
        <f t="shared" si="26"/>
        <v>62090</v>
      </c>
      <c r="AV34" s="5">
        <f t="shared" si="27"/>
        <v>59610</v>
      </c>
      <c r="AW34" s="5">
        <f t="shared" si="28"/>
        <v>60953.333333333336</v>
      </c>
      <c r="AX34" s="5">
        <f t="shared" si="29"/>
        <v>60746.666666666664</v>
      </c>
      <c r="AY34" s="5">
        <f t="shared" si="30"/>
        <v>62710</v>
      </c>
      <c r="AZ34" s="5">
        <f t="shared" si="31"/>
        <v>58990</v>
      </c>
      <c r="BB34" s="32" t="str">
        <f t="shared" si="5"/>
        <v>01/10/2023</v>
      </c>
      <c r="BC34" s="33">
        <f t="shared" si="5"/>
        <v>59170</v>
      </c>
      <c r="BD34" s="4" t="str">
        <f t="shared" si="5"/>
        <v>A4</v>
      </c>
      <c r="BE34">
        <f t="shared" si="32"/>
        <v>61479.25</v>
      </c>
      <c r="BF34">
        <f t="shared" si="33"/>
        <v>61169.25</v>
      </c>
      <c r="BG34">
        <f t="shared" si="34"/>
        <v>61634.25</v>
      </c>
      <c r="BH34">
        <f t="shared" si="35"/>
        <v>61014.25</v>
      </c>
      <c r="BI34">
        <f t="shared" si="36"/>
        <v>61401.75</v>
      </c>
      <c r="BJ34">
        <f t="shared" si="37"/>
        <v>61246.75</v>
      </c>
      <c r="BK34">
        <f t="shared" si="38"/>
        <v>61944.25</v>
      </c>
      <c r="BL34">
        <f t="shared" si="39"/>
        <v>60704.25</v>
      </c>
      <c r="BM34">
        <f t="shared" si="40"/>
        <v>61375.916666666672</v>
      </c>
      <c r="BN34">
        <f t="shared" si="41"/>
        <v>61272.583333333328</v>
      </c>
      <c r="BO34">
        <f t="shared" si="42"/>
        <v>62254.25</v>
      </c>
      <c r="BP34" s="38">
        <f t="shared" si="43"/>
        <v>60394.25</v>
      </c>
      <c r="BQ34" s="7">
        <f>BP34</f>
        <v>60394.25</v>
      </c>
      <c r="BS34" s="30">
        <f t="shared" si="6"/>
        <v>59170</v>
      </c>
      <c r="BT34" s="4">
        <f t="shared" si="7"/>
        <v>60394.25</v>
      </c>
      <c r="BU34" s="37">
        <f t="shared" si="10"/>
        <v>-1224.25</v>
      </c>
      <c r="BV34">
        <f t="shared" si="11"/>
        <v>1224.25</v>
      </c>
      <c r="BW34" s="35">
        <f t="shared" si="12"/>
        <v>2.069038364035829E-2</v>
      </c>
    </row>
    <row r="35" spans="1:75">
      <c r="A35" s="1" t="s">
        <v>36</v>
      </c>
      <c r="B35" s="1">
        <v>61520</v>
      </c>
      <c r="Q35">
        <v>32</v>
      </c>
      <c r="R35" s="27" t="str">
        <f t="shared" si="1"/>
        <v>02/10/2023</v>
      </c>
      <c r="S35" s="27">
        <f t="shared" si="1"/>
        <v>59780</v>
      </c>
      <c r="T35" s="4" t="str">
        <f t="shared" si="2"/>
        <v>A4</v>
      </c>
      <c r="V35">
        <v>32</v>
      </c>
      <c r="W35" s="28" t="str">
        <f t="shared" si="0"/>
        <v>02/10/2023</v>
      </c>
      <c r="X35" s="28">
        <f t="shared" si="0"/>
        <v>59780</v>
      </c>
      <c r="Y35" s="28" t="str">
        <f t="shared" si="0"/>
        <v>A4</v>
      </c>
      <c r="Z35" s="5" t="str">
        <f t="shared" si="13"/>
        <v>A4</v>
      </c>
      <c r="AA35" s="5" t="str">
        <f t="shared" si="14"/>
        <v>A4</v>
      </c>
      <c r="AG35" s="29" t="str">
        <f t="shared" si="3"/>
        <v>02/10/2023</v>
      </c>
      <c r="AH35" s="30">
        <f t="shared" si="3"/>
        <v>59780</v>
      </c>
      <c r="AI35" s="4" t="str">
        <f t="shared" si="4"/>
        <v>A4</v>
      </c>
      <c r="AJ35" s="5" t="str">
        <f t="shared" si="15"/>
        <v>A4</v>
      </c>
      <c r="AK35">
        <f t="shared" si="16"/>
        <v>61798.5</v>
      </c>
      <c r="AL35" t="str">
        <f t="shared" si="17"/>
        <v>A4</v>
      </c>
      <c r="AM35">
        <f t="shared" si="18"/>
        <v>61798.5</v>
      </c>
      <c r="AN35" s="6">
        <f t="shared" si="19"/>
        <v>130</v>
      </c>
      <c r="AO35">
        <f t="shared" si="20"/>
        <v>59235</v>
      </c>
      <c r="AP35">
        <f t="shared" si="44"/>
        <v>59105</v>
      </c>
      <c r="AQ35" s="33">
        <f t="shared" si="22"/>
        <v>59300</v>
      </c>
      <c r="AR35" s="33">
        <f t="shared" si="23"/>
        <v>59040</v>
      </c>
      <c r="AS35">
        <f t="shared" si="24"/>
        <v>59202.5</v>
      </c>
      <c r="AT35" s="5">
        <f t="shared" si="25"/>
        <v>59137.5</v>
      </c>
      <c r="AU35" s="5">
        <f t="shared" si="26"/>
        <v>59430</v>
      </c>
      <c r="AV35" s="5">
        <f t="shared" si="27"/>
        <v>58910</v>
      </c>
      <c r="AW35" s="5">
        <f t="shared" si="28"/>
        <v>59191.666666666664</v>
      </c>
      <c r="AX35" s="5">
        <f t="shared" si="29"/>
        <v>59148.333333333336</v>
      </c>
      <c r="AY35" s="5">
        <f t="shared" si="30"/>
        <v>59560</v>
      </c>
      <c r="AZ35" s="5">
        <f t="shared" si="31"/>
        <v>58780</v>
      </c>
      <c r="BB35" s="32" t="str">
        <f t="shared" si="5"/>
        <v>02/10/2023</v>
      </c>
      <c r="BC35" s="33">
        <f t="shared" si="5"/>
        <v>59780</v>
      </c>
      <c r="BD35" s="4" t="str">
        <f t="shared" si="5"/>
        <v>A4</v>
      </c>
      <c r="BE35">
        <f t="shared" si="32"/>
        <v>60516.75</v>
      </c>
      <c r="BF35">
        <f t="shared" si="33"/>
        <v>60451.75</v>
      </c>
      <c r="BG35">
        <f t="shared" si="34"/>
        <v>60549.25</v>
      </c>
      <c r="BH35">
        <f t="shared" si="35"/>
        <v>60419.25</v>
      </c>
      <c r="BI35">
        <f t="shared" si="36"/>
        <v>60500.5</v>
      </c>
      <c r="BJ35">
        <f t="shared" si="37"/>
        <v>60468</v>
      </c>
      <c r="BK35">
        <f t="shared" si="38"/>
        <v>60614.25</v>
      </c>
      <c r="BL35" s="40">
        <f t="shared" si="39"/>
        <v>60354.25</v>
      </c>
      <c r="BM35">
        <f t="shared" si="40"/>
        <v>60495.083333333328</v>
      </c>
      <c r="BN35">
        <f t="shared" si="41"/>
        <v>60473.416666666672</v>
      </c>
      <c r="BO35">
        <f t="shared" si="42"/>
        <v>60679.25</v>
      </c>
      <c r="BP35" s="38">
        <f t="shared" si="43"/>
        <v>60289.25</v>
      </c>
      <c r="BQ35" s="7">
        <f>BP35</f>
        <v>60289.25</v>
      </c>
      <c r="BS35" s="30">
        <f t="shared" si="6"/>
        <v>59780</v>
      </c>
      <c r="BT35" s="4">
        <f t="shared" si="7"/>
        <v>60289.25</v>
      </c>
      <c r="BU35" s="37">
        <f t="shared" si="10"/>
        <v>-509.25</v>
      </c>
      <c r="BV35">
        <f t="shared" si="11"/>
        <v>509.25</v>
      </c>
      <c r="BW35" s="35">
        <f t="shared" si="12"/>
        <v>8.5187353629976575E-3</v>
      </c>
    </row>
    <row r="36" spans="1:75">
      <c r="A36" s="1" t="s">
        <v>37</v>
      </c>
      <c r="B36" s="1">
        <v>64300</v>
      </c>
      <c r="Q36">
        <v>33</v>
      </c>
      <c r="R36" s="27" t="str">
        <f t="shared" si="1"/>
        <v>03/10/2023</v>
      </c>
      <c r="S36" s="27">
        <f t="shared" si="1"/>
        <v>60060</v>
      </c>
      <c r="T36" s="4" t="str">
        <f t="shared" si="2"/>
        <v>A4</v>
      </c>
      <c r="V36">
        <v>33</v>
      </c>
      <c r="W36" s="28" t="str">
        <f t="shared" si="0"/>
        <v>03/10/2023</v>
      </c>
      <c r="X36" s="28">
        <f t="shared" si="0"/>
        <v>60060</v>
      </c>
      <c r="Y36" s="28" t="str">
        <f t="shared" si="0"/>
        <v>A4</v>
      </c>
      <c r="Z36" s="5" t="str">
        <f t="shared" si="13"/>
        <v>A4</v>
      </c>
      <c r="AA36" s="5" t="str">
        <f t="shared" si="14"/>
        <v>A4</v>
      </c>
      <c r="AG36" s="29" t="str">
        <f t="shared" si="3"/>
        <v>03/10/2023</v>
      </c>
      <c r="AH36" s="30">
        <f t="shared" si="3"/>
        <v>60060</v>
      </c>
      <c r="AI36" s="4" t="str">
        <f t="shared" si="4"/>
        <v>A4</v>
      </c>
      <c r="AJ36" s="5" t="str">
        <f t="shared" si="15"/>
        <v>A4</v>
      </c>
      <c r="AK36">
        <f t="shared" si="16"/>
        <v>61798.5</v>
      </c>
      <c r="AL36" t="str">
        <f t="shared" si="17"/>
        <v>A4</v>
      </c>
      <c r="AM36">
        <f t="shared" si="18"/>
        <v>61798.5</v>
      </c>
      <c r="AN36" s="6">
        <f t="shared" si="19"/>
        <v>1070</v>
      </c>
      <c r="AO36">
        <f t="shared" si="20"/>
        <v>60315</v>
      </c>
      <c r="AP36">
        <f t="shared" si="44"/>
        <v>59245</v>
      </c>
      <c r="AQ36" s="33">
        <f t="shared" si="22"/>
        <v>60850</v>
      </c>
      <c r="AR36" s="33">
        <f t="shared" si="23"/>
        <v>58710</v>
      </c>
      <c r="AS36">
        <f t="shared" si="24"/>
        <v>60047.5</v>
      </c>
      <c r="AT36" s="5">
        <f t="shared" si="25"/>
        <v>59512.5</v>
      </c>
      <c r="AU36" s="5">
        <f t="shared" si="26"/>
        <v>61920</v>
      </c>
      <c r="AV36" s="5">
        <f t="shared" si="27"/>
        <v>57640</v>
      </c>
      <c r="AW36" s="5">
        <f t="shared" si="28"/>
        <v>59958.333333333336</v>
      </c>
      <c r="AX36" s="5">
        <f t="shared" si="29"/>
        <v>59601.666666666664</v>
      </c>
      <c r="AY36" s="5">
        <f t="shared" si="30"/>
        <v>62990</v>
      </c>
      <c r="AZ36" s="5">
        <f t="shared" si="31"/>
        <v>56570</v>
      </c>
      <c r="BB36" s="32" t="str">
        <f t="shared" si="5"/>
        <v>03/10/2023</v>
      </c>
      <c r="BC36" s="33">
        <f t="shared" si="5"/>
        <v>60060</v>
      </c>
      <c r="BD36" s="4" t="str">
        <f t="shared" si="5"/>
        <v>A4</v>
      </c>
      <c r="BE36">
        <f t="shared" si="32"/>
        <v>61056.75</v>
      </c>
      <c r="BF36">
        <f t="shared" si="33"/>
        <v>60521.75</v>
      </c>
      <c r="BG36">
        <f t="shared" si="34"/>
        <v>61324.25</v>
      </c>
      <c r="BH36">
        <f t="shared" si="35"/>
        <v>60254.25</v>
      </c>
      <c r="BI36">
        <f t="shared" si="36"/>
        <v>60923</v>
      </c>
      <c r="BJ36" s="40">
        <f t="shared" si="37"/>
        <v>60655.5</v>
      </c>
      <c r="BK36">
        <f t="shared" si="38"/>
        <v>61859.25</v>
      </c>
      <c r="BL36" s="38">
        <f t="shared" si="39"/>
        <v>59719.25</v>
      </c>
      <c r="BM36">
        <f t="shared" si="40"/>
        <v>60878.416666666672</v>
      </c>
      <c r="BN36">
        <f t="shared" si="41"/>
        <v>60700.083333333328</v>
      </c>
      <c r="BO36">
        <f t="shared" si="42"/>
        <v>62394.25</v>
      </c>
      <c r="BP36">
        <f t="shared" si="43"/>
        <v>59184.25</v>
      </c>
      <c r="BQ36" s="7">
        <f>BL36</f>
        <v>59719.25</v>
      </c>
      <c r="BS36" s="30">
        <f t="shared" si="6"/>
        <v>60060</v>
      </c>
      <c r="BT36" s="4">
        <f t="shared" si="7"/>
        <v>59719.25</v>
      </c>
      <c r="BU36" s="37">
        <f t="shared" si="10"/>
        <v>340.75</v>
      </c>
      <c r="BV36">
        <f t="shared" si="11"/>
        <v>340.75</v>
      </c>
      <c r="BW36" s="35">
        <f t="shared" si="12"/>
        <v>5.6734931734931738E-3</v>
      </c>
    </row>
    <row r="37" spans="1:75">
      <c r="A37" s="1" t="s">
        <v>38</v>
      </c>
      <c r="B37" s="1">
        <v>66000</v>
      </c>
      <c r="Q37">
        <v>34</v>
      </c>
      <c r="R37" s="27" t="str">
        <f t="shared" si="1"/>
        <v>04/10/2023</v>
      </c>
      <c r="S37" s="27">
        <f t="shared" si="1"/>
        <v>61520</v>
      </c>
      <c r="T37" s="4" t="str">
        <f t="shared" si="2"/>
        <v>A4</v>
      </c>
      <c r="V37">
        <v>34</v>
      </c>
      <c r="W37" s="28" t="str">
        <f t="shared" si="0"/>
        <v>04/10/2023</v>
      </c>
      <c r="X37" s="28">
        <f t="shared" si="0"/>
        <v>61520</v>
      </c>
      <c r="Y37" s="28" t="str">
        <f t="shared" si="0"/>
        <v>A4</v>
      </c>
      <c r="Z37" s="5" t="str">
        <f t="shared" si="13"/>
        <v>A4</v>
      </c>
      <c r="AA37" s="5" t="str">
        <f t="shared" si="14"/>
        <v>A4</v>
      </c>
      <c r="AG37" s="29" t="str">
        <f t="shared" si="3"/>
        <v>04/10/2023</v>
      </c>
      <c r="AH37" s="30">
        <f t="shared" si="3"/>
        <v>61520</v>
      </c>
      <c r="AI37" s="4" t="str">
        <f t="shared" si="4"/>
        <v>A4</v>
      </c>
      <c r="AJ37" s="5" t="str">
        <f t="shared" si="15"/>
        <v>A4</v>
      </c>
      <c r="AK37">
        <f t="shared" si="16"/>
        <v>61798.5</v>
      </c>
      <c r="AL37" t="str">
        <f t="shared" si="17"/>
        <v>A4</v>
      </c>
      <c r="AM37">
        <f t="shared" si="18"/>
        <v>61798.5</v>
      </c>
      <c r="AN37" s="6">
        <f t="shared" si="19"/>
        <v>330</v>
      </c>
      <c r="AO37">
        <f t="shared" si="20"/>
        <v>60225</v>
      </c>
      <c r="AP37">
        <f t="shared" si="44"/>
        <v>59895</v>
      </c>
      <c r="AQ37" s="33">
        <f t="shared" si="22"/>
        <v>60390</v>
      </c>
      <c r="AR37" s="33">
        <f t="shared" si="23"/>
        <v>59730</v>
      </c>
      <c r="AS37">
        <f t="shared" si="24"/>
        <v>60142.5</v>
      </c>
      <c r="AT37" s="5">
        <f t="shared" si="25"/>
        <v>59977.5</v>
      </c>
      <c r="AU37" s="5">
        <f t="shared" si="26"/>
        <v>60720</v>
      </c>
      <c r="AV37" s="5">
        <f t="shared" si="27"/>
        <v>59400</v>
      </c>
      <c r="AW37" s="5">
        <f t="shared" si="28"/>
        <v>60115</v>
      </c>
      <c r="AX37" s="5">
        <f t="shared" si="29"/>
        <v>60005</v>
      </c>
      <c r="AY37" s="5">
        <f t="shared" si="30"/>
        <v>61050</v>
      </c>
      <c r="AZ37" s="5">
        <f t="shared" si="31"/>
        <v>59070</v>
      </c>
      <c r="BB37" s="32" t="str">
        <f t="shared" si="5"/>
        <v>04/10/2023</v>
      </c>
      <c r="BC37" s="33">
        <f t="shared" si="5"/>
        <v>61520</v>
      </c>
      <c r="BD37" s="4" t="str">
        <f t="shared" si="5"/>
        <v>A4</v>
      </c>
      <c r="BE37">
        <f t="shared" si="32"/>
        <v>61011.75</v>
      </c>
      <c r="BF37">
        <f t="shared" si="33"/>
        <v>60846.75</v>
      </c>
      <c r="BG37">
        <f t="shared" si="34"/>
        <v>61094.25</v>
      </c>
      <c r="BH37">
        <f t="shared" si="35"/>
        <v>60764.25</v>
      </c>
      <c r="BI37">
        <f t="shared" si="36"/>
        <v>60970.5</v>
      </c>
      <c r="BJ37">
        <f t="shared" si="37"/>
        <v>60888</v>
      </c>
      <c r="BK37">
        <f t="shared" si="38"/>
        <v>61259.25</v>
      </c>
      <c r="BL37">
        <f t="shared" si="39"/>
        <v>60599.25</v>
      </c>
      <c r="BM37">
        <f t="shared" si="40"/>
        <v>60956.75</v>
      </c>
      <c r="BN37">
        <f t="shared" si="41"/>
        <v>60901.75</v>
      </c>
      <c r="BO37" s="38">
        <f t="shared" si="42"/>
        <v>61424.25</v>
      </c>
      <c r="BP37">
        <f t="shared" si="43"/>
        <v>60434.25</v>
      </c>
      <c r="BQ37" s="7">
        <f>BO37</f>
        <v>61424.25</v>
      </c>
      <c r="BS37" s="30">
        <f t="shared" si="6"/>
        <v>61520</v>
      </c>
      <c r="BT37" s="4">
        <f t="shared" si="7"/>
        <v>61424.25</v>
      </c>
      <c r="BU37" s="37">
        <f t="shared" si="10"/>
        <v>95.75</v>
      </c>
      <c r="BV37">
        <f t="shared" si="11"/>
        <v>95.75</v>
      </c>
      <c r="BW37" s="35">
        <f t="shared" si="12"/>
        <v>1.556404421326398E-3</v>
      </c>
    </row>
    <row r="38" spans="1:75">
      <c r="A38" s="1" t="s">
        <v>39</v>
      </c>
      <c r="B38" s="1">
        <v>66700</v>
      </c>
      <c r="Q38">
        <v>35</v>
      </c>
      <c r="R38" s="27" t="str">
        <f t="shared" si="1"/>
        <v>05/10/2023</v>
      </c>
      <c r="S38" s="27">
        <f t="shared" si="1"/>
        <v>64300</v>
      </c>
      <c r="T38" s="4" t="str">
        <f t="shared" si="2"/>
        <v>A4</v>
      </c>
      <c r="V38">
        <v>35</v>
      </c>
      <c r="W38" s="28" t="str">
        <f t="shared" si="0"/>
        <v>05/10/2023</v>
      </c>
      <c r="X38" s="28">
        <f t="shared" si="0"/>
        <v>64300</v>
      </c>
      <c r="Y38" s="28" t="str">
        <f t="shared" si="0"/>
        <v>A4</v>
      </c>
      <c r="Z38" s="5" t="str">
        <f t="shared" si="13"/>
        <v>A4</v>
      </c>
      <c r="AA38" s="5" t="str">
        <f t="shared" si="14"/>
        <v>A4</v>
      </c>
      <c r="AG38" s="29" t="str">
        <f t="shared" si="3"/>
        <v>05/10/2023</v>
      </c>
      <c r="AH38" s="30">
        <f t="shared" si="3"/>
        <v>64300</v>
      </c>
      <c r="AI38" s="4" t="str">
        <f t="shared" si="4"/>
        <v>A4</v>
      </c>
      <c r="AJ38" s="5" t="str">
        <f t="shared" si="15"/>
        <v>A4</v>
      </c>
      <c r="AK38">
        <f t="shared" si="16"/>
        <v>61798.5</v>
      </c>
      <c r="AL38" t="str">
        <f t="shared" si="17"/>
        <v>A4</v>
      </c>
      <c r="AM38">
        <f t="shared" si="18"/>
        <v>61798.5</v>
      </c>
      <c r="AN38" s="6">
        <f t="shared" si="19"/>
        <v>1180</v>
      </c>
      <c r="AO38">
        <f t="shared" si="20"/>
        <v>62110</v>
      </c>
      <c r="AP38">
        <f t="shared" si="44"/>
        <v>60930</v>
      </c>
      <c r="AQ38" s="33">
        <f t="shared" si="22"/>
        <v>62700</v>
      </c>
      <c r="AR38" s="33">
        <f t="shared" si="23"/>
        <v>60340</v>
      </c>
      <c r="AS38">
        <f t="shared" si="24"/>
        <v>61815</v>
      </c>
      <c r="AT38" s="5">
        <f t="shared" si="25"/>
        <v>61225</v>
      </c>
      <c r="AU38" s="5">
        <f t="shared" si="26"/>
        <v>63880</v>
      </c>
      <c r="AV38" s="5">
        <f t="shared" si="27"/>
        <v>59160</v>
      </c>
      <c r="AW38" s="5">
        <f t="shared" si="28"/>
        <v>61716.666666666664</v>
      </c>
      <c r="AX38" s="5">
        <f t="shared" si="29"/>
        <v>61323.333333333336</v>
      </c>
      <c r="AY38" s="5">
        <f t="shared" si="30"/>
        <v>65060</v>
      </c>
      <c r="AZ38" s="5">
        <f t="shared" si="31"/>
        <v>57980</v>
      </c>
      <c r="BB38" s="32" t="str">
        <f t="shared" si="5"/>
        <v>05/10/2023</v>
      </c>
      <c r="BC38" s="33">
        <f t="shared" si="5"/>
        <v>64300</v>
      </c>
      <c r="BD38" s="4" t="str">
        <f t="shared" si="5"/>
        <v>A4</v>
      </c>
      <c r="BE38">
        <f t="shared" si="32"/>
        <v>61954.25</v>
      </c>
      <c r="BF38">
        <f t="shared" si="33"/>
        <v>61364.25</v>
      </c>
      <c r="BG38">
        <f t="shared" si="34"/>
        <v>62249.25</v>
      </c>
      <c r="BH38">
        <f t="shared" si="35"/>
        <v>61069.25</v>
      </c>
      <c r="BI38">
        <f t="shared" si="36"/>
        <v>61806.75</v>
      </c>
      <c r="BJ38">
        <f t="shared" si="37"/>
        <v>61511.75</v>
      </c>
      <c r="BK38">
        <f t="shared" si="38"/>
        <v>62839.25</v>
      </c>
      <c r="BL38">
        <f t="shared" si="39"/>
        <v>60479.25</v>
      </c>
      <c r="BM38">
        <f t="shared" si="40"/>
        <v>61757.583333333328</v>
      </c>
      <c r="BN38">
        <f t="shared" si="41"/>
        <v>61560.916666666672</v>
      </c>
      <c r="BO38" s="38">
        <f t="shared" si="42"/>
        <v>63429.25</v>
      </c>
      <c r="BP38">
        <f t="shared" si="43"/>
        <v>59889.25</v>
      </c>
      <c r="BQ38" s="7">
        <f>BO38</f>
        <v>63429.25</v>
      </c>
      <c r="BS38" s="30">
        <f t="shared" si="6"/>
        <v>64300</v>
      </c>
      <c r="BT38" s="4">
        <f t="shared" si="7"/>
        <v>63429.25</v>
      </c>
      <c r="BU38" s="37">
        <f t="shared" si="10"/>
        <v>870.75</v>
      </c>
      <c r="BV38">
        <f t="shared" si="11"/>
        <v>870.75</v>
      </c>
      <c r="BW38" s="35">
        <f t="shared" si="12"/>
        <v>1.354199066874028E-2</v>
      </c>
    </row>
    <row r="39" spans="1:75">
      <c r="A39" s="1" t="s">
        <v>40</v>
      </c>
      <c r="B39" s="1">
        <v>65730</v>
      </c>
      <c r="Q39">
        <v>36</v>
      </c>
      <c r="R39" s="27" t="str">
        <f t="shared" si="1"/>
        <v>06/10/2023</v>
      </c>
      <c r="S39" s="27">
        <f t="shared" si="1"/>
        <v>66000</v>
      </c>
      <c r="T39" s="4" t="str">
        <f t="shared" si="2"/>
        <v>A5</v>
      </c>
      <c r="V39">
        <v>36</v>
      </c>
      <c r="W39" s="28" t="str">
        <f t="shared" si="0"/>
        <v>06/10/2023</v>
      </c>
      <c r="X39" s="28">
        <f t="shared" si="0"/>
        <v>66000</v>
      </c>
      <c r="Y39" s="28" t="str">
        <f t="shared" si="0"/>
        <v>A5</v>
      </c>
      <c r="Z39" s="5" t="str">
        <f t="shared" si="13"/>
        <v>A4</v>
      </c>
      <c r="AA39" s="5" t="str">
        <f t="shared" si="14"/>
        <v>A4</v>
      </c>
      <c r="AG39" s="29" t="str">
        <f t="shared" si="3"/>
        <v>06/10/2023</v>
      </c>
      <c r="AH39" s="30">
        <f t="shared" si="3"/>
        <v>66000</v>
      </c>
      <c r="AI39" s="4" t="str">
        <f t="shared" si="4"/>
        <v>A5</v>
      </c>
      <c r="AJ39" s="5" t="str">
        <f t="shared" si="15"/>
        <v>A4</v>
      </c>
      <c r="AK39">
        <f t="shared" si="16"/>
        <v>61798.5</v>
      </c>
      <c r="AL39" t="str">
        <f t="shared" si="17"/>
        <v>A4</v>
      </c>
      <c r="AM39">
        <f t="shared" si="18"/>
        <v>61798.5</v>
      </c>
      <c r="AN39" s="6">
        <f t="shared" si="19"/>
        <v>1320</v>
      </c>
      <c r="AO39">
        <f t="shared" si="20"/>
        <v>64960</v>
      </c>
      <c r="AP39">
        <f t="shared" si="44"/>
        <v>63640</v>
      </c>
      <c r="AQ39" s="33">
        <f t="shared" si="22"/>
        <v>65620</v>
      </c>
      <c r="AR39" s="33">
        <f t="shared" si="23"/>
        <v>62980</v>
      </c>
      <c r="AS39">
        <f t="shared" si="24"/>
        <v>64630</v>
      </c>
      <c r="AT39" s="5">
        <f t="shared" si="25"/>
        <v>63970</v>
      </c>
      <c r="AU39" s="5">
        <f t="shared" si="26"/>
        <v>66940</v>
      </c>
      <c r="AV39" s="5">
        <f t="shared" si="27"/>
        <v>61660</v>
      </c>
      <c r="AW39" s="5">
        <f t="shared" si="28"/>
        <v>64520</v>
      </c>
      <c r="AX39" s="5">
        <f t="shared" si="29"/>
        <v>64080</v>
      </c>
      <c r="AY39" s="5">
        <f t="shared" si="30"/>
        <v>68260</v>
      </c>
      <c r="AZ39" s="5">
        <f t="shared" si="31"/>
        <v>60340</v>
      </c>
      <c r="BB39" s="32" t="str">
        <f t="shared" si="5"/>
        <v>06/10/2023</v>
      </c>
      <c r="BC39" s="33">
        <f t="shared" si="5"/>
        <v>66000</v>
      </c>
      <c r="BD39" s="4" t="str">
        <f t="shared" si="5"/>
        <v>A5</v>
      </c>
      <c r="BE39">
        <f t="shared" si="32"/>
        <v>63379.25</v>
      </c>
      <c r="BF39">
        <f t="shared" si="33"/>
        <v>62719.25</v>
      </c>
      <c r="BG39">
        <f t="shared" si="34"/>
        <v>63709.25</v>
      </c>
      <c r="BH39">
        <f t="shared" si="35"/>
        <v>62389.25</v>
      </c>
      <c r="BI39" s="40">
        <f t="shared" si="36"/>
        <v>63214.25</v>
      </c>
      <c r="BJ39">
        <f t="shared" si="37"/>
        <v>62884.25</v>
      </c>
      <c r="BK39">
        <f t="shared" si="38"/>
        <v>64369.25</v>
      </c>
      <c r="BL39">
        <f t="shared" si="39"/>
        <v>61729.25</v>
      </c>
      <c r="BM39">
        <f t="shared" si="40"/>
        <v>63159.25</v>
      </c>
      <c r="BN39">
        <f t="shared" si="41"/>
        <v>62939.25</v>
      </c>
      <c r="BO39" s="38">
        <f t="shared" si="42"/>
        <v>65029.25</v>
      </c>
      <c r="BP39">
        <f t="shared" si="43"/>
        <v>61069.25</v>
      </c>
      <c r="BQ39" s="7">
        <f>BO39</f>
        <v>65029.25</v>
      </c>
      <c r="BS39" s="30">
        <f t="shared" si="6"/>
        <v>66000</v>
      </c>
      <c r="BT39" s="4">
        <f t="shared" si="7"/>
        <v>65029.25</v>
      </c>
      <c r="BU39" s="37">
        <f t="shared" si="10"/>
        <v>970.75</v>
      </c>
      <c r="BV39">
        <f t="shared" si="11"/>
        <v>970.75</v>
      </c>
      <c r="BW39" s="35">
        <f t="shared" si="12"/>
        <v>1.4708333333333334E-2</v>
      </c>
    </row>
    <row r="40" spans="1:75">
      <c r="A40" s="1" t="s">
        <v>41</v>
      </c>
      <c r="B40" s="1">
        <v>68730</v>
      </c>
      <c r="Q40">
        <v>37</v>
      </c>
      <c r="R40" s="27" t="str">
        <f t="shared" si="1"/>
        <v>07/10/2023</v>
      </c>
      <c r="S40" s="27">
        <f t="shared" si="1"/>
        <v>66700</v>
      </c>
      <c r="T40" s="4" t="str">
        <f t="shared" si="2"/>
        <v>A5</v>
      </c>
      <c r="V40">
        <v>37</v>
      </c>
      <c r="W40" s="28" t="str">
        <f t="shared" si="0"/>
        <v>07/10/2023</v>
      </c>
      <c r="X40" s="28">
        <f t="shared" si="0"/>
        <v>66700</v>
      </c>
      <c r="Y40" s="28" t="str">
        <f t="shared" si="0"/>
        <v>A5</v>
      </c>
      <c r="Z40" s="5" t="str">
        <f t="shared" si="13"/>
        <v>A4</v>
      </c>
      <c r="AA40" s="5" t="str">
        <f t="shared" si="14"/>
        <v>A5</v>
      </c>
      <c r="AG40" s="29" t="str">
        <f t="shared" si="3"/>
        <v>07/10/2023</v>
      </c>
      <c r="AH40" s="30">
        <f t="shared" si="3"/>
        <v>66700</v>
      </c>
      <c r="AI40" s="4" t="str">
        <f t="shared" si="4"/>
        <v>A5</v>
      </c>
      <c r="AJ40" s="5" t="str">
        <f t="shared" si="15"/>
        <v>A4</v>
      </c>
      <c r="AK40">
        <f t="shared" si="16"/>
        <v>61798.5</v>
      </c>
      <c r="AL40" t="str">
        <f t="shared" si="17"/>
        <v>A5</v>
      </c>
      <c r="AM40">
        <f t="shared" si="18"/>
        <v>67829.5</v>
      </c>
      <c r="AN40" s="6">
        <f t="shared" si="19"/>
        <v>1080</v>
      </c>
      <c r="AO40">
        <f t="shared" si="20"/>
        <v>66540</v>
      </c>
      <c r="AP40">
        <f t="shared" si="44"/>
        <v>65460</v>
      </c>
      <c r="AQ40" s="33">
        <f t="shared" si="22"/>
        <v>67080</v>
      </c>
      <c r="AR40" s="33">
        <f t="shared" si="23"/>
        <v>64920</v>
      </c>
      <c r="AS40">
        <f t="shared" si="24"/>
        <v>66270</v>
      </c>
      <c r="AT40" s="5">
        <f t="shared" si="25"/>
        <v>65730</v>
      </c>
      <c r="AU40" s="5">
        <f t="shared" si="26"/>
        <v>68160</v>
      </c>
      <c r="AV40" s="5">
        <f t="shared" si="27"/>
        <v>63840</v>
      </c>
      <c r="AW40" s="5">
        <f t="shared" si="28"/>
        <v>66180</v>
      </c>
      <c r="AX40" s="5">
        <f t="shared" si="29"/>
        <v>65820</v>
      </c>
      <c r="AY40" s="5">
        <f t="shared" si="30"/>
        <v>69240</v>
      </c>
      <c r="AZ40" s="5">
        <f t="shared" si="31"/>
        <v>62760</v>
      </c>
      <c r="BB40" s="32" t="str">
        <f t="shared" si="5"/>
        <v>07/10/2023</v>
      </c>
      <c r="BC40" s="33">
        <f t="shared" si="5"/>
        <v>66700</v>
      </c>
      <c r="BD40" s="4" t="str">
        <f t="shared" si="5"/>
        <v>A5</v>
      </c>
      <c r="BE40">
        <f t="shared" si="32"/>
        <v>67184.75</v>
      </c>
      <c r="BF40">
        <f t="shared" si="33"/>
        <v>66644.75</v>
      </c>
      <c r="BG40">
        <f t="shared" si="34"/>
        <v>67454.75</v>
      </c>
      <c r="BH40">
        <f t="shared" si="35"/>
        <v>66374.75</v>
      </c>
      <c r="BI40">
        <f t="shared" si="36"/>
        <v>67049.75</v>
      </c>
      <c r="BJ40">
        <f t="shared" si="37"/>
        <v>66779.75</v>
      </c>
      <c r="BK40">
        <f t="shared" si="38"/>
        <v>67994.75</v>
      </c>
      <c r="BL40">
        <f t="shared" si="39"/>
        <v>65834.75</v>
      </c>
      <c r="BM40" s="38">
        <f t="shared" si="40"/>
        <v>67004.75</v>
      </c>
      <c r="BN40">
        <f t="shared" si="41"/>
        <v>66824.75</v>
      </c>
      <c r="BO40">
        <f t="shared" si="42"/>
        <v>68534.75</v>
      </c>
      <c r="BP40">
        <f t="shared" si="43"/>
        <v>65294.75</v>
      </c>
      <c r="BQ40" s="7">
        <f>BM40</f>
        <v>67004.75</v>
      </c>
      <c r="BS40" s="30">
        <f t="shared" si="6"/>
        <v>66700</v>
      </c>
      <c r="BT40" s="4">
        <f t="shared" si="7"/>
        <v>67004.75</v>
      </c>
      <c r="BU40" s="37">
        <f t="shared" si="10"/>
        <v>-304.75</v>
      </c>
      <c r="BV40">
        <f t="shared" si="11"/>
        <v>304.75</v>
      </c>
      <c r="BW40" s="35">
        <f t="shared" si="12"/>
        <v>4.5689655172413794E-3</v>
      </c>
    </row>
    <row r="41" spans="1:75">
      <c r="A41" s="1" t="s">
        <v>42</v>
      </c>
      <c r="B41" s="1">
        <v>68790</v>
      </c>
      <c r="Q41">
        <v>38</v>
      </c>
      <c r="R41" s="27" t="str">
        <f t="shared" si="1"/>
        <v>08/10/2023</v>
      </c>
      <c r="S41" s="27">
        <f t="shared" si="1"/>
        <v>65730</v>
      </c>
      <c r="T41" s="4" t="str">
        <f t="shared" si="2"/>
        <v>A5</v>
      </c>
      <c r="V41">
        <v>38</v>
      </c>
      <c r="W41" s="28" t="str">
        <f t="shared" si="0"/>
        <v>08/10/2023</v>
      </c>
      <c r="X41" s="28">
        <f t="shared" si="0"/>
        <v>65730</v>
      </c>
      <c r="Y41" s="28" t="str">
        <f t="shared" si="0"/>
        <v>A5</v>
      </c>
      <c r="Z41" s="5" t="str">
        <f t="shared" si="13"/>
        <v>A5</v>
      </c>
      <c r="AA41" s="5" t="str">
        <f t="shared" si="14"/>
        <v>A5</v>
      </c>
      <c r="AG41" s="29" t="str">
        <f t="shared" si="3"/>
        <v>08/10/2023</v>
      </c>
      <c r="AH41" s="30">
        <f t="shared" si="3"/>
        <v>65730</v>
      </c>
      <c r="AI41" s="4" t="str">
        <f t="shared" si="4"/>
        <v>A5</v>
      </c>
      <c r="AJ41" s="5" t="str">
        <f t="shared" si="15"/>
        <v>A5</v>
      </c>
      <c r="AK41">
        <f t="shared" si="16"/>
        <v>67829.5</v>
      </c>
      <c r="AL41" t="str">
        <f t="shared" si="17"/>
        <v>A5</v>
      </c>
      <c r="AM41">
        <f t="shared" si="18"/>
        <v>67829.5</v>
      </c>
      <c r="AN41" s="6">
        <f t="shared" si="19"/>
        <v>1000</v>
      </c>
      <c r="AO41">
        <f t="shared" si="20"/>
        <v>67200</v>
      </c>
      <c r="AP41">
        <f t="shared" si="44"/>
        <v>66200</v>
      </c>
      <c r="AQ41" s="33">
        <f t="shared" si="22"/>
        <v>67700</v>
      </c>
      <c r="AR41" s="33">
        <f t="shared" si="23"/>
        <v>65700</v>
      </c>
      <c r="AS41">
        <f t="shared" si="24"/>
        <v>66950</v>
      </c>
      <c r="AT41" s="5">
        <f t="shared" si="25"/>
        <v>66450</v>
      </c>
      <c r="AU41" s="5">
        <f t="shared" si="26"/>
        <v>68700</v>
      </c>
      <c r="AV41" s="5">
        <f t="shared" si="27"/>
        <v>64700</v>
      </c>
      <c r="AW41" s="5">
        <f t="shared" si="28"/>
        <v>66866.666666666672</v>
      </c>
      <c r="AX41" s="5">
        <f t="shared" si="29"/>
        <v>66533.333333333328</v>
      </c>
      <c r="AY41" s="5">
        <f t="shared" si="30"/>
        <v>69700</v>
      </c>
      <c r="AZ41" s="5">
        <f t="shared" si="31"/>
        <v>63700</v>
      </c>
      <c r="BB41" s="32" t="str">
        <f t="shared" si="5"/>
        <v>08/10/2023</v>
      </c>
      <c r="BC41" s="33">
        <f t="shared" si="5"/>
        <v>65730</v>
      </c>
      <c r="BD41" s="4" t="str">
        <f t="shared" si="5"/>
        <v>A5</v>
      </c>
      <c r="BE41">
        <f t="shared" si="32"/>
        <v>67514.75</v>
      </c>
      <c r="BF41">
        <f t="shared" si="33"/>
        <v>67014.75</v>
      </c>
      <c r="BG41">
        <f t="shared" si="34"/>
        <v>67764.75</v>
      </c>
      <c r="BH41" s="40">
        <f t="shared" si="35"/>
        <v>66764.75</v>
      </c>
      <c r="BI41">
        <f t="shared" si="36"/>
        <v>67389.75</v>
      </c>
      <c r="BJ41">
        <f t="shared" si="37"/>
        <v>67139.75</v>
      </c>
      <c r="BK41">
        <f t="shared" si="38"/>
        <v>68264.75</v>
      </c>
      <c r="BL41">
        <f t="shared" si="39"/>
        <v>66264.75</v>
      </c>
      <c r="BM41">
        <f t="shared" si="40"/>
        <v>67348.083333333343</v>
      </c>
      <c r="BN41">
        <f t="shared" si="41"/>
        <v>67181.416666666657</v>
      </c>
      <c r="BO41">
        <f t="shared" si="42"/>
        <v>68764.75</v>
      </c>
      <c r="BP41" s="38">
        <f t="shared" si="43"/>
        <v>65764.75</v>
      </c>
      <c r="BQ41" s="7">
        <f>BP41</f>
        <v>65764.75</v>
      </c>
      <c r="BS41" s="30">
        <f t="shared" si="6"/>
        <v>65730</v>
      </c>
      <c r="BT41" s="4">
        <f t="shared" si="7"/>
        <v>65764.75</v>
      </c>
      <c r="BU41" s="37">
        <f t="shared" si="10"/>
        <v>-34.75</v>
      </c>
      <c r="BV41">
        <f t="shared" si="11"/>
        <v>34.75</v>
      </c>
      <c r="BW41" s="35">
        <f t="shared" si="12"/>
        <v>5.2867792484405905E-4</v>
      </c>
    </row>
    <row r="42" spans="1:75">
      <c r="A42" s="1" t="s">
        <v>43</v>
      </c>
      <c r="B42" s="1">
        <v>69830</v>
      </c>
      <c r="Q42">
        <v>39</v>
      </c>
      <c r="R42" s="27" t="str">
        <f t="shared" si="1"/>
        <v>09/10/2023</v>
      </c>
      <c r="S42" s="27">
        <f t="shared" si="1"/>
        <v>68730</v>
      </c>
      <c r="T42" s="4" t="str">
        <f t="shared" si="2"/>
        <v>A5</v>
      </c>
      <c r="V42">
        <v>39</v>
      </c>
      <c r="W42" s="28" t="str">
        <f t="shared" si="0"/>
        <v>09/10/2023</v>
      </c>
      <c r="X42" s="28">
        <f t="shared" si="0"/>
        <v>68730</v>
      </c>
      <c r="Y42" s="28" t="str">
        <f t="shared" si="0"/>
        <v>A5</v>
      </c>
      <c r="Z42" s="5" t="str">
        <f t="shared" si="13"/>
        <v>A5</v>
      </c>
      <c r="AA42" s="5" t="str">
        <f t="shared" si="14"/>
        <v>A5</v>
      </c>
      <c r="AG42" s="29" t="str">
        <f t="shared" si="3"/>
        <v>09/10/2023</v>
      </c>
      <c r="AH42" s="30">
        <f t="shared" si="3"/>
        <v>68730</v>
      </c>
      <c r="AI42" s="4" t="str">
        <f t="shared" si="4"/>
        <v>A5</v>
      </c>
      <c r="AJ42" s="5" t="str">
        <f t="shared" si="15"/>
        <v>A5</v>
      </c>
      <c r="AK42">
        <f t="shared" si="16"/>
        <v>67829.5</v>
      </c>
      <c r="AL42" t="str">
        <f t="shared" si="17"/>
        <v>A5</v>
      </c>
      <c r="AM42">
        <f t="shared" si="18"/>
        <v>67829.5</v>
      </c>
      <c r="AN42" s="6">
        <f t="shared" si="19"/>
        <v>270</v>
      </c>
      <c r="AO42">
        <f t="shared" si="20"/>
        <v>65865</v>
      </c>
      <c r="AP42">
        <f t="shared" si="44"/>
        <v>65595</v>
      </c>
      <c r="AQ42" s="33">
        <f t="shared" si="22"/>
        <v>66000</v>
      </c>
      <c r="AR42" s="33">
        <f t="shared" si="23"/>
        <v>65460</v>
      </c>
      <c r="AS42">
        <f t="shared" si="24"/>
        <v>65797.5</v>
      </c>
      <c r="AT42" s="5">
        <f t="shared" si="25"/>
        <v>65662.5</v>
      </c>
      <c r="AU42" s="5">
        <f t="shared" si="26"/>
        <v>66270</v>
      </c>
      <c r="AV42" s="5">
        <f t="shared" si="27"/>
        <v>65190</v>
      </c>
      <c r="AW42" s="5">
        <f t="shared" si="28"/>
        <v>65775</v>
      </c>
      <c r="AX42" s="5">
        <f t="shared" si="29"/>
        <v>65685</v>
      </c>
      <c r="AY42" s="5">
        <f t="shared" si="30"/>
        <v>66540</v>
      </c>
      <c r="AZ42" s="5">
        <f t="shared" si="31"/>
        <v>64920</v>
      </c>
      <c r="BB42" s="32" t="str">
        <f t="shared" si="5"/>
        <v>09/10/2023</v>
      </c>
      <c r="BC42" s="33">
        <f t="shared" si="5"/>
        <v>68730</v>
      </c>
      <c r="BD42" s="4" t="str">
        <f t="shared" si="5"/>
        <v>A5</v>
      </c>
      <c r="BE42">
        <f t="shared" si="32"/>
        <v>66847.25</v>
      </c>
      <c r="BF42">
        <f t="shared" si="33"/>
        <v>66712.25</v>
      </c>
      <c r="BG42">
        <f t="shared" si="34"/>
        <v>66914.75</v>
      </c>
      <c r="BH42">
        <f t="shared" si="35"/>
        <v>66644.75</v>
      </c>
      <c r="BI42">
        <f t="shared" si="36"/>
        <v>66813.5</v>
      </c>
      <c r="BJ42">
        <f t="shared" si="37"/>
        <v>66746</v>
      </c>
      <c r="BK42">
        <f t="shared" si="38"/>
        <v>67049.75</v>
      </c>
      <c r="BL42">
        <f t="shared" si="39"/>
        <v>66509.75</v>
      </c>
      <c r="BM42">
        <f t="shared" si="40"/>
        <v>66802.25</v>
      </c>
      <c r="BN42" s="38">
        <f t="shared" si="41"/>
        <v>66757.25</v>
      </c>
      <c r="BO42" s="40">
        <f t="shared" si="42"/>
        <v>67184.75</v>
      </c>
      <c r="BP42">
        <f t="shared" si="43"/>
        <v>66374.75</v>
      </c>
      <c r="BQ42" s="7">
        <f>BN42</f>
        <v>66757.25</v>
      </c>
      <c r="BS42" s="30">
        <f t="shared" si="6"/>
        <v>68730</v>
      </c>
      <c r="BT42" s="4">
        <f t="shared" si="7"/>
        <v>66757.25</v>
      </c>
      <c r="BU42" s="37">
        <f t="shared" si="10"/>
        <v>1972.75</v>
      </c>
      <c r="BV42">
        <f t="shared" si="11"/>
        <v>1972.75</v>
      </c>
      <c r="BW42" s="35">
        <f t="shared" si="12"/>
        <v>2.8702895387749162E-2</v>
      </c>
    </row>
    <row r="43" spans="1:75">
      <c r="A43" s="1" t="s">
        <v>44</v>
      </c>
      <c r="B43" s="1">
        <v>71750</v>
      </c>
      <c r="Q43">
        <v>40</v>
      </c>
      <c r="R43" s="27" t="str">
        <f t="shared" si="1"/>
        <v>10/10/2023</v>
      </c>
      <c r="S43" s="27">
        <f t="shared" si="1"/>
        <v>68790</v>
      </c>
      <c r="T43" s="4" t="str">
        <f t="shared" si="2"/>
        <v>A5</v>
      </c>
      <c r="V43">
        <v>40</v>
      </c>
      <c r="W43" s="28" t="str">
        <f t="shared" si="0"/>
        <v>10/10/2023</v>
      </c>
      <c r="X43" s="28">
        <f t="shared" si="0"/>
        <v>68790</v>
      </c>
      <c r="Y43" s="28" t="str">
        <f t="shared" si="0"/>
        <v>A5</v>
      </c>
      <c r="Z43" s="5" t="str">
        <f t="shared" si="13"/>
        <v>A5</v>
      </c>
      <c r="AA43" s="5" t="str">
        <f t="shared" si="14"/>
        <v>A5</v>
      </c>
      <c r="AG43" s="29" t="str">
        <f t="shared" si="3"/>
        <v>10/10/2023</v>
      </c>
      <c r="AH43" s="30">
        <f t="shared" si="3"/>
        <v>68790</v>
      </c>
      <c r="AI43" s="4" t="str">
        <f t="shared" si="4"/>
        <v>A5</v>
      </c>
      <c r="AJ43" s="5" t="str">
        <f t="shared" si="15"/>
        <v>A5</v>
      </c>
      <c r="AK43">
        <f t="shared" si="16"/>
        <v>67829.5</v>
      </c>
      <c r="AL43" t="str">
        <f t="shared" si="17"/>
        <v>A5</v>
      </c>
      <c r="AM43">
        <f t="shared" si="18"/>
        <v>67829.5</v>
      </c>
      <c r="AN43" s="6">
        <f t="shared" si="19"/>
        <v>2030</v>
      </c>
      <c r="AO43">
        <f t="shared" si="20"/>
        <v>69745</v>
      </c>
      <c r="AP43">
        <f t="shared" si="44"/>
        <v>67715</v>
      </c>
      <c r="AQ43" s="33">
        <f t="shared" si="22"/>
        <v>70760</v>
      </c>
      <c r="AR43" s="33">
        <f t="shared" si="23"/>
        <v>66700</v>
      </c>
      <c r="AS43">
        <f t="shared" si="24"/>
        <v>69237.5</v>
      </c>
      <c r="AT43" s="5">
        <f t="shared" si="25"/>
        <v>68222.5</v>
      </c>
      <c r="AU43" s="5">
        <f t="shared" si="26"/>
        <v>72790</v>
      </c>
      <c r="AV43" s="5">
        <f t="shared" si="27"/>
        <v>64670</v>
      </c>
      <c r="AW43" s="5">
        <f t="shared" si="28"/>
        <v>69068.333333333328</v>
      </c>
      <c r="AX43" s="5">
        <f t="shared" si="29"/>
        <v>68391.666666666672</v>
      </c>
      <c r="AY43" s="5">
        <f t="shared" si="30"/>
        <v>74820</v>
      </c>
      <c r="AZ43" s="5">
        <f t="shared" si="31"/>
        <v>62640</v>
      </c>
      <c r="BB43" s="32" t="str">
        <f t="shared" si="5"/>
        <v>10/10/2023</v>
      </c>
      <c r="BC43" s="33">
        <f t="shared" si="5"/>
        <v>68790</v>
      </c>
      <c r="BD43" s="4" t="str">
        <f t="shared" si="5"/>
        <v>A5</v>
      </c>
      <c r="BE43" s="38">
        <f t="shared" si="32"/>
        <v>68787.25</v>
      </c>
      <c r="BF43">
        <f t="shared" si="33"/>
        <v>67772.25</v>
      </c>
      <c r="BG43">
        <f t="shared" si="34"/>
        <v>69294.75</v>
      </c>
      <c r="BH43">
        <f t="shared" si="35"/>
        <v>67264.75</v>
      </c>
      <c r="BI43">
        <f t="shared" si="36"/>
        <v>68533.5</v>
      </c>
      <c r="BJ43">
        <f t="shared" si="37"/>
        <v>68026</v>
      </c>
      <c r="BK43">
        <f t="shared" si="38"/>
        <v>70309.75</v>
      </c>
      <c r="BL43">
        <f t="shared" si="39"/>
        <v>66249.75</v>
      </c>
      <c r="BM43">
        <f t="shared" si="40"/>
        <v>68448.916666666657</v>
      </c>
      <c r="BN43">
        <f t="shared" si="41"/>
        <v>68110.583333333343</v>
      </c>
      <c r="BO43">
        <f t="shared" si="42"/>
        <v>71324.75</v>
      </c>
      <c r="BP43">
        <f t="shared" si="43"/>
        <v>65234.75</v>
      </c>
      <c r="BQ43" s="7">
        <f>BE43</f>
        <v>68787.25</v>
      </c>
      <c r="BS43" s="30">
        <f t="shared" si="6"/>
        <v>68790</v>
      </c>
      <c r="BT43" s="4">
        <f t="shared" si="7"/>
        <v>68787.25</v>
      </c>
      <c r="BU43" s="37">
        <f t="shared" si="10"/>
        <v>2.75</v>
      </c>
      <c r="BV43">
        <f t="shared" si="11"/>
        <v>2.75</v>
      </c>
      <c r="BW43" s="35">
        <f t="shared" si="12"/>
        <v>3.9976740805349618E-5</v>
      </c>
    </row>
    <row r="44" spans="1:75">
      <c r="A44" s="1" t="s">
        <v>45</v>
      </c>
      <c r="B44" s="1">
        <v>69370</v>
      </c>
      <c r="Q44">
        <v>41</v>
      </c>
      <c r="R44" s="27" t="str">
        <f t="shared" si="1"/>
        <v>11/10/2023</v>
      </c>
      <c r="S44" s="27">
        <f t="shared" si="1"/>
        <v>69830</v>
      </c>
      <c r="T44" s="4" t="str">
        <f t="shared" si="2"/>
        <v>A5</v>
      </c>
      <c r="V44">
        <v>41</v>
      </c>
      <c r="W44" s="28" t="str">
        <f t="shared" si="0"/>
        <v>11/10/2023</v>
      </c>
      <c r="X44" s="28">
        <f t="shared" si="0"/>
        <v>69830</v>
      </c>
      <c r="Y44" s="28" t="str">
        <f t="shared" si="0"/>
        <v>A5</v>
      </c>
      <c r="Z44" s="5" t="str">
        <f t="shared" si="13"/>
        <v>A5</v>
      </c>
      <c r="AA44" s="5" t="str">
        <f t="shared" si="14"/>
        <v>A5</v>
      </c>
      <c r="AG44" s="29" t="str">
        <f t="shared" si="3"/>
        <v>11/10/2023</v>
      </c>
      <c r="AH44" s="30">
        <f t="shared" si="3"/>
        <v>69830</v>
      </c>
      <c r="AI44" s="4" t="str">
        <f t="shared" si="4"/>
        <v>A5</v>
      </c>
      <c r="AJ44" s="5" t="str">
        <f t="shared" si="15"/>
        <v>A5</v>
      </c>
      <c r="AK44">
        <f t="shared" si="16"/>
        <v>67829.5</v>
      </c>
      <c r="AL44" t="str">
        <f t="shared" si="17"/>
        <v>A5</v>
      </c>
      <c r="AM44">
        <f t="shared" si="18"/>
        <v>67829.5</v>
      </c>
      <c r="AN44" s="6">
        <f t="shared" si="19"/>
        <v>2940</v>
      </c>
      <c r="AO44">
        <f t="shared" si="20"/>
        <v>70260</v>
      </c>
      <c r="AP44">
        <f t="shared" si="44"/>
        <v>67320</v>
      </c>
      <c r="AQ44" s="33">
        <f t="shared" si="22"/>
        <v>71730</v>
      </c>
      <c r="AR44" s="33">
        <f t="shared" si="23"/>
        <v>65850</v>
      </c>
      <c r="AS44">
        <f t="shared" si="24"/>
        <v>69525</v>
      </c>
      <c r="AT44" s="5">
        <f t="shared" si="25"/>
        <v>68055</v>
      </c>
      <c r="AU44" s="5">
        <f t="shared" si="26"/>
        <v>74670</v>
      </c>
      <c r="AV44" s="5">
        <f t="shared" si="27"/>
        <v>62910</v>
      </c>
      <c r="AW44" s="5">
        <f t="shared" si="28"/>
        <v>69280</v>
      </c>
      <c r="AX44" s="5">
        <f t="shared" si="29"/>
        <v>68300</v>
      </c>
      <c r="AY44" s="5">
        <f t="shared" si="30"/>
        <v>77610</v>
      </c>
      <c r="AZ44" s="5">
        <f t="shared" si="31"/>
        <v>59970</v>
      </c>
      <c r="BB44" s="32" t="str">
        <f t="shared" si="5"/>
        <v>11/10/2023</v>
      </c>
      <c r="BC44" s="33">
        <f t="shared" si="5"/>
        <v>69830</v>
      </c>
      <c r="BD44" s="4" t="str">
        <f t="shared" si="5"/>
        <v>A5</v>
      </c>
      <c r="BE44" s="40">
        <f t="shared" si="32"/>
        <v>69044.75</v>
      </c>
      <c r="BF44">
        <f t="shared" si="33"/>
        <v>67574.75</v>
      </c>
      <c r="BG44" s="38">
        <f t="shared" si="34"/>
        <v>69779.75</v>
      </c>
      <c r="BH44">
        <f t="shared" si="35"/>
        <v>66839.75</v>
      </c>
      <c r="BI44">
        <f t="shared" si="36"/>
        <v>68677.25</v>
      </c>
      <c r="BJ44">
        <f t="shared" si="37"/>
        <v>67942.25</v>
      </c>
      <c r="BK44">
        <f t="shared" si="38"/>
        <v>71249.75</v>
      </c>
      <c r="BL44">
        <f t="shared" si="39"/>
        <v>65369.75</v>
      </c>
      <c r="BM44">
        <f t="shared" si="40"/>
        <v>68554.75</v>
      </c>
      <c r="BN44">
        <f t="shared" si="41"/>
        <v>68064.75</v>
      </c>
      <c r="BO44">
        <f t="shared" si="42"/>
        <v>72719.75</v>
      </c>
      <c r="BP44">
        <f t="shared" si="43"/>
        <v>63899.75</v>
      </c>
      <c r="BQ44" s="7">
        <f>BG44</f>
        <v>69779.75</v>
      </c>
      <c r="BS44" s="30">
        <f t="shared" si="6"/>
        <v>69830</v>
      </c>
      <c r="BT44" s="4">
        <f t="shared" si="7"/>
        <v>69779.75</v>
      </c>
      <c r="BU44" s="37">
        <f t="shared" si="10"/>
        <v>50.25</v>
      </c>
      <c r="BV44">
        <f t="shared" si="11"/>
        <v>50.25</v>
      </c>
      <c r="BW44" s="35">
        <f t="shared" si="12"/>
        <v>7.1960475440355145E-4</v>
      </c>
    </row>
    <row r="45" spans="1:75">
      <c r="A45" s="1" t="s">
        <v>46</v>
      </c>
      <c r="B45" s="1">
        <v>71110</v>
      </c>
      <c r="Q45">
        <v>42</v>
      </c>
      <c r="R45" s="27" t="str">
        <f t="shared" si="1"/>
        <v>12/10/2023</v>
      </c>
      <c r="S45" s="27">
        <f t="shared" si="1"/>
        <v>71750</v>
      </c>
      <c r="T45" s="4" t="str">
        <f t="shared" si="2"/>
        <v>A6</v>
      </c>
      <c r="V45">
        <v>42</v>
      </c>
      <c r="W45" s="28" t="str">
        <f t="shared" si="0"/>
        <v>12/10/2023</v>
      </c>
      <c r="X45" s="28">
        <f t="shared" si="0"/>
        <v>71750</v>
      </c>
      <c r="Y45" s="28" t="str">
        <f t="shared" si="0"/>
        <v>A6</v>
      </c>
      <c r="Z45" s="5" t="str">
        <f t="shared" si="13"/>
        <v>A5</v>
      </c>
      <c r="AA45" s="5" t="str">
        <f t="shared" si="14"/>
        <v>A5</v>
      </c>
      <c r="AG45" s="29" t="str">
        <f t="shared" si="3"/>
        <v>12/10/2023</v>
      </c>
      <c r="AH45" s="30">
        <f t="shared" si="3"/>
        <v>71750</v>
      </c>
      <c r="AI45" s="4" t="str">
        <f t="shared" si="4"/>
        <v>A6</v>
      </c>
      <c r="AJ45" s="5" t="str">
        <f t="shared" si="15"/>
        <v>A5</v>
      </c>
      <c r="AK45">
        <f t="shared" si="16"/>
        <v>67829.5</v>
      </c>
      <c r="AL45" t="str">
        <f t="shared" si="17"/>
        <v>A5</v>
      </c>
      <c r="AM45">
        <f t="shared" si="18"/>
        <v>67829.5</v>
      </c>
      <c r="AN45" s="6">
        <f t="shared" si="19"/>
        <v>980</v>
      </c>
      <c r="AO45">
        <f t="shared" si="20"/>
        <v>70320</v>
      </c>
      <c r="AP45">
        <f t="shared" si="44"/>
        <v>69340</v>
      </c>
      <c r="AQ45" s="33">
        <f t="shared" si="22"/>
        <v>70810</v>
      </c>
      <c r="AR45" s="33">
        <f t="shared" si="23"/>
        <v>68850</v>
      </c>
      <c r="AS45">
        <f t="shared" si="24"/>
        <v>70075</v>
      </c>
      <c r="AT45" s="5">
        <f t="shared" si="25"/>
        <v>69585</v>
      </c>
      <c r="AU45" s="5">
        <f t="shared" si="26"/>
        <v>71790</v>
      </c>
      <c r="AV45" s="5">
        <f t="shared" si="27"/>
        <v>67870</v>
      </c>
      <c r="AW45" s="5">
        <f t="shared" si="28"/>
        <v>69993.333333333328</v>
      </c>
      <c r="AX45" s="5">
        <f t="shared" si="29"/>
        <v>69666.666666666672</v>
      </c>
      <c r="AY45" s="5">
        <f t="shared" si="30"/>
        <v>72770</v>
      </c>
      <c r="AZ45" s="5">
        <f t="shared" si="31"/>
        <v>66890</v>
      </c>
      <c r="BB45" s="32" t="str">
        <f t="shared" si="5"/>
        <v>12/10/2023</v>
      </c>
      <c r="BC45" s="33">
        <f t="shared" si="5"/>
        <v>71750</v>
      </c>
      <c r="BD45" s="4" t="str">
        <f t="shared" si="5"/>
        <v>A6</v>
      </c>
      <c r="BE45">
        <f t="shared" si="32"/>
        <v>69074.75</v>
      </c>
      <c r="BF45">
        <f t="shared" si="33"/>
        <v>68584.75</v>
      </c>
      <c r="BG45">
        <f t="shared" si="34"/>
        <v>69319.75</v>
      </c>
      <c r="BH45">
        <f t="shared" si="35"/>
        <v>68339.75</v>
      </c>
      <c r="BI45">
        <f t="shared" si="36"/>
        <v>68952.25</v>
      </c>
      <c r="BJ45">
        <f t="shared" si="37"/>
        <v>68707.25</v>
      </c>
      <c r="BK45" s="40">
        <f t="shared" si="38"/>
        <v>69809.75</v>
      </c>
      <c r="BL45">
        <f t="shared" si="39"/>
        <v>67849.75</v>
      </c>
      <c r="BM45">
        <f t="shared" si="40"/>
        <v>68911.416666666657</v>
      </c>
      <c r="BN45">
        <f t="shared" si="41"/>
        <v>68748.083333333343</v>
      </c>
      <c r="BO45" s="38">
        <f t="shared" si="42"/>
        <v>70299.75</v>
      </c>
      <c r="BP45">
        <f t="shared" si="43"/>
        <v>67359.75</v>
      </c>
      <c r="BQ45" s="7">
        <f>BO45</f>
        <v>70299.75</v>
      </c>
      <c r="BS45" s="30">
        <f t="shared" si="6"/>
        <v>71750</v>
      </c>
      <c r="BT45" s="4">
        <f t="shared" si="7"/>
        <v>70299.75</v>
      </c>
      <c r="BU45" s="37">
        <f t="shared" si="10"/>
        <v>1450.25</v>
      </c>
      <c r="BV45">
        <f t="shared" si="11"/>
        <v>1450.25</v>
      </c>
      <c r="BW45" s="35">
        <f t="shared" si="12"/>
        <v>2.0212543554006968E-2</v>
      </c>
    </row>
    <row r="46" spans="1:75">
      <c r="A46" s="1" t="s">
        <v>47</v>
      </c>
      <c r="B46" s="1">
        <v>69100</v>
      </c>
      <c r="Q46">
        <v>43</v>
      </c>
      <c r="R46" s="27" t="str">
        <f t="shared" si="1"/>
        <v>13/10/2023</v>
      </c>
      <c r="S46" s="27">
        <f t="shared" si="1"/>
        <v>69370</v>
      </c>
      <c r="T46" s="4" t="str">
        <f t="shared" si="2"/>
        <v>A5</v>
      </c>
      <c r="V46">
        <v>43</v>
      </c>
      <c r="W46" s="28" t="str">
        <f t="shared" si="0"/>
        <v>13/10/2023</v>
      </c>
      <c r="X46" s="28">
        <f t="shared" si="0"/>
        <v>69370</v>
      </c>
      <c r="Y46" s="28" t="str">
        <f t="shared" si="0"/>
        <v>A5</v>
      </c>
      <c r="Z46" s="5" t="str">
        <f t="shared" si="13"/>
        <v>A5</v>
      </c>
      <c r="AA46" s="5" t="str">
        <f t="shared" si="14"/>
        <v>A6</v>
      </c>
      <c r="AG46" s="29" t="str">
        <f t="shared" si="3"/>
        <v>13/10/2023</v>
      </c>
      <c r="AH46" s="30">
        <f t="shared" si="3"/>
        <v>69370</v>
      </c>
      <c r="AI46" s="4" t="str">
        <f t="shared" si="4"/>
        <v>A5</v>
      </c>
      <c r="AJ46" s="5" t="str">
        <f t="shared" si="15"/>
        <v>A5</v>
      </c>
      <c r="AK46">
        <f t="shared" si="16"/>
        <v>67829.5</v>
      </c>
      <c r="AL46" t="str">
        <f t="shared" si="17"/>
        <v>A6</v>
      </c>
      <c r="AM46">
        <f t="shared" si="18"/>
        <v>73860.5</v>
      </c>
      <c r="AN46" s="6">
        <f t="shared" si="19"/>
        <v>880</v>
      </c>
      <c r="AO46">
        <f t="shared" si="20"/>
        <v>72190</v>
      </c>
      <c r="AP46">
        <f t="shared" si="44"/>
        <v>71310</v>
      </c>
      <c r="AQ46" s="33">
        <f t="shared" si="22"/>
        <v>72630</v>
      </c>
      <c r="AR46" s="33">
        <f t="shared" si="23"/>
        <v>70870</v>
      </c>
      <c r="AS46">
        <f t="shared" si="24"/>
        <v>71970</v>
      </c>
      <c r="AT46" s="5">
        <f t="shared" si="25"/>
        <v>71530</v>
      </c>
      <c r="AU46" s="5">
        <f t="shared" si="26"/>
        <v>73510</v>
      </c>
      <c r="AV46" s="5">
        <f t="shared" si="27"/>
        <v>69990</v>
      </c>
      <c r="AW46" s="5">
        <f t="shared" si="28"/>
        <v>71896.666666666672</v>
      </c>
      <c r="AX46" s="5">
        <f t="shared" si="29"/>
        <v>71603.333333333328</v>
      </c>
      <c r="AY46" s="5">
        <f t="shared" si="30"/>
        <v>74390</v>
      </c>
      <c r="AZ46" s="5">
        <f t="shared" si="31"/>
        <v>69110</v>
      </c>
      <c r="BB46" s="32" t="str">
        <f t="shared" si="5"/>
        <v>13/10/2023</v>
      </c>
      <c r="BC46" s="33">
        <f t="shared" si="5"/>
        <v>69370</v>
      </c>
      <c r="BD46" s="4" t="str">
        <f t="shared" si="5"/>
        <v>A5</v>
      </c>
      <c r="BE46">
        <f t="shared" si="32"/>
        <v>73025.25</v>
      </c>
      <c r="BF46">
        <f t="shared" si="33"/>
        <v>72585.25</v>
      </c>
      <c r="BG46">
        <f t="shared" si="34"/>
        <v>73245.25</v>
      </c>
      <c r="BH46" s="40">
        <f t="shared" si="35"/>
        <v>72365.25</v>
      </c>
      <c r="BI46">
        <f t="shared" si="36"/>
        <v>72915.25</v>
      </c>
      <c r="BJ46">
        <f t="shared" si="37"/>
        <v>72695.25</v>
      </c>
      <c r="BK46">
        <f t="shared" si="38"/>
        <v>73685.25</v>
      </c>
      <c r="BL46">
        <f t="shared" si="39"/>
        <v>71925.25</v>
      </c>
      <c r="BM46">
        <f t="shared" si="40"/>
        <v>72878.583333333343</v>
      </c>
      <c r="BN46">
        <f t="shared" si="41"/>
        <v>72731.916666666657</v>
      </c>
      <c r="BO46">
        <f t="shared" si="42"/>
        <v>74125.25</v>
      </c>
      <c r="BP46" s="38">
        <f t="shared" si="43"/>
        <v>71485.25</v>
      </c>
      <c r="BQ46" s="7">
        <f>BP46</f>
        <v>71485.25</v>
      </c>
      <c r="BS46" s="30">
        <f t="shared" si="6"/>
        <v>69370</v>
      </c>
      <c r="BT46" s="4">
        <f t="shared" si="7"/>
        <v>71485.25</v>
      </c>
      <c r="BU46" s="37">
        <f t="shared" si="10"/>
        <v>-2115.25</v>
      </c>
      <c r="BV46">
        <f t="shared" si="11"/>
        <v>2115.25</v>
      </c>
      <c r="BW46" s="35">
        <f t="shared" si="12"/>
        <v>3.0492287732449185E-2</v>
      </c>
    </row>
    <row r="47" spans="1:75">
      <c r="A47" s="1" t="s">
        <v>48</v>
      </c>
      <c r="B47" s="1">
        <v>67860</v>
      </c>
      <c r="Q47">
        <v>44</v>
      </c>
      <c r="R47" s="27" t="str">
        <f t="shared" si="1"/>
        <v>14/10/2023</v>
      </c>
      <c r="S47" s="27">
        <f t="shared" si="1"/>
        <v>71110</v>
      </c>
      <c r="T47" s="4" t="str">
        <f t="shared" si="2"/>
        <v>A6</v>
      </c>
      <c r="V47">
        <v>44</v>
      </c>
      <c r="W47" s="28" t="str">
        <f t="shared" si="0"/>
        <v>14/10/2023</v>
      </c>
      <c r="X47" s="28">
        <f t="shared" si="0"/>
        <v>71110</v>
      </c>
      <c r="Y47" s="28" t="str">
        <f t="shared" si="0"/>
        <v>A6</v>
      </c>
      <c r="Z47" s="5" t="str">
        <f t="shared" si="13"/>
        <v>A6</v>
      </c>
      <c r="AA47" s="5" t="str">
        <f t="shared" si="14"/>
        <v>A5</v>
      </c>
      <c r="AG47" s="29" t="str">
        <f t="shared" si="3"/>
        <v>14/10/2023</v>
      </c>
      <c r="AH47" s="30">
        <f t="shared" si="3"/>
        <v>71110</v>
      </c>
      <c r="AI47" s="4" t="str">
        <f t="shared" si="4"/>
        <v>A6</v>
      </c>
      <c r="AJ47" s="5" t="str">
        <f t="shared" si="15"/>
        <v>A6</v>
      </c>
      <c r="AK47">
        <f t="shared" si="16"/>
        <v>73860.5</v>
      </c>
      <c r="AL47" t="str">
        <f t="shared" si="17"/>
        <v>A5</v>
      </c>
      <c r="AM47">
        <f t="shared" si="18"/>
        <v>67829.5</v>
      </c>
      <c r="AN47" s="6">
        <f t="shared" si="19"/>
        <v>460</v>
      </c>
      <c r="AO47">
        <f t="shared" si="20"/>
        <v>69600</v>
      </c>
      <c r="AP47">
        <f t="shared" si="44"/>
        <v>69140</v>
      </c>
      <c r="AQ47" s="33">
        <f t="shared" si="22"/>
        <v>69830</v>
      </c>
      <c r="AR47" s="33">
        <f t="shared" si="23"/>
        <v>68910</v>
      </c>
      <c r="AS47">
        <f t="shared" si="24"/>
        <v>69485</v>
      </c>
      <c r="AT47" s="5">
        <f t="shared" si="25"/>
        <v>69255</v>
      </c>
      <c r="AU47" s="5">
        <f t="shared" si="26"/>
        <v>70290</v>
      </c>
      <c r="AV47" s="5">
        <f t="shared" si="27"/>
        <v>68450</v>
      </c>
      <c r="AW47" s="5">
        <f t="shared" si="28"/>
        <v>69446.666666666672</v>
      </c>
      <c r="AX47" s="5">
        <f t="shared" si="29"/>
        <v>69293.333333333328</v>
      </c>
      <c r="AY47" s="5">
        <f t="shared" si="30"/>
        <v>70750</v>
      </c>
      <c r="AZ47" s="5">
        <f t="shared" si="31"/>
        <v>67990</v>
      </c>
      <c r="BB47" s="32" t="str">
        <f t="shared" si="5"/>
        <v>14/10/2023</v>
      </c>
      <c r="BC47" s="33">
        <f t="shared" si="5"/>
        <v>71110</v>
      </c>
      <c r="BD47" s="4" t="str">
        <f t="shared" si="5"/>
        <v>A6</v>
      </c>
      <c r="BE47">
        <f t="shared" si="32"/>
        <v>68714.75</v>
      </c>
      <c r="BF47">
        <f t="shared" si="33"/>
        <v>68484.75</v>
      </c>
      <c r="BG47">
        <f t="shared" si="34"/>
        <v>68829.75</v>
      </c>
      <c r="BH47">
        <f t="shared" si="35"/>
        <v>68369.75</v>
      </c>
      <c r="BI47">
        <f t="shared" si="36"/>
        <v>68657.25</v>
      </c>
      <c r="BJ47">
        <f t="shared" si="37"/>
        <v>68542.25</v>
      </c>
      <c r="BK47">
        <f t="shared" si="38"/>
        <v>69059.75</v>
      </c>
      <c r="BL47">
        <f t="shared" si="39"/>
        <v>68139.75</v>
      </c>
      <c r="BM47">
        <f t="shared" si="40"/>
        <v>68638.083333333343</v>
      </c>
      <c r="BN47">
        <f t="shared" si="41"/>
        <v>68561.416666666657</v>
      </c>
      <c r="BO47" s="38">
        <f t="shared" si="42"/>
        <v>69289.75</v>
      </c>
      <c r="BP47">
        <f t="shared" si="43"/>
        <v>67909.75</v>
      </c>
      <c r="BQ47" s="7">
        <f>BO47</f>
        <v>69289.75</v>
      </c>
      <c r="BS47" s="30">
        <f t="shared" si="6"/>
        <v>71110</v>
      </c>
      <c r="BT47" s="4">
        <f t="shared" si="7"/>
        <v>69289.75</v>
      </c>
      <c r="BU47" s="37">
        <f t="shared" si="10"/>
        <v>1820.25</v>
      </c>
      <c r="BV47">
        <f t="shared" si="11"/>
        <v>1820.25</v>
      </c>
      <c r="BW47" s="35">
        <f t="shared" si="12"/>
        <v>2.5597665588524821E-2</v>
      </c>
    </row>
    <row r="48" spans="1:75">
      <c r="A48" s="1" t="s">
        <v>49</v>
      </c>
      <c r="B48" s="1">
        <v>68470</v>
      </c>
      <c r="Q48">
        <v>45</v>
      </c>
      <c r="R48" s="27" t="str">
        <f t="shared" si="1"/>
        <v>15/10/2023</v>
      </c>
      <c r="S48" s="27">
        <f t="shared" si="1"/>
        <v>69100</v>
      </c>
      <c r="T48" s="4" t="str">
        <f t="shared" si="2"/>
        <v>A5</v>
      </c>
      <c r="V48">
        <v>45</v>
      </c>
      <c r="W48" s="28" t="str">
        <f t="shared" si="0"/>
        <v>15/10/2023</v>
      </c>
      <c r="X48" s="28">
        <f t="shared" si="0"/>
        <v>69100</v>
      </c>
      <c r="Y48" s="28" t="str">
        <f t="shared" si="0"/>
        <v>A5</v>
      </c>
      <c r="Z48" s="5" t="str">
        <f t="shared" si="13"/>
        <v>A5</v>
      </c>
      <c r="AA48" s="5" t="str">
        <f t="shared" si="14"/>
        <v>A6</v>
      </c>
      <c r="AG48" s="29" t="str">
        <f t="shared" si="3"/>
        <v>15/10/2023</v>
      </c>
      <c r="AH48" s="30">
        <f t="shared" si="3"/>
        <v>69100</v>
      </c>
      <c r="AI48" s="4" t="str">
        <f t="shared" si="4"/>
        <v>A5</v>
      </c>
      <c r="AJ48" s="5" t="str">
        <f t="shared" si="15"/>
        <v>A5</v>
      </c>
      <c r="AK48">
        <f t="shared" si="16"/>
        <v>67829.5</v>
      </c>
      <c r="AL48" t="str">
        <f t="shared" si="17"/>
        <v>A6</v>
      </c>
      <c r="AM48">
        <f t="shared" si="18"/>
        <v>73860.5</v>
      </c>
      <c r="AN48" s="6">
        <f t="shared" si="19"/>
        <v>640</v>
      </c>
      <c r="AO48">
        <f t="shared" si="20"/>
        <v>71430</v>
      </c>
      <c r="AP48">
        <f t="shared" si="44"/>
        <v>70790</v>
      </c>
      <c r="AQ48" s="33">
        <f t="shared" si="22"/>
        <v>71750</v>
      </c>
      <c r="AR48" s="33">
        <f t="shared" si="23"/>
        <v>70470</v>
      </c>
      <c r="AS48">
        <f t="shared" si="24"/>
        <v>71270</v>
      </c>
      <c r="AT48" s="5">
        <f t="shared" si="25"/>
        <v>70950</v>
      </c>
      <c r="AU48" s="5">
        <f t="shared" si="26"/>
        <v>72390</v>
      </c>
      <c r="AV48" s="5">
        <f t="shared" si="27"/>
        <v>69830</v>
      </c>
      <c r="AW48" s="5">
        <f t="shared" si="28"/>
        <v>71216.666666666672</v>
      </c>
      <c r="AX48" s="5">
        <f t="shared" si="29"/>
        <v>71003.333333333328</v>
      </c>
      <c r="AY48" s="5">
        <f t="shared" si="30"/>
        <v>73030</v>
      </c>
      <c r="AZ48" s="5">
        <f t="shared" si="31"/>
        <v>69190</v>
      </c>
      <c r="BB48" s="32" t="str">
        <f t="shared" si="5"/>
        <v>15/10/2023</v>
      </c>
      <c r="BC48" s="33">
        <f t="shared" si="5"/>
        <v>69100</v>
      </c>
      <c r="BD48" s="4" t="str">
        <f t="shared" si="5"/>
        <v>A5</v>
      </c>
      <c r="BE48">
        <f t="shared" si="32"/>
        <v>72645.25</v>
      </c>
      <c r="BF48" s="40">
        <f t="shared" si="33"/>
        <v>72325.25</v>
      </c>
      <c r="BG48">
        <f t="shared" si="34"/>
        <v>72805.25</v>
      </c>
      <c r="BH48">
        <f t="shared" si="35"/>
        <v>72165.25</v>
      </c>
      <c r="BI48">
        <f t="shared" si="36"/>
        <v>72565.25</v>
      </c>
      <c r="BJ48">
        <f t="shared" si="37"/>
        <v>72405.25</v>
      </c>
      <c r="BK48">
        <f t="shared" si="38"/>
        <v>73125.25</v>
      </c>
      <c r="BL48">
        <f t="shared" si="39"/>
        <v>71845.25</v>
      </c>
      <c r="BM48">
        <f t="shared" si="40"/>
        <v>72538.583333333343</v>
      </c>
      <c r="BN48">
        <f t="shared" si="41"/>
        <v>72431.916666666657</v>
      </c>
      <c r="BO48">
        <f t="shared" si="42"/>
        <v>73445.25</v>
      </c>
      <c r="BP48" s="38">
        <f t="shared" si="43"/>
        <v>71525.25</v>
      </c>
      <c r="BQ48" s="7">
        <f>BP48</f>
        <v>71525.25</v>
      </c>
      <c r="BS48" s="30">
        <f t="shared" si="6"/>
        <v>69100</v>
      </c>
      <c r="BT48" s="4">
        <f t="shared" si="7"/>
        <v>71525.25</v>
      </c>
      <c r="BU48" s="37">
        <f t="shared" si="10"/>
        <v>-2425.25</v>
      </c>
      <c r="BV48">
        <f t="shared" si="11"/>
        <v>2425.25</v>
      </c>
      <c r="BW48" s="35">
        <f t="shared" si="12"/>
        <v>3.509768451519537E-2</v>
      </c>
    </row>
    <row r="49" spans="1:75">
      <c r="A49" s="1" t="s">
        <v>50</v>
      </c>
      <c r="B49" s="1">
        <v>70740</v>
      </c>
      <c r="Q49">
        <v>46</v>
      </c>
      <c r="R49" s="27" t="str">
        <f t="shared" si="1"/>
        <v>16/10/2023</v>
      </c>
      <c r="S49" s="27">
        <f t="shared" si="1"/>
        <v>67860</v>
      </c>
      <c r="T49" s="4" t="str">
        <f t="shared" si="2"/>
        <v>A5</v>
      </c>
      <c r="V49">
        <v>46</v>
      </c>
      <c r="W49" s="28" t="str">
        <f t="shared" si="0"/>
        <v>16/10/2023</v>
      </c>
      <c r="X49" s="28">
        <f t="shared" si="0"/>
        <v>67860</v>
      </c>
      <c r="Y49" s="28" t="str">
        <f t="shared" si="0"/>
        <v>A5</v>
      </c>
      <c r="Z49" s="5" t="str">
        <f t="shared" si="13"/>
        <v>A6</v>
      </c>
      <c r="AA49" s="5" t="str">
        <f t="shared" si="14"/>
        <v>A5</v>
      </c>
      <c r="AG49" s="29" t="str">
        <f t="shared" si="3"/>
        <v>16/10/2023</v>
      </c>
      <c r="AH49" s="30">
        <f t="shared" si="3"/>
        <v>67860</v>
      </c>
      <c r="AI49" s="4" t="str">
        <f t="shared" si="4"/>
        <v>A5</v>
      </c>
      <c r="AJ49" s="5" t="str">
        <f t="shared" si="15"/>
        <v>A6</v>
      </c>
      <c r="AK49">
        <f t="shared" si="16"/>
        <v>73860.5</v>
      </c>
      <c r="AL49" t="str">
        <f t="shared" si="17"/>
        <v>A5</v>
      </c>
      <c r="AM49">
        <f t="shared" si="18"/>
        <v>67829.5</v>
      </c>
      <c r="AN49" s="6">
        <f t="shared" si="19"/>
        <v>270</v>
      </c>
      <c r="AO49">
        <f t="shared" si="20"/>
        <v>69235</v>
      </c>
      <c r="AP49">
        <f t="shared" si="44"/>
        <v>68965</v>
      </c>
      <c r="AQ49" s="33">
        <f t="shared" si="22"/>
        <v>69370</v>
      </c>
      <c r="AR49" s="33">
        <f t="shared" si="23"/>
        <v>68830</v>
      </c>
      <c r="AS49">
        <f t="shared" si="24"/>
        <v>69167.5</v>
      </c>
      <c r="AT49" s="5">
        <f t="shared" si="25"/>
        <v>69032.5</v>
      </c>
      <c r="AU49" s="5">
        <f t="shared" si="26"/>
        <v>69640</v>
      </c>
      <c r="AV49" s="5">
        <f t="shared" si="27"/>
        <v>68560</v>
      </c>
      <c r="AW49" s="5">
        <f t="shared" si="28"/>
        <v>69145</v>
      </c>
      <c r="AX49" s="5">
        <f t="shared" si="29"/>
        <v>69055</v>
      </c>
      <c r="AY49" s="5">
        <f t="shared" si="30"/>
        <v>69910</v>
      </c>
      <c r="AZ49" s="5">
        <f t="shared" si="31"/>
        <v>68290</v>
      </c>
      <c r="BB49" s="32" t="str">
        <f t="shared" si="5"/>
        <v>16/10/2023</v>
      </c>
      <c r="BC49" s="33">
        <f t="shared" si="5"/>
        <v>67860</v>
      </c>
      <c r="BD49" s="4" t="str">
        <f t="shared" si="5"/>
        <v>A5</v>
      </c>
      <c r="BE49">
        <f t="shared" si="32"/>
        <v>68532.25</v>
      </c>
      <c r="BF49">
        <f t="shared" si="33"/>
        <v>68397.25</v>
      </c>
      <c r="BG49">
        <f t="shared" si="34"/>
        <v>68599.75</v>
      </c>
      <c r="BH49">
        <f t="shared" si="35"/>
        <v>68329.75</v>
      </c>
      <c r="BI49">
        <f t="shared" si="36"/>
        <v>68498.5</v>
      </c>
      <c r="BJ49">
        <f t="shared" si="37"/>
        <v>68431</v>
      </c>
      <c r="BK49">
        <f t="shared" si="38"/>
        <v>68734.75</v>
      </c>
      <c r="BL49">
        <f t="shared" si="39"/>
        <v>68194.75</v>
      </c>
      <c r="BM49">
        <f t="shared" si="40"/>
        <v>68487.25</v>
      </c>
      <c r="BN49">
        <f t="shared" si="41"/>
        <v>68442.25</v>
      </c>
      <c r="BO49">
        <f t="shared" si="42"/>
        <v>68869.75</v>
      </c>
      <c r="BP49" s="38">
        <f t="shared" si="43"/>
        <v>68059.75</v>
      </c>
      <c r="BQ49" s="7">
        <f>BP49</f>
        <v>68059.75</v>
      </c>
      <c r="BS49" s="30">
        <f t="shared" si="6"/>
        <v>67860</v>
      </c>
      <c r="BT49" s="4">
        <f t="shared" si="7"/>
        <v>68059.75</v>
      </c>
      <c r="BU49" s="37">
        <f t="shared" si="10"/>
        <v>-199.75</v>
      </c>
      <c r="BV49">
        <f t="shared" si="11"/>
        <v>199.75</v>
      </c>
      <c r="BW49" s="35">
        <f t="shared" si="12"/>
        <v>2.9435602711464781E-3</v>
      </c>
    </row>
    <row r="50" spans="1:75">
      <c r="A50" s="1" t="s">
        <v>51</v>
      </c>
      <c r="B50" s="1">
        <v>69340</v>
      </c>
      <c r="Q50">
        <v>47</v>
      </c>
      <c r="R50" s="27" t="str">
        <f t="shared" si="1"/>
        <v>17/10/2023</v>
      </c>
      <c r="S50" s="27">
        <f t="shared" si="1"/>
        <v>68470</v>
      </c>
      <c r="T50" s="4" t="str">
        <f t="shared" si="2"/>
        <v>A5</v>
      </c>
      <c r="V50">
        <v>47</v>
      </c>
      <c r="W50" s="28" t="str">
        <f t="shared" si="0"/>
        <v>17/10/2023</v>
      </c>
      <c r="X50" s="28">
        <f t="shared" si="0"/>
        <v>68470</v>
      </c>
      <c r="Y50" s="28" t="str">
        <f t="shared" si="0"/>
        <v>A5</v>
      </c>
      <c r="Z50" s="5" t="str">
        <f t="shared" si="13"/>
        <v>A5</v>
      </c>
      <c r="AA50" s="5" t="str">
        <f t="shared" si="14"/>
        <v>A5</v>
      </c>
      <c r="AG50" s="29" t="str">
        <f t="shared" si="3"/>
        <v>17/10/2023</v>
      </c>
      <c r="AH50" s="30">
        <f t="shared" si="3"/>
        <v>68470</v>
      </c>
      <c r="AI50" s="4" t="str">
        <f t="shared" si="4"/>
        <v>A5</v>
      </c>
      <c r="AJ50" s="5" t="str">
        <f t="shared" si="15"/>
        <v>A5</v>
      </c>
      <c r="AK50">
        <f t="shared" si="16"/>
        <v>67829.5</v>
      </c>
      <c r="AL50" t="str">
        <f t="shared" si="17"/>
        <v>A5</v>
      </c>
      <c r="AM50">
        <f t="shared" si="18"/>
        <v>67829.5</v>
      </c>
      <c r="AN50" s="6">
        <f t="shared" si="19"/>
        <v>770</v>
      </c>
      <c r="AO50">
        <f t="shared" si="20"/>
        <v>68245</v>
      </c>
      <c r="AP50">
        <f t="shared" si="44"/>
        <v>67475</v>
      </c>
      <c r="AQ50" s="33">
        <f t="shared" si="22"/>
        <v>68630</v>
      </c>
      <c r="AR50" s="33">
        <f t="shared" si="23"/>
        <v>67090</v>
      </c>
      <c r="AS50">
        <f t="shared" si="24"/>
        <v>68052.5</v>
      </c>
      <c r="AT50" s="5">
        <f t="shared" si="25"/>
        <v>67667.5</v>
      </c>
      <c r="AU50" s="5">
        <f t="shared" si="26"/>
        <v>69400</v>
      </c>
      <c r="AV50" s="5">
        <f t="shared" si="27"/>
        <v>66320</v>
      </c>
      <c r="AW50" s="5">
        <f t="shared" si="28"/>
        <v>67988.333333333328</v>
      </c>
      <c r="AX50" s="5">
        <f t="shared" si="29"/>
        <v>67731.666666666672</v>
      </c>
      <c r="AY50" s="5">
        <f t="shared" si="30"/>
        <v>70170</v>
      </c>
      <c r="AZ50" s="5">
        <f t="shared" si="31"/>
        <v>65550</v>
      </c>
      <c r="BB50" s="32" t="str">
        <f t="shared" si="5"/>
        <v>17/10/2023</v>
      </c>
      <c r="BC50" s="33">
        <f t="shared" si="5"/>
        <v>68470</v>
      </c>
      <c r="BD50" s="4" t="str">
        <f t="shared" si="5"/>
        <v>A5</v>
      </c>
      <c r="BE50">
        <f t="shared" si="32"/>
        <v>68037.25</v>
      </c>
      <c r="BF50">
        <f t="shared" si="33"/>
        <v>67652.25</v>
      </c>
      <c r="BG50" s="38">
        <f t="shared" si="34"/>
        <v>68229.75</v>
      </c>
      <c r="BH50">
        <f t="shared" si="35"/>
        <v>67459.75</v>
      </c>
      <c r="BI50">
        <f t="shared" si="36"/>
        <v>67941</v>
      </c>
      <c r="BJ50">
        <f t="shared" si="37"/>
        <v>67748.5</v>
      </c>
      <c r="BK50">
        <f t="shared" si="38"/>
        <v>68614.75</v>
      </c>
      <c r="BL50">
        <f t="shared" si="39"/>
        <v>67074.75</v>
      </c>
      <c r="BM50">
        <f t="shared" si="40"/>
        <v>67908.916666666657</v>
      </c>
      <c r="BN50">
        <f t="shared" si="41"/>
        <v>67780.583333333343</v>
      </c>
      <c r="BO50">
        <f t="shared" si="42"/>
        <v>68999.75</v>
      </c>
      <c r="BP50">
        <f t="shared" si="43"/>
        <v>66689.75</v>
      </c>
      <c r="BQ50" s="7">
        <f>BG50</f>
        <v>68229.75</v>
      </c>
      <c r="BS50" s="30">
        <f t="shared" si="6"/>
        <v>68470</v>
      </c>
      <c r="BT50" s="4">
        <f t="shared" si="7"/>
        <v>68229.75</v>
      </c>
      <c r="BU50" s="37">
        <f t="shared" si="10"/>
        <v>240.25</v>
      </c>
      <c r="BV50">
        <f t="shared" si="11"/>
        <v>240.25</v>
      </c>
      <c r="BW50" s="35">
        <f t="shared" si="12"/>
        <v>3.5088359865634586E-3</v>
      </c>
    </row>
    <row r="51" spans="1:75">
      <c r="A51" s="1" t="s">
        <v>52</v>
      </c>
      <c r="B51" s="1">
        <v>70720</v>
      </c>
      <c r="Q51">
        <v>48</v>
      </c>
      <c r="R51" s="27" t="str">
        <f t="shared" si="1"/>
        <v>18/10/2023</v>
      </c>
      <c r="S51" s="27">
        <f t="shared" si="1"/>
        <v>70740</v>
      </c>
      <c r="T51" s="4" t="str">
        <f t="shared" si="2"/>
        <v>A5</v>
      </c>
      <c r="V51">
        <v>48</v>
      </c>
      <c r="W51" s="28" t="str">
        <f t="shared" si="0"/>
        <v>18/10/2023</v>
      </c>
      <c r="X51" s="28">
        <f t="shared" si="0"/>
        <v>70740</v>
      </c>
      <c r="Y51" s="28" t="str">
        <f t="shared" si="0"/>
        <v>A5</v>
      </c>
      <c r="Z51" s="5" t="str">
        <f t="shared" si="13"/>
        <v>A5</v>
      </c>
      <c r="AA51" s="5" t="str">
        <f t="shared" si="14"/>
        <v>A5</v>
      </c>
      <c r="AG51" s="29" t="str">
        <f t="shared" si="3"/>
        <v>18/10/2023</v>
      </c>
      <c r="AH51" s="30">
        <f t="shared" si="3"/>
        <v>70740</v>
      </c>
      <c r="AI51" s="4" t="str">
        <f t="shared" si="4"/>
        <v>A5</v>
      </c>
      <c r="AJ51" s="5" t="str">
        <f t="shared" si="15"/>
        <v>A5</v>
      </c>
      <c r="AK51">
        <f t="shared" si="16"/>
        <v>67829.5</v>
      </c>
      <c r="AL51" t="str">
        <f t="shared" si="17"/>
        <v>A5</v>
      </c>
      <c r="AM51">
        <f t="shared" si="18"/>
        <v>67829.5</v>
      </c>
      <c r="AN51" s="6">
        <f t="shared" si="19"/>
        <v>630</v>
      </c>
      <c r="AO51">
        <f t="shared" si="20"/>
        <v>68785</v>
      </c>
      <c r="AP51">
        <f t="shared" si="44"/>
        <v>68155</v>
      </c>
      <c r="AQ51" s="33">
        <f t="shared" si="22"/>
        <v>69100</v>
      </c>
      <c r="AR51" s="33">
        <f t="shared" si="23"/>
        <v>67840</v>
      </c>
      <c r="AS51">
        <f t="shared" si="24"/>
        <v>68627.5</v>
      </c>
      <c r="AT51" s="5">
        <f t="shared" si="25"/>
        <v>68312.5</v>
      </c>
      <c r="AU51" s="5">
        <f t="shared" si="26"/>
        <v>69730</v>
      </c>
      <c r="AV51" s="5">
        <f t="shared" si="27"/>
        <v>67210</v>
      </c>
      <c r="AW51" s="5">
        <f t="shared" si="28"/>
        <v>68575</v>
      </c>
      <c r="AX51" s="5">
        <f t="shared" si="29"/>
        <v>68365</v>
      </c>
      <c r="AY51" s="5">
        <f t="shared" si="30"/>
        <v>70360</v>
      </c>
      <c r="AZ51" s="5">
        <f t="shared" si="31"/>
        <v>66580</v>
      </c>
      <c r="BB51" s="32" t="str">
        <f t="shared" si="5"/>
        <v>18/10/2023</v>
      </c>
      <c r="BC51" s="33">
        <f t="shared" si="5"/>
        <v>70740</v>
      </c>
      <c r="BD51" s="4" t="str">
        <f t="shared" si="5"/>
        <v>A5</v>
      </c>
      <c r="BE51">
        <f t="shared" si="32"/>
        <v>68307.25</v>
      </c>
      <c r="BF51">
        <f t="shared" si="33"/>
        <v>67992.25</v>
      </c>
      <c r="BG51">
        <f t="shared" si="34"/>
        <v>68464.75</v>
      </c>
      <c r="BH51">
        <f t="shared" si="35"/>
        <v>67834.75</v>
      </c>
      <c r="BI51">
        <f t="shared" si="36"/>
        <v>68228.5</v>
      </c>
      <c r="BJ51">
        <f t="shared" si="37"/>
        <v>68071</v>
      </c>
      <c r="BK51">
        <f t="shared" si="38"/>
        <v>68779.75</v>
      </c>
      <c r="BL51">
        <f t="shared" si="39"/>
        <v>67519.75</v>
      </c>
      <c r="BM51">
        <f t="shared" si="40"/>
        <v>68202.25</v>
      </c>
      <c r="BN51">
        <f t="shared" si="41"/>
        <v>68097.25</v>
      </c>
      <c r="BO51" s="38">
        <f t="shared" si="42"/>
        <v>69094.75</v>
      </c>
      <c r="BP51">
        <f t="shared" si="43"/>
        <v>67204.75</v>
      </c>
      <c r="BQ51" s="7">
        <f>BO51</f>
        <v>69094.75</v>
      </c>
      <c r="BS51" s="30">
        <f t="shared" si="6"/>
        <v>70740</v>
      </c>
      <c r="BT51" s="4">
        <f t="shared" si="7"/>
        <v>69094.75</v>
      </c>
      <c r="BU51" s="37">
        <f t="shared" si="10"/>
        <v>1645.25</v>
      </c>
      <c r="BV51">
        <f t="shared" si="11"/>
        <v>1645.25</v>
      </c>
      <c r="BW51" s="35">
        <f t="shared" si="12"/>
        <v>2.3257704269154651E-2</v>
      </c>
    </row>
    <row r="52" spans="1:75">
      <c r="A52" s="1" t="s">
        <v>53</v>
      </c>
      <c r="B52" s="1">
        <v>70870</v>
      </c>
      <c r="Q52">
        <v>49</v>
      </c>
      <c r="R52" s="27" t="str">
        <f t="shared" si="1"/>
        <v>19/10/2023</v>
      </c>
      <c r="S52" s="27">
        <f t="shared" si="1"/>
        <v>69340</v>
      </c>
      <c r="T52" s="4" t="str">
        <f t="shared" si="2"/>
        <v>A5</v>
      </c>
      <c r="V52">
        <v>49</v>
      </c>
      <c r="W52" s="28" t="str">
        <f t="shared" si="0"/>
        <v>19/10/2023</v>
      </c>
      <c r="X52" s="28">
        <f t="shared" si="0"/>
        <v>69340</v>
      </c>
      <c r="Y52" s="28" t="str">
        <f t="shared" si="0"/>
        <v>A5</v>
      </c>
      <c r="Z52" s="5" t="str">
        <f t="shared" si="13"/>
        <v>A5</v>
      </c>
      <c r="AA52" s="5" t="str">
        <f t="shared" si="14"/>
        <v>A5</v>
      </c>
      <c r="AG52" s="29" t="str">
        <f t="shared" si="3"/>
        <v>19/10/2023</v>
      </c>
      <c r="AH52" s="30">
        <f t="shared" si="3"/>
        <v>69340</v>
      </c>
      <c r="AI52" s="4" t="str">
        <f t="shared" si="4"/>
        <v>A5</v>
      </c>
      <c r="AJ52" s="5" t="str">
        <f t="shared" si="15"/>
        <v>A5</v>
      </c>
      <c r="AK52">
        <f t="shared" si="16"/>
        <v>67829.5</v>
      </c>
      <c r="AL52" t="str">
        <f t="shared" si="17"/>
        <v>A5</v>
      </c>
      <c r="AM52">
        <f t="shared" si="18"/>
        <v>67829.5</v>
      </c>
      <c r="AN52" s="6">
        <f t="shared" si="19"/>
        <v>1660</v>
      </c>
      <c r="AO52">
        <f t="shared" si="20"/>
        <v>71570</v>
      </c>
      <c r="AP52">
        <f t="shared" si="44"/>
        <v>69910</v>
      </c>
      <c r="AQ52" s="33">
        <f t="shared" si="22"/>
        <v>72400</v>
      </c>
      <c r="AR52" s="33">
        <f t="shared" si="23"/>
        <v>69080</v>
      </c>
      <c r="AS52">
        <f t="shared" si="24"/>
        <v>71155</v>
      </c>
      <c r="AT52" s="5">
        <f t="shared" si="25"/>
        <v>70325</v>
      </c>
      <c r="AU52" s="5">
        <f t="shared" si="26"/>
        <v>74060</v>
      </c>
      <c r="AV52" s="5">
        <f t="shared" si="27"/>
        <v>67420</v>
      </c>
      <c r="AW52" s="5">
        <f t="shared" si="28"/>
        <v>71016.666666666672</v>
      </c>
      <c r="AX52" s="5">
        <f t="shared" si="29"/>
        <v>70463.333333333328</v>
      </c>
      <c r="AY52" s="5">
        <f t="shared" si="30"/>
        <v>75720</v>
      </c>
      <c r="AZ52" s="5">
        <f t="shared" si="31"/>
        <v>65760</v>
      </c>
      <c r="BB52" s="32" t="str">
        <f t="shared" si="5"/>
        <v>19/10/2023</v>
      </c>
      <c r="BC52" s="33">
        <f t="shared" si="5"/>
        <v>69340</v>
      </c>
      <c r="BD52" s="4" t="str">
        <f t="shared" si="5"/>
        <v>A5</v>
      </c>
      <c r="BE52">
        <f t="shared" si="32"/>
        <v>69699.75</v>
      </c>
      <c r="BF52">
        <f t="shared" si="33"/>
        <v>68869.75</v>
      </c>
      <c r="BG52">
        <f t="shared" si="34"/>
        <v>70114.75</v>
      </c>
      <c r="BH52">
        <f t="shared" si="35"/>
        <v>68454.75</v>
      </c>
      <c r="BI52">
        <f t="shared" si="36"/>
        <v>69492.25</v>
      </c>
      <c r="BJ52">
        <f t="shared" si="37"/>
        <v>69077.25</v>
      </c>
      <c r="BK52">
        <f t="shared" si="38"/>
        <v>70944.75</v>
      </c>
      <c r="BL52">
        <f t="shared" si="39"/>
        <v>67624.75</v>
      </c>
      <c r="BM52" s="38">
        <f t="shared" si="40"/>
        <v>69423.083333333343</v>
      </c>
      <c r="BN52" s="40">
        <f t="shared" si="41"/>
        <v>69146.416666666657</v>
      </c>
      <c r="BO52">
        <f t="shared" si="42"/>
        <v>71774.75</v>
      </c>
      <c r="BP52">
        <f t="shared" si="43"/>
        <v>66794.75</v>
      </c>
      <c r="BQ52" s="7">
        <f>BM52</f>
        <v>69423.083333333343</v>
      </c>
      <c r="BS52" s="30">
        <f t="shared" si="6"/>
        <v>69340</v>
      </c>
      <c r="BT52" s="4">
        <f t="shared" si="7"/>
        <v>69423.083333333343</v>
      </c>
      <c r="BU52" s="37">
        <f t="shared" si="10"/>
        <v>-83.083333333343035</v>
      </c>
      <c r="BV52">
        <f t="shared" si="11"/>
        <v>83.083333333343035</v>
      </c>
      <c r="BW52" s="35">
        <f t="shared" si="12"/>
        <v>1.1982020959524521E-3</v>
      </c>
    </row>
    <row r="53" spans="1:75">
      <c r="A53" s="1" t="s">
        <v>54</v>
      </c>
      <c r="B53" s="1">
        <v>70160</v>
      </c>
      <c r="Q53">
        <v>50</v>
      </c>
      <c r="R53" s="27" t="str">
        <f t="shared" si="1"/>
        <v>20/10/2023</v>
      </c>
      <c r="S53" s="27">
        <f t="shared" si="1"/>
        <v>70720</v>
      </c>
      <c r="T53" s="4" t="str">
        <f t="shared" si="2"/>
        <v>A5</v>
      </c>
      <c r="V53">
        <v>50</v>
      </c>
      <c r="W53" s="28" t="str">
        <f t="shared" si="0"/>
        <v>20/10/2023</v>
      </c>
      <c r="X53" s="28">
        <f t="shared" si="0"/>
        <v>70720</v>
      </c>
      <c r="Y53" s="28" t="str">
        <f t="shared" si="0"/>
        <v>A5</v>
      </c>
      <c r="Z53" s="5" t="str">
        <f t="shared" si="13"/>
        <v>A5</v>
      </c>
      <c r="AA53" s="5" t="str">
        <f t="shared" si="14"/>
        <v>A5</v>
      </c>
      <c r="AG53" s="29" t="str">
        <f t="shared" si="3"/>
        <v>20/10/2023</v>
      </c>
      <c r="AH53" s="30">
        <f t="shared" si="3"/>
        <v>70720</v>
      </c>
      <c r="AI53" s="4" t="str">
        <f t="shared" si="4"/>
        <v>A5</v>
      </c>
      <c r="AJ53" s="5" t="str">
        <f t="shared" si="15"/>
        <v>A5</v>
      </c>
      <c r="AK53">
        <f t="shared" si="16"/>
        <v>67829.5</v>
      </c>
      <c r="AL53" t="str">
        <f t="shared" si="17"/>
        <v>A5</v>
      </c>
      <c r="AM53">
        <f t="shared" si="18"/>
        <v>67829.5</v>
      </c>
      <c r="AN53" s="6">
        <f t="shared" si="19"/>
        <v>870</v>
      </c>
      <c r="AO53">
        <f t="shared" si="20"/>
        <v>69775</v>
      </c>
      <c r="AP53">
        <f t="shared" si="44"/>
        <v>68905</v>
      </c>
      <c r="AQ53" s="33">
        <f t="shared" si="22"/>
        <v>70210</v>
      </c>
      <c r="AR53" s="33">
        <f t="shared" si="23"/>
        <v>68470</v>
      </c>
      <c r="AS53">
        <f t="shared" si="24"/>
        <v>69557.5</v>
      </c>
      <c r="AT53" s="5">
        <f t="shared" si="25"/>
        <v>69122.5</v>
      </c>
      <c r="AU53" s="5">
        <f t="shared" si="26"/>
        <v>71080</v>
      </c>
      <c r="AV53" s="5">
        <f t="shared" si="27"/>
        <v>67600</v>
      </c>
      <c r="AW53" s="5">
        <f t="shared" si="28"/>
        <v>69485</v>
      </c>
      <c r="AX53" s="5">
        <f t="shared" si="29"/>
        <v>69195</v>
      </c>
      <c r="AY53" s="5">
        <f t="shared" si="30"/>
        <v>71950</v>
      </c>
      <c r="AZ53" s="5">
        <f t="shared" si="31"/>
        <v>66730</v>
      </c>
      <c r="BB53" s="32" t="str">
        <f t="shared" si="5"/>
        <v>20/10/2023</v>
      </c>
      <c r="BC53" s="33">
        <f t="shared" si="5"/>
        <v>70720</v>
      </c>
      <c r="BD53" s="4" t="str">
        <f t="shared" si="5"/>
        <v>A5</v>
      </c>
      <c r="BE53">
        <f t="shared" si="32"/>
        <v>68802.25</v>
      </c>
      <c r="BF53">
        <f t="shared" si="33"/>
        <v>68367.25</v>
      </c>
      <c r="BG53" s="40">
        <f t="shared" si="34"/>
        <v>69019.75</v>
      </c>
      <c r="BH53">
        <f t="shared" si="35"/>
        <v>68149.75</v>
      </c>
      <c r="BI53">
        <f t="shared" si="36"/>
        <v>68693.5</v>
      </c>
      <c r="BJ53">
        <f t="shared" si="37"/>
        <v>68476</v>
      </c>
      <c r="BK53">
        <f t="shared" si="38"/>
        <v>69454.75</v>
      </c>
      <c r="BL53">
        <f t="shared" si="39"/>
        <v>67714.75</v>
      </c>
      <c r="BM53">
        <f t="shared" si="40"/>
        <v>68657.25</v>
      </c>
      <c r="BN53">
        <f t="shared" si="41"/>
        <v>68512.25</v>
      </c>
      <c r="BO53" s="38">
        <f t="shared" si="42"/>
        <v>69889.75</v>
      </c>
      <c r="BP53">
        <f t="shared" si="43"/>
        <v>67279.75</v>
      </c>
      <c r="BQ53" s="7">
        <f>BO53</f>
        <v>69889.75</v>
      </c>
      <c r="BS53" s="30">
        <f t="shared" si="6"/>
        <v>70720</v>
      </c>
      <c r="BT53" s="4">
        <f t="shared" si="7"/>
        <v>69889.75</v>
      </c>
      <c r="BU53" s="37">
        <f t="shared" si="10"/>
        <v>830.25</v>
      </c>
      <c r="BV53">
        <f t="shared" si="11"/>
        <v>830.25</v>
      </c>
      <c r="BW53" s="35">
        <f t="shared" si="12"/>
        <v>1.1739960407239819E-2</v>
      </c>
    </row>
    <row r="54" spans="1:75">
      <c r="A54" s="1" t="s">
        <v>55</v>
      </c>
      <c r="B54" s="1">
        <v>71610</v>
      </c>
      <c r="Q54">
        <v>51</v>
      </c>
      <c r="R54" s="27" t="str">
        <f t="shared" si="1"/>
        <v>21/10/2023</v>
      </c>
      <c r="S54" s="27">
        <f t="shared" si="1"/>
        <v>70870</v>
      </c>
      <c r="T54" s="4" t="str">
        <f t="shared" si="2"/>
        <v>A6</v>
      </c>
      <c r="V54">
        <v>51</v>
      </c>
      <c r="W54" s="28" t="str">
        <f t="shared" si="0"/>
        <v>21/10/2023</v>
      </c>
      <c r="X54" s="28">
        <f t="shared" si="0"/>
        <v>70870</v>
      </c>
      <c r="Y54" s="28" t="str">
        <f t="shared" si="0"/>
        <v>A6</v>
      </c>
      <c r="Z54" s="5" t="str">
        <f t="shared" si="13"/>
        <v>A5</v>
      </c>
      <c r="AA54" s="5" t="str">
        <f t="shared" si="14"/>
        <v>A5</v>
      </c>
      <c r="AG54" s="29" t="str">
        <f t="shared" si="3"/>
        <v>21/10/2023</v>
      </c>
      <c r="AH54" s="30">
        <f t="shared" si="3"/>
        <v>70870</v>
      </c>
      <c r="AI54" s="4" t="str">
        <f t="shared" si="4"/>
        <v>A6</v>
      </c>
      <c r="AJ54" s="5" t="str">
        <f t="shared" si="15"/>
        <v>A5</v>
      </c>
      <c r="AK54">
        <f t="shared" si="16"/>
        <v>67829.5</v>
      </c>
      <c r="AL54" t="str">
        <f t="shared" si="17"/>
        <v>A5</v>
      </c>
      <c r="AM54">
        <f t="shared" si="18"/>
        <v>67829.5</v>
      </c>
      <c r="AN54" s="6">
        <f t="shared" si="19"/>
        <v>20</v>
      </c>
      <c r="AO54">
        <f t="shared" si="20"/>
        <v>70730</v>
      </c>
      <c r="AP54">
        <f t="shared" si="44"/>
        <v>70710</v>
      </c>
      <c r="AQ54" s="33">
        <f t="shared" si="22"/>
        <v>70740</v>
      </c>
      <c r="AR54" s="33">
        <f t="shared" si="23"/>
        <v>70700</v>
      </c>
      <c r="AS54">
        <f t="shared" si="24"/>
        <v>70725</v>
      </c>
      <c r="AT54" s="5">
        <f t="shared" si="25"/>
        <v>70715</v>
      </c>
      <c r="AU54" s="5">
        <f t="shared" si="26"/>
        <v>70760</v>
      </c>
      <c r="AV54" s="5">
        <f t="shared" si="27"/>
        <v>70680</v>
      </c>
      <c r="AW54" s="5">
        <f t="shared" si="28"/>
        <v>70723.333333333328</v>
      </c>
      <c r="AX54" s="5">
        <f t="shared" si="29"/>
        <v>70716.666666666672</v>
      </c>
      <c r="AY54" s="5">
        <f t="shared" si="30"/>
        <v>70780</v>
      </c>
      <c r="AZ54" s="5">
        <f t="shared" si="31"/>
        <v>70660</v>
      </c>
      <c r="BB54" s="32" t="str">
        <f t="shared" si="5"/>
        <v>21/10/2023</v>
      </c>
      <c r="BC54" s="33">
        <f t="shared" si="5"/>
        <v>70870</v>
      </c>
      <c r="BD54" s="4" t="str">
        <f t="shared" si="5"/>
        <v>A6</v>
      </c>
      <c r="BE54">
        <f t="shared" si="32"/>
        <v>69279.75</v>
      </c>
      <c r="BF54">
        <f t="shared" si="33"/>
        <v>69269.75</v>
      </c>
      <c r="BG54">
        <f t="shared" si="34"/>
        <v>69284.75</v>
      </c>
      <c r="BH54">
        <f t="shared" si="35"/>
        <v>69264.75</v>
      </c>
      <c r="BI54">
        <f t="shared" si="36"/>
        <v>69277.25</v>
      </c>
      <c r="BJ54">
        <f t="shared" si="37"/>
        <v>69272.25</v>
      </c>
      <c r="BK54">
        <f t="shared" si="38"/>
        <v>69294.75</v>
      </c>
      <c r="BL54">
        <f t="shared" si="39"/>
        <v>69254.75</v>
      </c>
      <c r="BM54">
        <f t="shared" si="40"/>
        <v>69276.416666666657</v>
      </c>
      <c r="BN54">
        <f t="shared" si="41"/>
        <v>69273.083333333343</v>
      </c>
      <c r="BO54" s="38">
        <f t="shared" si="42"/>
        <v>69304.75</v>
      </c>
      <c r="BP54">
        <f t="shared" si="43"/>
        <v>69244.75</v>
      </c>
      <c r="BQ54" s="7">
        <f>BO54</f>
        <v>69304.75</v>
      </c>
      <c r="BS54" s="30">
        <f t="shared" si="6"/>
        <v>70870</v>
      </c>
      <c r="BT54" s="4">
        <f t="shared" si="7"/>
        <v>69304.75</v>
      </c>
      <c r="BU54" s="37">
        <f t="shared" si="10"/>
        <v>1565.25</v>
      </c>
      <c r="BV54">
        <f t="shared" si="11"/>
        <v>1565.25</v>
      </c>
      <c r="BW54" s="35">
        <f t="shared" si="12"/>
        <v>2.2086214195004939E-2</v>
      </c>
    </row>
    <row r="55" spans="1:75">
      <c r="A55" s="1" t="s">
        <v>56</v>
      </c>
      <c r="B55" s="1">
        <v>70120</v>
      </c>
      <c r="Q55">
        <v>52</v>
      </c>
      <c r="R55" s="27" t="str">
        <f t="shared" si="1"/>
        <v>22/10/2023</v>
      </c>
      <c r="S55" s="27">
        <f t="shared" si="1"/>
        <v>70160</v>
      </c>
      <c r="T55" s="4" t="str">
        <f t="shared" si="2"/>
        <v>A5</v>
      </c>
      <c r="V55">
        <v>52</v>
      </c>
      <c r="W55" s="28" t="str">
        <f t="shared" si="0"/>
        <v>22/10/2023</v>
      </c>
      <c r="X55" s="28">
        <f t="shared" si="0"/>
        <v>70160</v>
      </c>
      <c r="Y55" s="28" t="str">
        <f t="shared" si="0"/>
        <v>A5</v>
      </c>
      <c r="Z55" s="5" t="str">
        <f t="shared" si="13"/>
        <v>A5</v>
      </c>
      <c r="AA55" s="5" t="str">
        <f t="shared" si="14"/>
        <v>A6</v>
      </c>
      <c r="AG55" s="29" t="str">
        <f t="shared" si="3"/>
        <v>22/10/2023</v>
      </c>
      <c r="AH55" s="30">
        <f t="shared" si="3"/>
        <v>70160</v>
      </c>
      <c r="AI55" s="4" t="str">
        <f t="shared" si="4"/>
        <v>A5</v>
      </c>
      <c r="AJ55" s="5" t="str">
        <f t="shared" si="15"/>
        <v>A5</v>
      </c>
      <c r="AK55">
        <f t="shared" si="16"/>
        <v>67829.5</v>
      </c>
      <c r="AL55" t="str">
        <f t="shared" si="17"/>
        <v>A6</v>
      </c>
      <c r="AM55">
        <f t="shared" si="18"/>
        <v>73860.5</v>
      </c>
      <c r="AN55" s="6">
        <f t="shared" si="19"/>
        <v>1230</v>
      </c>
      <c r="AO55">
        <f t="shared" si="20"/>
        <v>71485</v>
      </c>
      <c r="AP55">
        <f t="shared" si="44"/>
        <v>70255</v>
      </c>
      <c r="AQ55" s="33">
        <f t="shared" si="22"/>
        <v>72100</v>
      </c>
      <c r="AR55" s="33">
        <f t="shared" si="23"/>
        <v>69640</v>
      </c>
      <c r="AS55">
        <f t="shared" si="24"/>
        <v>71177.5</v>
      </c>
      <c r="AT55" s="5">
        <f t="shared" si="25"/>
        <v>70562.5</v>
      </c>
      <c r="AU55" s="5">
        <f t="shared" si="26"/>
        <v>73330</v>
      </c>
      <c r="AV55" s="5">
        <f t="shared" si="27"/>
        <v>68410</v>
      </c>
      <c r="AW55" s="5">
        <f t="shared" si="28"/>
        <v>71075</v>
      </c>
      <c r="AX55" s="5">
        <f t="shared" si="29"/>
        <v>70665</v>
      </c>
      <c r="AY55" s="5">
        <f t="shared" si="30"/>
        <v>74560</v>
      </c>
      <c r="AZ55" s="5">
        <f t="shared" si="31"/>
        <v>67180</v>
      </c>
      <c r="BB55" s="32" t="str">
        <f t="shared" si="5"/>
        <v>22/10/2023</v>
      </c>
      <c r="BC55" s="33">
        <f t="shared" si="5"/>
        <v>70160</v>
      </c>
      <c r="BD55" s="4" t="str">
        <f t="shared" si="5"/>
        <v>A5</v>
      </c>
      <c r="BE55">
        <f t="shared" si="32"/>
        <v>72672.75</v>
      </c>
      <c r="BF55">
        <f t="shared" si="33"/>
        <v>72057.75</v>
      </c>
      <c r="BG55">
        <f t="shared" si="34"/>
        <v>72980.25</v>
      </c>
      <c r="BH55">
        <f t="shared" si="35"/>
        <v>71750.25</v>
      </c>
      <c r="BI55">
        <f t="shared" si="36"/>
        <v>72519</v>
      </c>
      <c r="BJ55">
        <f t="shared" si="37"/>
        <v>72211.5</v>
      </c>
      <c r="BK55">
        <f t="shared" si="38"/>
        <v>73595.25</v>
      </c>
      <c r="BL55">
        <f t="shared" si="39"/>
        <v>71135.25</v>
      </c>
      <c r="BM55" s="40">
        <f t="shared" si="40"/>
        <v>72467.75</v>
      </c>
      <c r="BN55">
        <f t="shared" si="41"/>
        <v>72262.75</v>
      </c>
      <c r="BO55">
        <f t="shared" si="42"/>
        <v>74210.25</v>
      </c>
      <c r="BP55" s="38">
        <f t="shared" si="43"/>
        <v>70520.25</v>
      </c>
      <c r="BQ55" s="7">
        <f>BP55</f>
        <v>70520.25</v>
      </c>
      <c r="BS55" s="30">
        <f t="shared" si="6"/>
        <v>70160</v>
      </c>
      <c r="BT55" s="4">
        <f t="shared" si="7"/>
        <v>70520.25</v>
      </c>
      <c r="BU55" s="37">
        <f t="shared" si="10"/>
        <v>-360.25</v>
      </c>
      <c r="BV55">
        <f t="shared" si="11"/>
        <v>360.25</v>
      </c>
      <c r="BW55" s="35">
        <f t="shared" si="12"/>
        <v>5.134692132269099E-3</v>
      </c>
    </row>
    <row r="56" spans="1:75">
      <c r="A56" s="1" t="s">
        <v>57</v>
      </c>
      <c r="B56" s="1">
        <v>71560</v>
      </c>
      <c r="Q56">
        <v>53</v>
      </c>
      <c r="R56" s="27" t="str">
        <f t="shared" si="1"/>
        <v>23/10/2023</v>
      </c>
      <c r="S56" s="27">
        <f t="shared" si="1"/>
        <v>71610</v>
      </c>
      <c r="T56" s="4" t="str">
        <f t="shared" si="2"/>
        <v>A6</v>
      </c>
      <c r="V56">
        <v>53</v>
      </c>
      <c r="W56" s="28" t="str">
        <f t="shared" si="0"/>
        <v>23/10/2023</v>
      </c>
      <c r="X56" s="28">
        <f t="shared" si="0"/>
        <v>71610</v>
      </c>
      <c r="Y56" s="28" t="str">
        <f t="shared" si="0"/>
        <v>A6</v>
      </c>
      <c r="Z56" s="5" t="str">
        <f t="shared" si="13"/>
        <v>A6</v>
      </c>
      <c r="AA56" s="5" t="str">
        <f t="shared" si="14"/>
        <v>A5</v>
      </c>
      <c r="AG56" s="29" t="str">
        <f t="shared" si="3"/>
        <v>23/10/2023</v>
      </c>
      <c r="AH56" s="30">
        <f t="shared" si="3"/>
        <v>71610</v>
      </c>
      <c r="AI56" s="4" t="str">
        <f t="shared" si="4"/>
        <v>A6</v>
      </c>
      <c r="AJ56" s="5" t="str">
        <f t="shared" si="15"/>
        <v>A6</v>
      </c>
      <c r="AK56">
        <f t="shared" si="16"/>
        <v>73860.5</v>
      </c>
      <c r="AL56" t="str">
        <f t="shared" si="17"/>
        <v>A5</v>
      </c>
      <c r="AM56">
        <f t="shared" si="18"/>
        <v>67829.5</v>
      </c>
      <c r="AN56" s="6">
        <f t="shared" si="19"/>
        <v>560</v>
      </c>
      <c r="AO56">
        <f t="shared" si="20"/>
        <v>70440</v>
      </c>
      <c r="AP56">
        <f t="shared" si="44"/>
        <v>69880</v>
      </c>
      <c r="AQ56" s="33">
        <f t="shared" si="22"/>
        <v>70720</v>
      </c>
      <c r="AR56" s="33">
        <f t="shared" si="23"/>
        <v>69600</v>
      </c>
      <c r="AS56">
        <f t="shared" si="24"/>
        <v>70300</v>
      </c>
      <c r="AT56" s="5">
        <f t="shared" si="25"/>
        <v>70020</v>
      </c>
      <c r="AU56" s="5">
        <f t="shared" si="26"/>
        <v>71280</v>
      </c>
      <c r="AV56" s="5">
        <f t="shared" si="27"/>
        <v>69040</v>
      </c>
      <c r="AW56" s="5">
        <f t="shared" si="28"/>
        <v>70253.333333333328</v>
      </c>
      <c r="AX56" s="5">
        <f t="shared" si="29"/>
        <v>70066.666666666672</v>
      </c>
      <c r="AY56" s="5">
        <f t="shared" si="30"/>
        <v>71840</v>
      </c>
      <c r="AZ56" s="5">
        <f t="shared" si="31"/>
        <v>68480</v>
      </c>
      <c r="BB56" s="32" t="str">
        <f t="shared" si="5"/>
        <v>23/10/2023</v>
      </c>
      <c r="BC56" s="33">
        <f t="shared" si="5"/>
        <v>71610</v>
      </c>
      <c r="BD56" s="4" t="str">
        <f t="shared" si="5"/>
        <v>A6</v>
      </c>
      <c r="BE56">
        <f t="shared" si="32"/>
        <v>69134.75</v>
      </c>
      <c r="BF56">
        <f t="shared" si="33"/>
        <v>68854.75</v>
      </c>
      <c r="BG56">
        <f t="shared" si="34"/>
        <v>69274.75</v>
      </c>
      <c r="BH56">
        <f t="shared" si="35"/>
        <v>68714.75</v>
      </c>
      <c r="BI56">
        <f t="shared" si="36"/>
        <v>69064.75</v>
      </c>
      <c r="BJ56">
        <f t="shared" si="37"/>
        <v>68924.75</v>
      </c>
      <c r="BK56">
        <f t="shared" si="38"/>
        <v>69554.75</v>
      </c>
      <c r="BL56">
        <f t="shared" si="39"/>
        <v>68434.75</v>
      </c>
      <c r="BM56">
        <f t="shared" si="40"/>
        <v>69041.416666666657</v>
      </c>
      <c r="BN56">
        <f t="shared" si="41"/>
        <v>68948.083333333343</v>
      </c>
      <c r="BO56" s="38">
        <f t="shared" si="42"/>
        <v>69834.75</v>
      </c>
      <c r="BP56">
        <f t="shared" si="43"/>
        <v>68154.75</v>
      </c>
      <c r="BQ56" s="7">
        <f>BO56</f>
        <v>69834.75</v>
      </c>
      <c r="BS56" s="30">
        <f t="shared" si="6"/>
        <v>71610</v>
      </c>
      <c r="BT56" s="4">
        <f t="shared" si="7"/>
        <v>69834.75</v>
      </c>
      <c r="BU56" s="37">
        <f t="shared" si="10"/>
        <v>1775.25</v>
      </c>
      <c r="BV56">
        <f t="shared" si="11"/>
        <v>1775.25</v>
      </c>
      <c r="BW56" s="35">
        <f t="shared" si="12"/>
        <v>2.4790532048596565E-2</v>
      </c>
    </row>
    <row r="57" spans="1:75">
      <c r="A57" s="1" t="s">
        <v>58</v>
      </c>
      <c r="B57" s="1">
        <v>72790</v>
      </c>
      <c r="Q57">
        <v>54</v>
      </c>
      <c r="R57" s="27" t="str">
        <f t="shared" si="1"/>
        <v>24/10/2023</v>
      </c>
      <c r="S57" s="27">
        <f t="shared" si="1"/>
        <v>70120</v>
      </c>
      <c r="T57" s="4" t="str">
        <f t="shared" si="2"/>
        <v>A5</v>
      </c>
      <c r="V57">
        <v>54</v>
      </c>
      <c r="W57" s="28" t="str">
        <f t="shared" si="0"/>
        <v>24/10/2023</v>
      </c>
      <c r="X57" s="28">
        <f t="shared" si="0"/>
        <v>70120</v>
      </c>
      <c r="Y57" s="28" t="str">
        <f t="shared" si="0"/>
        <v>A5</v>
      </c>
      <c r="Z57" s="5" t="str">
        <f t="shared" si="13"/>
        <v>A5</v>
      </c>
      <c r="AA57" s="5" t="str">
        <f t="shared" si="14"/>
        <v>A6</v>
      </c>
      <c r="AG57" s="29" t="str">
        <f t="shared" si="3"/>
        <v>24/10/2023</v>
      </c>
      <c r="AH57" s="30">
        <f t="shared" si="3"/>
        <v>70120</v>
      </c>
      <c r="AI57" s="4" t="str">
        <f t="shared" si="4"/>
        <v>A5</v>
      </c>
      <c r="AJ57" s="5" t="str">
        <f t="shared" si="15"/>
        <v>A5</v>
      </c>
      <c r="AK57">
        <f t="shared" si="16"/>
        <v>67829.5</v>
      </c>
      <c r="AL57" t="str">
        <f t="shared" si="17"/>
        <v>A6</v>
      </c>
      <c r="AM57">
        <f t="shared" si="18"/>
        <v>73860.5</v>
      </c>
      <c r="AN57" s="6">
        <f t="shared" si="19"/>
        <v>740</v>
      </c>
      <c r="AO57">
        <f t="shared" si="20"/>
        <v>71980</v>
      </c>
      <c r="AP57">
        <f t="shared" si="44"/>
        <v>71240</v>
      </c>
      <c r="AQ57" s="33">
        <f t="shared" si="22"/>
        <v>72350</v>
      </c>
      <c r="AR57" s="33">
        <f t="shared" si="23"/>
        <v>70870</v>
      </c>
      <c r="AS57">
        <f t="shared" si="24"/>
        <v>71795</v>
      </c>
      <c r="AT57" s="5">
        <f t="shared" si="25"/>
        <v>71425</v>
      </c>
      <c r="AU57" s="5">
        <f t="shared" si="26"/>
        <v>73090</v>
      </c>
      <c r="AV57" s="5">
        <f t="shared" si="27"/>
        <v>70130</v>
      </c>
      <c r="AW57" s="5">
        <f t="shared" si="28"/>
        <v>71733.333333333328</v>
      </c>
      <c r="AX57" s="5">
        <f t="shared" si="29"/>
        <v>71486.666666666672</v>
      </c>
      <c r="AY57" s="5">
        <f t="shared" si="30"/>
        <v>73830</v>
      </c>
      <c r="AZ57" s="5">
        <f t="shared" si="31"/>
        <v>69390</v>
      </c>
      <c r="BB57" s="32" t="str">
        <f t="shared" si="5"/>
        <v>24/10/2023</v>
      </c>
      <c r="BC57" s="33">
        <f t="shared" si="5"/>
        <v>70120</v>
      </c>
      <c r="BD57" s="4" t="str">
        <f t="shared" si="5"/>
        <v>A5</v>
      </c>
      <c r="BE57">
        <f t="shared" si="32"/>
        <v>72920.25</v>
      </c>
      <c r="BF57">
        <f t="shared" si="33"/>
        <v>72550.25</v>
      </c>
      <c r="BG57">
        <f t="shared" si="34"/>
        <v>73105.25</v>
      </c>
      <c r="BH57" s="40">
        <f t="shared" si="35"/>
        <v>72365.25</v>
      </c>
      <c r="BI57">
        <f t="shared" si="36"/>
        <v>72827.75</v>
      </c>
      <c r="BJ57">
        <f t="shared" si="37"/>
        <v>72642.75</v>
      </c>
      <c r="BK57">
        <f t="shared" si="38"/>
        <v>73475.25</v>
      </c>
      <c r="BL57">
        <f t="shared" si="39"/>
        <v>71995.25</v>
      </c>
      <c r="BM57">
        <f t="shared" si="40"/>
        <v>72796.916666666657</v>
      </c>
      <c r="BN57">
        <f t="shared" si="41"/>
        <v>72673.583333333343</v>
      </c>
      <c r="BO57">
        <f t="shared" si="42"/>
        <v>73845.25</v>
      </c>
      <c r="BP57" s="38">
        <f t="shared" si="43"/>
        <v>71625.25</v>
      </c>
      <c r="BQ57" s="7">
        <f>BP57</f>
        <v>71625.25</v>
      </c>
      <c r="BS57" s="30">
        <f t="shared" si="6"/>
        <v>70120</v>
      </c>
      <c r="BT57" s="4">
        <f t="shared" si="7"/>
        <v>71625.25</v>
      </c>
      <c r="BU57" s="37">
        <f t="shared" si="10"/>
        <v>-1505.25</v>
      </c>
      <c r="BV57">
        <f t="shared" si="11"/>
        <v>1505.25</v>
      </c>
      <c r="BW57" s="35">
        <f t="shared" si="12"/>
        <v>2.1466771249286937E-2</v>
      </c>
    </row>
    <row r="58" spans="1:75">
      <c r="A58" s="1" t="s">
        <v>59</v>
      </c>
      <c r="B58" s="1">
        <v>73150</v>
      </c>
      <c r="Q58">
        <v>55</v>
      </c>
      <c r="R58" s="27" t="str">
        <f t="shared" si="1"/>
        <v>25/10/2023</v>
      </c>
      <c r="S58" s="27">
        <f t="shared" si="1"/>
        <v>71560</v>
      </c>
      <c r="T58" s="4" t="str">
        <f t="shared" si="2"/>
        <v>A6</v>
      </c>
      <c r="V58">
        <v>55</v>
      </c>
      <c r="W58" s="28" t="str">
        <f t="shared" si="0"/>
        <v>25/10/2023</v>
      </c>
      <c r="X58" s="28">
        <f t="shared" si="0"/>
        <v>71560</v>
      </c>
      <c r="Y58" s="28" t="str">
        <f t="shared" si="0"/>
        <v>A6</v>
      </c>
      <c r="Z58" s="5" t="str">
        <f t="shared" si="13"/>
        <v>A6</v>
      </c>
      <c r="AA58" s="5" t="str">
        <f t="shared" si="14"/>
        <v>A5</v>
      </c>
      <c r="AG58" s="29" t="str">
        <f t="shared" si="3"/>
        <v>25/10/2023</v>
      </c>
      <c r="AH58" s="30">
        <f t="shared" si="3"/>
        <v>71560</v>
      </c>
      <c r="AI58" s="4" t="str">
        <f t="shared" si="4"/>
        <v>A6</v>
      </c>
      <c r="AJ58" s="5" t="str">
        <f t="shared" si="15"/>
        <v>A6</v>
      </c>
      <c r="AK58">
        <f t="shared" si="16"/>
        <v>73860.5</v>
      </c>
      <c r="AL58" t="str">
        <f t="shared" si="17"/>
        <v>A5</v>
      </c>
      <c r="AM58">
        <f t="shared" si="18"/>
        <v>67829.5</v>
      </c>
      <c r="AN58" s="6">
        <f t="shared" si="19"/>
        <v>40</v>
      </c>
      <c r="AO58">
        <f t="shared" si="20"/>
        <v>70140</v>
      </c>
      <c r="AP58">
        <f t="shared" si="44"/>
        <v>70100</v>
      </c>
      <c r="AQ58" s="33">
        <f t="shared" si="22"/>
        <v>70160</v>
      </c>
      <c r="AR58" s="33">
        <f t="shared" si="23"/>
        <v>70080</v>
      </c>
      <c r="AS58">
        <f t="shared" si="24"/>
        <v>70130</v>
      </c>
      <c r="AT58" s="5">
        <f t="shared" si="25"/>
        <v>70110</v>
      </c>
      <c r="AU58" s="5">
        <f t="shared" si="26"/>
        <v>70200</v>
      </c>
      <c r="AV58" s="5">
        <f t="shared" si="27"/>
        <v>70040</v>
      </c>
      <c r="AW58" s="5">
        <f t="shared" si="28"/>
        <v>70126.666666666672</v>
      </c>
      <c r="AX58" s="5">
        <f t="shared" si="29"/>
        <v>70113.333333333328</v>
      </c>
      <c r="AY58" s="5">
        <f t="shared" si="30"/>
        <v>70240</v>
      </c>
      <c r="AZ58" s="5">
        <f t="shared" si="31"/>
        <v>70000</v>
      </c>
      <c r="BB58" s="32" t="str">
        <f t="shared" si="5"/>
        <v>25/10/2023</v>
      </c>
      <c r="BC58" s="33">
        <f t="shared" si="5"/>
        <v>71560</v>
      </c>
      <c r="BD58" s="4" t="str">
        <f t="shared" si="5"/>
        <v>A6</v>
      </c>
      <c r="BE58">
        <f t="shared" si="32"/>
        <v>68984.75</v>
      </c>
      <c r="BF58">
        <f t="shared" si="33"/>
        <v>68964.75</v>
      </c>
      <c r="BG58">
        <f t="shared" si="34"/>
        <v>68994.75</v>
      </c>
      <c r="BH58">
        <f t="shared" si="35"/>
        <v>68954.75</v>
      </c>
      <c r="BI58">
        <f t="shared" si="36"/>
        <v>68979.75</v>
      </c>
      <c r="BJ58">
        <f t="shared" si="37"/>
        <v>68969.75</v>
      </c>
      <c r="BK58">
        <f t="shared" si="38"/>
        <v>69014.75</v>
      </c>
      <c r="BL58">
        <f t="shared" si="39"/>
        <v>68934.75</v>
      </c>
      <c r="BM58">
        <f t="shared" si="40"/>
        <v>68978.083333333343</v>
      </c>
      <c r="BN58">
        <f t="shared" si="41"/>
        <v>68971.416666666657</v>
      </c>
      <c r="BO58" s="38">
        <f t="shared" si="42"/>
        <v>69034.75</v>
      </c>
      <c r="BP58">
        <f t="shared" si="43"/>
        <v>68914.75</v>
      </c>
      <c r="BQ58" s="7">
        <f>BO58</f>
        <v>69034.75</v>
      </c>
      <c r="BS58" s="30">
        <f t="shared" si="6"/>
        <v>71560</v>
      </c>
      <c r="BT58" s="4">
        <f t="shared" si="7"/>
        <v>69034.75</v>
      </c>
      <c r="BU58" s="37">
        <f t="shared" si="10"/>
        <v>2525.25</v>
      </c>
      <c r="BV58">
        <f t="shared" si="11"/>
        <v>2525.25</v>
      </c>
      <c r="BW58" s="35">
        <f t="shared" si="12"/>
        <v>3.5288569032979319E-2</v>
      </c>
    </row>
    <row r="59" spans="1:75">
      <c r="A59" s="1" t="s">
        <v>60</v>
      </c>
      <c r="B59" s="1">
        <v>75190</v>
      </c>
      <c r="Q59">
        <v>56</v>
      </c>
      <c r="R59" s="27" t="str">
        <f t="shared" si="1"/>
        <v>26/10/2023</v>
      </c>
      <c r="S59" s="27">
        <f t="shared" si="1"/>
        <v>72790</v>
      </c>
      <c r="T59" s="4" t="str">
        <f t="shared" si="2"/>
        <v>A6</v>
      </c>
      <c r="V59">
        <v>56</v>
      </c>
      <c r="W59" s="28" t="str">
        <f t="shared" si="0"/>
        <v>26/10/2023</v>
      </c>
      <c r="X59" s="28">
        <f t="shared" si="0"/>
        <v>72790</v>
      </c>
      <c r="Y59" s="28" t="str">
        <f t="shared" si="0"/>
        <v>A6</v>
      </c>
      <c r="Z59" s="5" t="str">
        <f t="shared" si="13"/>
        <v>A5</v>
      </c>
      <c r="AA59" s="5" t="str">
        <f t="shared" si="14"/>
        <v>A6</v>
      </c>
      <c r="AG59" s="29" t="str">
        <f t="shared" si="3"/>
        <v>26/10/2023</v>
      </c>
      <c r="AH59" s="30">
        <f t="shared" si="3"/>
        <v>72790</v>
      </c>
      <c r="AI59" s="4" t="str">
        <f t="shared" si="4"/>
        <v>A6</v>
      </c>
      <c r="AJ59" s="5" t="str">
        <f t="shared" si="15"/>
        <v>A5</v>
      </c>
      <c r="AK59">
        <f t="shared" si="16"/>
        <v>67829.5</v>
      </c>
      <c r="AL59" t="str">
        <f t="shared" si="17"/>
        <v>A6</v>
      </c>
      <c r="AM59">
        <f t="shared" si="18"/>
        <v>73860.5</v>
      </c>
      <c r="AN59" s="6">
        <f t="shared" si="19"/>
        <v>50</v>
      </c>
      <c r="AO59">
        <f t="shared" si="20"/>
        <v>71585</v>
      </c>
      <c r="AP59">
        <f t="shared" si="44"/>
        <v>71535</v>
      </c>
      <c r="AQ59" s="33">
        <f t="shared" si="22"/>
        <v>71610</v>
      </c>
      <c r="AR59" s="33">
        <f t="shared" si="23"/>
        <v>71510</v>
      </c>
      <c r="AS59">
        <f t="shared" si="24"/>
        <v>71572.5</v>
      </c>
      <c r="AT59" s="5">
        <f t="shared" si="25"/>
        <v>71547.5</v>
      </c>
      <c r="AU59" s="5">
        <f t="shared" si="26"/>
        <v>71660</v>
      </c>
      <c r="AV59" s="5">
        <f t="shared" si="27"/>
        <v>71460</v>
      </c>
      <c r="AW59" s="5">
        <f t="shared" si="28"/>
        <v>71568.333333333328</v>
      </c>
      <c r="AX59" s="5">
        <f t="shared" si="29"/>
        <v>71551.666666666672</v>
      </c>
      <c r="AY59" s="5">
        <f t="shared" si="30"/>
        <v>71710</v>
      </c>
      <c r="AZ59" s="5">
        <f t="shared" si="31"/>
        <v>71410</v>
      </c>
      <c r="BB59" s="32" t="str">
        <f t="shared" si="5"/>
        <v>26/10/2023</v>
      </c>
      <c r="BC59" s="33">
        <f t="shared" si="5"/>
        <v>72790</v>
      </c>
      <c r="BD59" s="4" t="str">
        <f t="shared" si="5"/>
        <v>A6</v>
      </c>
      <c r="BE59">
        <f t="shared" si="32"/>
        <v>72722.75</v>
      </c>
      <c r="BF59">
        <f t="shared" si="33"/>
        <v>72697.75</v>
      </c>
      <c r="BG59">
        <f t="shared" si="34"/>
        <v>72735.25</v>
      </c>
      <c r="BH59">
        <f t="shared" si="35"/>
        <v>72685.25</v>
      </c>
      <c r="BI59">
        <f t="shared" si="36"/>
        <v>72716.5</v>
      </c>
      <c r="BJ59">
        <f t="shared" si="37"/>
        <v>72704</v>
      </c>
      <c r="BK59">
        <f t="shared" si="38"/>
        <v>72760.25</v>
      </c>
      <c r="BL59">
        <f t="shared" si="39"/>
        <v>72660.25</v>
      </c>
      <c r="BM59">
        <f t="shared" si="40"/>
        <v>72714.416666666657</v>
      </c>
      <c r="BN59">
        <f t="shared" si="41"/>
        <v>72706.083333333343</v>
      </c>
      <c r="BO59" s="38">
        <f t="shared" si="42"/>
        <v>72785.25</v>
      </c>
      <c r="BP59">
        <f t="shared" si="43"/>
        <v>72635.25</v>
      </c>
      <c r="BQ59" s="7">
        <f>BO59</f>
        <v>72785.25</v>
      </c>
      <c r="BS59" s="30">
        <f t="shared" si="6"/>
        <v>72790</v>
      </c>
      <c r="BT59" s="4">
        <f t="shared" si="7"/>
        <v>72785.25</v>
      </c>
      <c r="BU59" s="37">
        <f t="shared" si="10"/>
        <v>4.75</v>
      </c>
      <c r="BV59">
        <f t="shared" si="11"/>
        <v>4.75</v>
      </c>
      <c r="BW59" s="35">
        <f t="shared" si="12"/>
        <v>6.5256216513257315E-5</v>
      </c>
    </row>
    <row r="60" spans="1:75">
      <c r="A60" s="1" t="s">
        <v>61</v>
      </c>
      <c r="B60" s="1">
        <v>75000</v>
      </c>
      <c r="Q60">
        <v>57</v>
      </c>
      <c r="R60" s="27" t="str">
        <f t="shared" si="1"/>
        <v>27/10/2023</v>
      </c>
      <c r="S60" s="27">
        <f t="shared" si="1"/>
        <v>73150</v>
      </c>
      <c r="T60" s="4" t="str">
        <f t="shared" si="2"/>
        <v>A6</v>
      </c>
      <c r="V60">
        <v>57</v>
      </c>
      <c r="W60" s="28" t="str">
        <f t="shared" si="0"/>
        <v>27/10/2023</v>
      </c>
      <c r="X60" s="28">
        <f t="shared" si="0"/>
        <v>73150</v>
      </c>
      <c r="Y60" s="28" t="str">
        <f t="shared" si="0"/>
        <v>A6</v>
      </c>
      <c r="Z60" s="5" t="str">
        <f t="shared" si="13"/>
        <v>A6</v>
      </c>
      <c r="AA60" s="5" t="str">
        <f t="shared" si="14"/>
        <v>A6</v>
      </c>
      <c r="AG60" s="29" t="str">
        <f t="shared" si="3"/>
        <v>27/10/2023</v>
      </c>
      <c r="AH60" s="30">
        <f t="shared" si="3"/>
        <v>73150</v>
      </c>
      <c r="AI60" s="4" t="str">
        <f t="shared" si="4"/>
        <v>A6</v>
      </c>
      <c r="AJ60" s="5" t="str">
        <f t="shared" si="15"/>
        <v>A6</v>
      </c>
      <c r="AK60">
        <f t="shared" si="16"/>
        <v>73860.5</v>
      </c>
      <c r="AL60" t="str">
        <f t="shared" si="17"/>
        <v>A6</v>
      </c>
      <c r="AM60">
        <f t="shared" si="18"/>
        <v>73860.5</v>
      </c>
      <c r="AN60" s="6">
        <f t="shared" si="19"/>
        <v>210</v>
      </c>
      <c r="AO60">
        <f t="shared" si="20"/>
        <v>72895</v>
      </c>
      <c r="AP60">
        <f t="shared" si="44"/>
        <v>72685</v>
      </c>
      <c r="AQ60" s="33">
        <f t="shared" si="22"/>
        <v>73000</v>
      </c>
      <c r="AR60" s="33">
        <f t="shared" si="23"/>
        <v>72580</v>
      </c>
      <c r="AS60">
        <f t="shared" si="24"/>
        <v>72842.5</v>
      </c>
      <c r="AT60" s="5">
        <f t="shared" si="25"/>
        <v>72737.5</v>
      </c>
      <c r="AU60" s="5">
        <f t="shared" si="26"/>
        <v>73210</v>
      </c>
      <c r="AV60" s="5">
        <f t="shared" si="27"/>
        <v>72370</v>
      </c>
      <c r="AW60" s="5">
        <f t="shared" si="28"/>
        <v>72825</v>
      </c>
      <c r="AX60" s="5">
        <f t="shared" si="29"/>
        <v>72755</v>
      </c>
      <c r="AY60" s="5">
        <f t="shared" si="30"/>
        <v>73420</v>
      </c>
      <c r="AZ60" s="5">
        <f t="shared" si="31"/>
        <v>72160</v>
      </c>
      <c r="BB60" s="32" t="str">
        <f t="shared" si="5"/>
        <v>27/10/2023</v>
      </c>
      <c r="BC60" s="33">
        <f t="shared" si="5"/>
        <v>73150</v>
      </c>
      <c r="BD60" s="4" t="str">
        <f t="shared" si="5"/>
        <v>A6</v>
      </c>
      <c r="BE60">
        <f t="shared" si="32"/>
        <v>73377.75</v>
      </c>
      <c r="BF60">
        <f t="shared" si="33"/>
        <v>73272.75</v>
      </c>
      <c r="BG60">
        <f t="shared" si="34"/>
        <v>73430.25</v>
      </c>
      <c r="BH60" s="38">
        <f t="shared" si="35"/>
        <v>73220.25</v>
      </c>
      <c r="BI60">
        <f t="shared" si="36"/>
        <v>73351.5</v>
      </c>
      <c r="BJ60">
        <f t="shared" si="37"/>
        <v>73299</v>
      </c>
      <c r="BK60">
        <f t="shared" si="38"/>
        <v>73535.25</v>
      </c>
      <c r="BL60">
        <f t="shared" si="39"/>
        <v>73115.25</v>
      </c>
      <c r="BM60">
        <f t="shared" si="40"/>
        <v>73342.75</v>
      </c>
      <c r="BN60">
        <f t="shared" si="41"/>
        <v>73307.75</v>
      </c>
      <c r="BO60">
        <f t="shared" si="42"/>
        <v>73640.25</v>
      </c>
      <c r="BP60">
        <f t="shared" si="43"/>
        <v>73010.25</v>
      </c>
      <c r="BQ60" s="7">
        <f>BH60</f>
        <v>73220.25</v>
      </c>
      <c r="BS60" s="30">
        <f t="shared" si="6"/>
        <v>73150</v>
      </c>
      <c r="BT60" s="4">
        <f t="shared" si="7"/>
        <v>73220.25</v>
      </c>
      <c r="BU60" s="37">
        <f t="shared" si="10"/>
        <v>-70.25</v>
      </c>
      <c r="BV60">
        <f t="shared" si="11"/>
        <v>70.25</v>
      </c>
      <c r="BW60" s="35">
        <f t="shared" si="12"/>
        <v>9.6035543403964459E-4</v>
      </c>
    </row>
    <row r="61" spans="1:75">
      <c r="A61" s="1" t="s">
        <v>62</v>
      </c>
      <c r="B61" s="1">
        <v>74260</v>
      </c>
      <c r="Q61">
        <v>58</v>
      </c>
      <c r="R61" s="27" t="str">
        <f t="shared" si="1"/>
        <v>28/10/2023</v>
      </c>
      <c r="S61" s="27">
        <f t="shared" si="1"/>
        <v>75190</v>
      </c>
      <c r="T61" s="4" t="str">
        <f t="shared" si="2"/>
        <v>A6</v>
      </c>
      <c r="V61">
        <v>58</v>
      </c>
      <c r="W61" s="28" t="str">
        <f t="shared" si="0"/>
        <v>28/10/2023</v>
      </c>
      <c r="X61" s="28">
        <f t="shared" si="0"/>
        <v>75190</v>
      </c>
      <c r="Y61" s="28" t="str">
        <f t="shared" si="0"/>
        <v>A6</v>
      </c>
      <c r="Z61" s="5" t="str">
        <f t="shared" si="13"/>
        <v>A6</v>
      </c>
      <c r="AA61" s="5" t="str">
        <f t="shared" si="14"/>
        <v>A6</v>
      </c>
      <c r="AG61" s="29" t="str">
        <f t="shared" si="3"/>
        <v>28/10/2023</v>
      </c>
      <c r="AH61" s="30">
        <f t="shared" si="3"/>
        <v>75190</v>
      </c>
      <c r="AI61" s="4" t="str">
        <f t="shared" si="4"/>
        <v>A6</v>
      </c>
      <c r="AJ61" s="5" t="str">
        <f t="shared" si="15"/>
        <v>A6</v>
      </c>
      <c r="AK61">
        <f t="shared" si="16"/>
        <v>73860.5</v>
      </c>
      <c r="AL61" t="str">
        <f t="shared" si="17"/>
        <v>A6</v>
      </c>
      <c r="AM61">
        <f t="shared" si="18"/>
        <v>73860.5</v>
      </c>
      <c r="AN61" s="6">
        <f t="shared" si="19"/>
        <v>870</v>
      </c>
      <c r="AO61">
        <f t="shared" si="20"/>
        <v>73585</v>
      </c>
      <c r="AP61">
        <f t="shared" si="44"/>
        <v>72715</v>
      </c>
      <c r="AQ61" s="33">
        <f t="shared" si="22"/>
        <v>74020</v>
      </c>
      <c r="AR61" s="33">
        <f t="shared" si="23"/>
        <v>72280</v>
      </c>
      <c r="AS61">
        <f t="shared" si="24"/>
        <v>73367.5</v>
      </c>
      <c r="AT61" s="5">
        <f t="shared" si="25"/>
        <v>72932.5</v>
      </c>
      <c r="AU61" s="5">
        <f t="shared" si="26"/>
        <v>74890</v>
      </c>
      <c r="AV61" s="5">
        <f t="shared" si="27"/>
        <v>71410</v>
      </c>
      <c r="AW61" s="5">
        <f t="shared" si="28"/>
        <v>73295</v>
      </c>
      <c r="AX61" s="5">
        <f t="shared" si="29"/>
        <v>73005</v>
      </c>
      <c r="AY61" s="5">
        <f t="shared" si="30"/>
        <v>75760</v>
      </c>
      <c r="AZ61" s="5">
        <f t="shared" si="31"/>
        <v>70540</v>
      </c>
      <c r="BB61" s="32" t="str">
        <f t="shared" si="5"/>
        <v>28/10/2023</v>
      </c>
      <c r="BC61" s="33">
        <f t="shared" si="5"/>
        <v>75190</v>
      </c>
      <c r="BD61" s="4" t="str">
        <f t="shared" si="5"/>
        <v>A6</v>
      </c>
      <c r="BE61">
        <f t="shared" si="32"/>
        <v>73722.75</v>
      </c>
      <c r="BF61">
        <f t="shared" si="33"/>
        <v>73287.75</v>
      </c>
      <c r="BG61">
        <f t="shared" si="34"/>
        <v>73940.25</v>
      </c>
      <c r="BH61">
        <f t="shared" si="35"/>
        <v>73070.25</v>
      </c>
      <c r="BI61">
        <f t="shared" si="36"/>
        <v>73614</v>
      </c>
      <c r="BJ61">
        <f t="shared" si="37"/>
        <v>73396.5</v>
      </c>
      <c r="BK61">
        <f t="shared" si="38"/>
        <v>74375.25</v>
      </c>
      <c r="BL61">
        <f t="shared" si="39"/>
        <v>72635.25</v>
      </c>
      <c r="BM61">
        <f t="shared" si="40"/>
        <v>73577.75</v>
      </c>
      <c r="BN61">
        <f t="shared" si="41"/>
        <v>73432.75</v>
      </c>
      <c r="BO61" s="38">
        <f t="shared" si="42"/>
        <v>74810.25</v>
      </c>
      <c r="BP61">
        <f t="shared" si="43"/>
        <v>72200.25</v>
      </c>
      <c r="BQ61" s="7">
        <f>BO61</f>
        <v>74810.25</v>
      </c>
      <c r="BS61" s="30">
        <f t="shared" si="6"/>
        <v>75190</v>
      </c>
      <c r="BT61" s="4">
        <f t="shared" si="7"/>
        <v>74810.25</v>
      </c>
      <c r="BU61" s="37">
        <f t="shared" si="10"/>
        <v>379.75</v>
      </c>
      <c r="BV61">
        <f t="shared" si="11"/>
        <v>379.75</v>
      </c>
      <c r="BW61" s="35">
        <f t="shared" si="12"/>
        <v>5.0505386354568428E-3</v>
      </c>
    </row>
    <row r="62" spans="1:75">
      <c r="A62" s="1" t="s">
        <v>63</v>
      </c>
      <c r="B62" s="1">
        <v>75490</v>
      </c>
      <c r="Q62">
        <v>59</v>
      </c>
      <c r="R62" s="27" t="str">
        <f t="shared" si="1"/>
        <v>29/10/2023</v>
      </c>
      <c r="S62" s="27">
        <f t="shared" si="1"/>
        <v>75000</v>
      </c>
      <c r="T62" s="4" t="str">
        <f t="shared" si="2"/>
        <v>A6</v>
      </c>
      <c r="V62">
        <v>59</v>
      </c>
      <c r="W62" s="28" t="str">
        <f t="shared" si="0"/>
        <v>29/10/2023</v>
      </c>
      <c r="X62" s="28">
        <f t="shared" si="0"/>
        <v>75000</v>
      </c>
      <c r="Y62" s="28" t="str">
        <f t="shared" si="0"/>
        <v>A6</v>
      </c>
      <c r="Z62" s="5" t="str">
        <f t="shared" si="13"/>
        <v>A6</v>
      </c>
      <c r="AA62" s="5" t="str">
        <f t="shared" si="14"/>
        <v>A6</v>
      </c>
      <c r="AG62" s="29" t="str">
        <f t="shared" si="3"/>
        <v>29/10/2023</v>
      </c>
      <c r="AH62" s="30">
        <f t="shared" si="3"/>
        <v>75000</v>
      </c>
      <c r="AI62" s="4" t="str">
        <f t="shared" si="4"/>
        <v>A6</v>
      </c>
      <c r="AJ62" s="5" t="str">
        <f t="shared" si="15"/>
        <v>A6</v>
      </c>
      <c r="AK62">
        <f t="shared" si="16"/>
        <v>73860.5</v>
      </c>
      <c r="AL62" t="str">
        <f t="shared" si="17"/>
        <v>A6</v>
      </c>
      <c r="AM62">
        <f t="shared" si="18"/>
        <v>73860.5</v>
      </c>
      <c r="AN62" s="6">
        <f t="shared" si="19"/>
        <v>1680</v>
      </c>
      <c r="AO62">
        <f t="shared" si="20"/>
        <v>76030</v>
      </c>
      <c r="AP62">
        <f t="shared" si="44"/>
        <v>74350</v>
      </c>
      <c r="AQ62" s="33">
        <f t="shared" si="22"/>
        <v>76870</v>
      </c>
      <c r="AR62" s="33">
        <f t="shared" si="23"/>
        <v>73510</v>
      </c>
      <c r="AS62">
        <f t="shared" si="24"/>
        <v>75610</v>
      </c>
      <c r="AT62" s="5">
        <f t="shared" si="25"/>
        <v>74770</v>
      </c>
      <c r="AU62" s="5">
        <f t="shared" si="26"/>
        <v>78550</v>
      </c>
      <c r="AV62" s="5">
        <f t="shared" si="27"/>
        <v>71830</v>
      </c>
      <c r="AW62" s="5">
        <f t="shared" si="28"/>
        <v>75470</v>
      </c>
      <c r="AX62" s="5">
        <f t="shared" si="29"/>
        <v>74910</v>
      </c>
      <c r="AY62" s="5">
        <f t="shared" si="30"/>
        <v>80230</v>
      </c>
      <c r="AZ62" s="5">
        <f t="shared" si="31"/>
        <v>70150</v>
      </c>
      <c r="BB62" s="32" t="str">
        <f t="shared" si="5"/>
        <v>29/10/2023</v>
      </c>
      <c r="BC62" s="33">
        <f t="shared" si="5"/>
        <v>75000</v>
      </c>
      <c r="BD62" s="4" t="str">
        <f t="shared" si="5"/>
        <v>A6</v>
      </c>
      <c r="BE62" s="38">
        <f t="shared" si="32"/>
        <v>74945.25</v>
      </c>
      <c r="BF62">
        <f t="shared" si="33"/>
        <v>74105.25</v>
      </c>
      <c r="BG62">
        <f t="shared" si="34"/>
        <v>75365.25</v>
      </c>
      <c r="BH62">
        <f t="shared" si="35"/>
        <v>73685.25</v>
      </c>
      <c r="BI62">
        <f t="shared" si="36"/>
        <v>74735.25</v>
      </c>
      <c r="BJ62">
        <f t="shared" si="37"/>
        <v>74315.25</v>
      </c>
      <c r="BK62">
        <f t="shared" si="38"/>
        <v>76205.25</v>
      </c>
      <c r="BL62">
        <f t="shared" si="39"/>
        <v>72845.25</v>
      </c>
      <c r="BM62">
        <f t="shared" si="40"/>
        <v>74665.25</v>
      </c>
      <c r="BN62">
        <f t="shared" si="41"/>
        <v>74385.25</v>
      </c>
      <c r="BO62">
        <f t="shared" si="42"/>
        <v>77045.25</v>
      </c>
      <c r="BP62">
        <f t="shared" si="43"/>
        <v>72005.25</v>
      </c>
      <c r="BQ62" s="7">
        <f>BE62</f>
        <v>74945.25</v>
      </c>
      <c r="BS62" s="30">
        <f t="shared" si="6"/>
        <v>75000</v>
      </c>
      <c r="BT62" s="4">
        <f t="shared" si="7"/>
        <v>74945.25</v>
      </c>
      <c r="BU62" s="37">
        <f t="shared" si="10"/>
        <v>54.75</v>
      </c>
      <c r="BV62">
        <f t="shared" si="11"/>
        <v>54.75</v>
      </c>
      <c r="BW62" s="35">
        <f t="shared" si="12"/>
        <v>7.2999999999999996E-4</v>
      </c>
    </row>
    <row r="63" spans="1:75">
      <c r="A63" s="1" t="s">
        <v>64</v>
      </c>
      <c r="B63" s="1">
        <v>75700</v>
      </c>
      <c r="Q63">
        <v>60</v>
      </c>
      <c r="R63" s="27" t="str">
        <f t="shared" si="1"/>
        <v>30/10/2023</v>
      </c>
      <c r="S63" s="27">
        <f t="shared" si="1"/>
        <v>74260</v>
      </c>
      <c r="T63" s="4" t="str">
        <f t="shared" si="2"/>
        <v>A6</v>
      </c>
      <c r="V63">
        <v>60</v>
      </c>
      <c r="W63" s="28" t="str">
        <f t="shared" si="0"/>
        <v>30/10/2023</v>
      </c>
      <c r="X63" s="28">
        <f t="shared" si="0"/>
        <v>74260</v>
      </c>
      <c r="Y63" s="28" t="str">
        <f t="shared" si="0"/>
        <v>A6</v>
      </c>
      <c r="Z63" s="5" t="str">
        <f t="shared" si="13"/>
        <v>A6</v>
      </c>
      <c r="AA63" s="5" t="str">
        <f t="shared" si="14"/>
        <v>A6</v>
      </c>
      <c r="AG63" s="29" t="str">
        <f t="shared" si="3"/>
        <v>30/10/2023</v>
      </c>
      <c r="AH63" s="30">
        <f t="shared" si="3"/>
        <v>74260</v>
      </c>
      <c r="AI63" s="4" t="str">
        <f t="shared" si="4"/>
        <v>A6</v>
      </c>
      <c r="AJ63" s="5" t="str">
        <f t="shared" si="15"/>
        <v>A6</v>
      </c>
      <c r="AK63">
        <f t="shared" si="16"/>
        <v>73860.5</v>
      </c>
      <c r="AL63" t="str">
        <f t="shared" si="17"/>
        <v>A6</v>
      </c>
      <c r="AM63">
        <f t="shared" si="18"/>
        <v>73860.5</v>
      </c>
      <c r="AN63" s="6">
        <f t="shared" si="19"/>
        <v>1850</v>
      </c>
      <c r="AO63">
        <f t="shared" si="20"/>
        <v>75925</v>
      </c>
      <c r="AP63">
        <f t="shared" si="44"/>
        <v>74075</v>
      </c>
      <c r="AQ63" s="33">
        <f t="shared" si="22"/>
        <v>76850</v>
      </c>
      <c r="AR63" s="33">
        <f t="shared" si="23"/>
        <v>73150</v>
      </c>
      <c r="AS63">
        <f t="shared" si="24"/>
        <v>75462.5</v>
      </c>
      <c r="AT63" s="5">
        <f t="shared" si="25"/>
        <v>74537.5</v>
      </c>
      <c r="AU63" s="5">
        <f t="shared" si="26"/>
        <v>78700</v>
      </c>
      <c r="AV63" s="5">
        <f t="shared" si="27"/>
        <v>71300</v>
      </c>
      <c r="AW63" s="5">
        <f t="shared" si="28"/>
        <v>75308.333333333328</v>
      </c>
      <c r="AX63" s="5">
        <f t="shared" si="29"/>
        <v>74691.666666666672</v>
      </c>
      <c r="AY63" s="5">
        <f t="shared" si="30"/>
        <v>80550</v>
      </c>
      <c r="AZ63" s="5">
        <f t="shared" si="31"/>
        <v>69450</v>
      </c>
      <c r="BB63" s="32" t="str">
        <f t="shared" si="5"/>
        <v>30/10/2023</v>
      </c>
      <c r="BC63" s="33">
        <f t="shared" si="5"/>
        <v>74260</v>
      </c>
      <c r="BD63" s="4" t="str">
        <f t="shared" si="5"/>
        <v>A6</v>
      </c>
      <c r="BE63">
        <f t="shared" si="32"/>
        <v>74892.75</v>
      </c>
      <c r="BF63">
        <f t="shared" si="33"/>
        <v>73967.75</v>
      </c>
      <c r="BG63">
        <f t="shared" si="34"/>
        <v>75355.25</v>
      </c>
      <c r="BH63">
        <f t="shared" si="35"/>
        <v>73505.25</v>
      </c>
      <c r="BI63">
        <f t="shared" si="36"/>
        <v>74661.5</v>
      </c>
      <c r="BJ63">
        <f t="shared" si="37"/>
        <v>74199</v>
      </c>
      <c r="BK63">
        <f t="shared" si="38"/>
        <v>76280.25</v>
      </c>
      <c r="BL63">
        <f t="shared" si="39"/>
        <v>72580.25</v>
      </c>
      <c r="BM63">
        <f t="shared" si="40"/>
        <v>74584.416666666657</v>
      </c>
      <c r="BN63" s="38">
        <f t="shared" si="41"/>
        <v>74276.083333333343</v>
      </c>
      <c r="BO63">
        <f t="shared" si="42"/>
        <v>77205.25</v>
      </c>
      <c r="BP63">
        <f t="shared" si="43"/>
        <v>71655.25</v>
      </c>
      <c r="BQ63" s="7">
        <f>BN63</f>
        <v>74276.083333333343</v>
      </c>
      <c r="BS63" s="30">
        <f t="shared" si="6"/>
        <v>74260</v>
      </c>
      <c r="BT63" s="4">
        <f t="shared" si="7"/>
        <v>74276.083333333343</v>
      </c>
      <c r="BU63" s="37">
        <f t="shared" si="10"/>
        <v>-16.083333333343035</v>
      </c>
      <c r="BV63">
        <f t="shared" si="11"/>
        <v>16.083333333343035</v>
      </c>
      <c r="BW63" s="35">
        <f t="shared" si="12"/>
        <v>2.165813807344874E-4</v>
      </c>
    </row>
    <row r="64" spans="1:75">
      <c r="A64" s="1" t="s">
        <v>65</v>
      </c>
      <c r="B64" s="1">
        <v>75840</v>
      </c>
      <c r="Q64">
        <v>61</v>
      </c>
      <c r="R64" s="27" t="str">
        <f t="shared" si="1"/>
        <v>31/10/2023</v>
      </c>
      <c r="S64" s="27">
        <f t="shared" si="1"/>
        <v>75490</v>
      </c>
      <c r="T64" s="4" t="str">
        <f t="shared" si="2"/>
        <v>A6</v>
      </c>
      <c r="V64">
        <v>61</v>
      </c>
      <c r="W64" s="28" t="str">
        <f t="shared" si="0"/>
        <v>31/10/2023</v>
      </c>
      <c r="X64" s="28">
        <f t="shared" si="0"/>
        <v>75490</v>
      </c>
      <c r="Y64" s="28" t="str">
        <f t="shared" si="0"/>
        <v>A6</v>
      </c>
      <c r="Z64" s="5" t="str">
        <f t="shared" si="13"/>
        <v>A6</v>
      </c>
      <c r="AA64" s="5" t="str">
        <f t="shared" si="14"/>
        <v>A6</v>
      </c>
      <c r="AG64" s="29" t="str">
        <f t="shared" si="3"/>
        <v>31/10/2023</v>
      </c>
      <c r="AH64" s="30">
        <f t="shared" si="3"/>
        <v>75490</v>
      </c>
      <c r="AI64" s="4" t="str">
        <f t="shared" si="4"/>
        <v>A6</v>
      </c>
      <c r="AJ64" s="5" t="str">
        <f t="shared" si="15"/>
        <v>A6</v>
      </c>
      <c r="AK64">
        <f t="shared" si="16"/>
        <v>73860.5</v>
      </c>
      <c r="AL64" t="str">
        <f t="shared" si="17"/>
        <v>A6</v>
      </c>
      <c r="AM64">
        <f t="shared" si="18"/>
        <v>73860.5</v>
      </c>
      <c r="AN64" s="6">
        <f t="shared" si="19"/>
        <v>550</v>
      </c>
      <c r="AO64">
        <f t="shared" si="20"/>
        <v>74535</v>
      </c>
      <c r="AP64">
        <f t="shared" si="44"/>
        <v>73985</v>
      </c>
      <c r="AQ64" s="33">
        <f t="shared" si="22"/>
        <v>74810</v>
      </c>
      <c r="AR64" s="33">
        <f t="shared" si="23"/>
        <v>73710</v>
      </c>
      <c r="AS64">
        <f t="shared" si="24"/>
        <v>74397.5</v>
      </c>
      <c r="AT64" s="5">
        <f t="shared" si="25"/>
        <v>74122.5</v>
      </c>
      <c r="AU64" s="5">
        <f t="shared" si="26"/>
        <v>75360</v>
      </c>
      <c r="AV64" s="5">
        <f t="shared" si="27"/>
        <v>73160</v>
      </c>
      <c r="AW64" s="5">
        <f t="shared" si="28"/>
        <v>74351.666666666672</v>
      </c>
      <c r="AX64" s="5">
        <f t="shared" si="29"/>
        <v>74168.333333333328</v>
      </c>
      <c r="AY64" s="5">
        <f t="shared" si="30"/>
        <v>75910</v>
      </c>
      <c r="AZ64" s="5">
        <f t="shared" si="31"/>
        <v>72610</v>
      </c>
      <c r="BB64" s="32" t="str">
        <f t="shared" si="5"/>
        <v>31/10/2023</v>
      </c>
      <c r="BC64" s="33">
        <f t="shared" si="5"/>
        <v>75490</v>
      </c>
      <c r="BD64" s="4" t="str">
        <f t="shared" si="5"/>
        <v>A6</v>
      </c>
      <c r="BE64">
        <f t="shared" si="32"/>
        <v>74197.75</v>
      </c>
      <c r="BF64">
        <f t="shared" si="33"/>
        <v>73922.75</v>
      </c>
      <c r="BG64">
        <f t="shared" si="34"/>
        <v>74335.25</v>
      </c>
      <c r="BH64">
        <f t="shared" si="35"/>
        <v>73785.25</v>
      </c>
      <c r="BI64">
        <f t="shared" si="36"/>
        <v>74129</v>
      </c>
      <c r="BJ64">
        <f t="shared" si="37"/>
        <v>73991.5</v>
      </c>
      <c r="BK64">
        <f t="shared" si="38"/>
        <v>74610.25</v>
      </c>
      <c r="BL64">
        <f t="shared" si="39"/>
        <v>73510.25</v>
      </c>
      <c r="BM64">
        <f t="shared" si="40"/>
        <v>74106.083333333343</v>
      </c>
      <c r="BN64">
        <f t="shared" si="41"/>
        <v>74014.416666666657</v>
      </c>
      <c r="BO64" s="38">
        <f t="shared" si="42"/>
        <v>74885.25</v>
      </c>
      <c r="BP64">
        <f t="shared" si="43"/>
        <v>73235.25</v>
      </c>
      <c r="BQ64" s="7">
        <f>BO64</f>
        <v>74885.25</v>
      </c>
      <c r="BS64" s="30">
        <f t="shared" si="6"/>
        <v>75490</v>
      </c>
      <c r="BT64" s="4">
        <f t="shared" si="7"/>
        <v>74885.25</v>
      </c>
      <c r="BU64" s="37">
        <f t="shared" si="10"/>
        <v>604.75</v>
      </c>
      <c r="BV64">
        <f t="shared" si="11"/>
        <v>604.75</v>
      </c>
      <c r="BW64" s="35">
        <f t="shared" si="12"/>
        <v>8.0109948337528155E-3</v>
      </c>
    </row>
    <row r="65" spans="1:75">
      <c r="A65" s="1" t="s">
        <v>66</v>
      </c>
      <c r="B65" s="1">
        <v>75360</v>
      </c>
      <c r="Q65">
        <v>62</v>
      </c>
      <c r="R65" s="27" t="str">
        <f t="shared" si="1"/>
        <v>01/11/2023</v>
      </c>
      <c r="S65" s="27">
        <f t="shared" si="1"/>
        <v>75700</v>
      </c>
      <c r="T65" s="4" t="str">
        <f t="shared" si="2"/>
        <v>A6</v>
      </c>
      <c r="V65">
        <v>62</v>
      </c>
      <c r="W65" s="28" t="str">
        <f t="shared" si="0"/>
        <v>01/11/2023</v>
      </c>
      <c r="X65" s="28">
        <f t="shared" si="0"/>
        <v>75700</v>
      </c>
      <c r="Y65" s="28" t="str">
        <f t="shared" si="0"/>
        <v>A6</v>
      </c>
      <c r="Z65" s="5" t="str">
        <f t="shared" si="13"/>
        <v>A6</v>
      </c>
      <c r="AA65" s="5" t="str">
        <f t="shared" si="14"/>
        <v>A6</v>
      </c>
      <c r="AG65" s="29" t="str">
        <f t="shared" si="3"/>
        <v>01/11/2023</v>
      </c>
      <c r="AH65" s="30">
        <f t="shared" si="3"/>
        <v>75700</v>
      </c>
      <c r="AI65" s="4" t="str">
        <f t="shared" si="4"/>
        <v>A6</v>
      </c>
      <c r="AJ65" s="5" t="str">
        <f t="shared" si="15"/>
        <v>A6</v>
      </c>
      <c r="AK65">
        <f t="shared" si="16"/>
        <v>73860.5</v>
      </c>
      <c r="AL65" t="str">
        <f t="shared" si="17"/>
        <v>A6</v>
      </c>
      <c r="AM65">
        <f t="shared" si="18"/>
        <v>73860.5</v>
      </c>
      <c r="AN65" s="6">
        <f t="shared" si="19"/>
        <v>490</v>
      </c>
      <c r="AO65">
        <f t="shared" si="20"/>
        <v>75735</v>
      </c>
      <c r="AP65">
        <f t="shared" si="44"/>
        <v>75245</v>
      </c>
      <c r="AQ65" s="33">
        <f t="shared" si="22"/>
        <v>75980</v>
      </c>
      <c r="AR65" s="33">
        <f t="shared" si="23"/>
        <v>75000</v>
      </c>
      <c r="AS65">
        <f t="shared" si="24"/>
        <v>75612.5</v>
      </c>
      <c r="AT65" s="5">
        <f t="shared" si="25"/>
        <v>75367.5</v>
      </c>
      <c r="AU65" s="5">
        <f t="shared" si="26"/>
        <v>76470</v>
      </c>
      <c r="AV65" s="5">
        <f t="shared" si="27"/>
        <v>74510</v>
      </c>
      <c r="AW65" s="5">
        <f t="shared" si="28"/>
        <v>75571.666666666672</v>
      </c>
      <c r="AX65" s="5">
        <f t="shared" si="29"/>
        <v>75408.333333333328</v>
      </c>
      <c r="AY65" s="5">
        <f t="shared" si="30"/>
        <v>76960</v>
      </c>
      <c r="AZ65" s="5">
        <f t="shared" si="31"/>
        <v>74020</v>
      </c>
      <c r="BB65" s="32" t="str">
        <f t="shared" si="5"/>
        <v>01/11/2023</v>
      </c>
      <c r="BC65" s="33">
        <f t="shared" si="5"/>
        <v>75700</v>
      </c>
      <c r="BD65" s="4" t="str">
        <f t="shared" si="5"/>
        <v>A6</v>
      </c>
      <c r="BE65">
        <f t="shared" si="32"/>
        <v>74797.75</v>
      </c>
      <c r="BF65">
        <f t="shared" si="33"/>
        <v>74552.75</v>
      </c>
      <c r="BG65">
        <f t="shared" si="34"/>
        <v>74920.25</v>
      </c>
      <c r="BH65">
        <f t="shared" si="35"/>
        <v>74430.25</v>
      </c>
      <c r="BI65">
        <f t="shared" si="36"/>
        <v>74736.5</v>
      </c>
      <c r="BJ65">
        <f t="shared" si="37"/>
        <v>74614</v>
      </c>
      <c r="BK65" s="40">
        <f t="shared" si="38"/>
        <v>75165.25</v>
      </c>
      <c r="BL65">
        <f t="shared" si="39"/>
        <v>74185.25</v>
      </c>
      <c r="BM65">
        <f t="shared" si="40"/>
        <v>74716.083333333343</v>
      </c>
      <c r="BN65">
        <f t="shared" si="41"/>
        <v>74634.416666666657</v>
      </c>
      <c r="BO65" s="38">
        <f t="shared" si="42"/>
        <v>75410.25</v>
      </c>
      <c r="BP65">
        <f t="shared" si="43"/>
        <v>73940.25</v>
      </c>
      <c r="BQ65" s="7">
        <f>BO65</f>
        <v>75410.25</v>
      </c>
      <c r="BS65" s="30">
        <f t="shared" si="6"/>
        <v>75700</v>
      </c>
      <c r="BT65" s="4">
        <f t="shared" si="7"/>
        <v>75410.25</v>
      </c>
      <c r="BU65" s="37">
        <f t="shared" si="10"/>
        <v>289.75</v>
      </c>
      <c r="BV65">
        <f t="shared" si="11"/>
        <v>289.75</v>
      </c>
      <c r="BW65" s="35">
        <f t="shared" si="12"/>
        <v>3.8276089828269484E-3</v>
      </c>
    </row>
    <row r="66" spans="1:75">
      <c r="A66" s="1" t="s">
        <v>67</v>
      </c>
      <c r="B66" s="1">
        <v>74520</v>
      </c>
      <c r="Q66">
        <v>63</v>
      </c>
      <c r="R66" s="27" t="str">
        <f t="shared" si="1"/>
        <v>02/11/2023</v>
      </c>
      <c r="S66" s="27">
        <f t="shared" si="1"/>
        <v>75840</v>
      </c>
      <c r="T66" s="4" t="str">
        <f t="shared" si="2"/>
        <v>A6</v>
      </c>
      <c r="V66">
        <v>63</v>
      </c>
      <c r="W66" s="28" t="str">
        <f t="shared" si="0"/>
        <v>02/11/2023</v>
      </c>
      <c r="X66" s="28">
        <f t="shared" si="0"/>
        <v>75840</v>
      </c>
      <c r="Y66" s="28" t="str">
        <f t="shared" si="0"/>
        <v>A6</v>
      </c>
      <c r="Z66" s="5" t="str">
        <f t="shared" si="13"/>
        <v>A6</v>
      </c>
      <c r="AA66" s="5" t="str">
        <f t="shared" si="14"/>
        <v>A6</v>
      </c>
      <c r="AG66" s="29" t="str">
        <f t="shared" si="3"/>
        <v>02/11/2023</v>
      </c>
      <c r="AH66" s="30">
        <f t="shared" si="3"/>
        <v>75840</v>
      </c>
      <c r="AI66" s="4" t="str">
        <f t="shared" si="4"/>
        <v>A6</v>
      </c>
      <c r="AJ66" s="5" t="str">
        <f t="shared" si="15"/>
        <v>A6</v>
      </c>
      <c r="AK66">
        <f t="shared" si="16"/>
        <v>73860.5</v>
      </c>
      <c r="AL66" t="str">
        <f t="shared" si="17"/>
        <v>A6</v>
      </c>
      <c r="AM66">
        <f t="shared" si="18"/>
        <v>73860.5</v>
      </c>
      <c r="AN66" s="6">
        <f t="shared" si="19"/>
        <v>1020</v>
      </c>
      <c r="AO66">
        <f t="shared" si="20"/>
        <v>76210</v>
      </c>
      <c r="AP66">
        <f t="shared" si="44"/>
        <v>75190</v>
      </c>
      <c r="AQ66" s="33">
        <f t="shared" si="22"/>
        <v>76720</v>
      </c>
      <c r="AR66" s="33">
        <f t="shared" si="23"/>
        <v>74680</v>
      </c>
      <c r="AS66">
        <f t="shared" si="24"/>
        <v>75955</v>
      </c>
      <c r="AT66" s="5">
        <f t="shared" si="25"/>
        <v>75445</v>
      </c>
      <c r="AU66" s="5">
        <f t="shared" si="26"/>
        <v>77740</v>
      </c>
      <c r="AV66" s="5">
        <f t="shared" si="27"/>
        <v>73660</v>
      </c>
      <c r="AW66" s="5">
        <f t="shared" si="28"/>
        <v>75870</v>
      </c>
      <c r="AX66" s="5">
        <f t="shared" si="29"/>
        <v>75530</v>
      </c>
      <c r="AY66" s="5">
        <f t="shared" si="30"/>
        <v>78760</v>
      </c>
      <c r="AZ66" s="5">
        <f t="shared" si="31"/>
        <v>72640</v>
      </c>
      <c r="BB66" s="32" t="str">
        <f t="shared" si="5"/>
        <v>02/11/2023</v>
      </c>
      <c r="BC66" s="33">
        <f t="shared" si="5"/>
        <v>75840</v>
      </c>
      <c r="BD66" s="4" t="str">
        <f t="shared" si="5"/>
        <v>A6</v>
      </c>
      <c r="BE66">
        <f t="shared" si="32"/>
        <v>75035.25</v>
      </c>
      <c r="BF66">
        <f t="shared" si="33"/>
        <v>74525.25</v>
      </c>
      <c r="BG66">
        <f t="shared" si="34"/>
        <v>75290.25</v>
      </c>
      <c r="BH66">
        <f t="shared" si="35"/>
        <v>74270.25</v>
      </c>
      <c r="BI66">
        <f t="shared" si="36"/>
        <v>74907.75</v>
      </c>
      <c r="BJ66">
        <f t="shared" si="37"/>
        <v>74652.75</v>
      </c>
      <c r="BK66" s="38">
        <f t="shared" si="38"/>
        <v>75800.25</v>
      </c>
      <c r="BL66">
        <f t="shared" si="39"/>
        <v>73760.25</v>
      </c>
      <c r="BM66">
        <f t="shared" si="40"/>
        <v>74865.25</v>
      </c>
      <c r="BN66">
        <f t="shared" si="41"/>
        <v>74695.25</v>
      </c>
      <c r="BO66">
        <f t="shared" si="42"/>
        <v>76310.25</v>
      </c>
      <c r="BP66">
        <f t="shared" si="43"/>
        <v>73250.25</v>
      </c>
      <c r="BQ66" s="7">
        <f>BK66</f>
        <v>75800.25</v>
      </c>
      <c r="BS66" s="30">
        <f t="shared" si="6"/>
        <v>75840</v>
      </c>
      <c r="BT66" s="4">
        <f t="shared" si="7"/>
        <v>75800.25</v>
      </c>
      <c r="BU66" s="37">
        <f t="shared" si="10"/>
        <v>39.75</v>
      </c>
      <c r="BV66">
        <f t="shared" si="11"/>
        <v>39.75</v>
      </c>
      <c r="BW66" s="35">
        <f t="shared" si="12"/>
        <v>5.2412974683544301E-4</v>
      </c>
    </row>
    <row r="67" spans="1:75">
      <c r="A67" s="1" t="s">
        <v>68</v>
      </c>
      <c r="B67" s="1">
        <v>73800</v>
      </c>
      <c r="Q67">
        <v>64</v>
      </c>
      <c r="R67" s="27" t="str">
        <f t="shared" si="1"/>
        <v>03/11/2023</v>
      </c>
      <c r="S67" s="27">
        <f t="shared" si="1"/>
        <v>75360</v>
      </c>
      <c r="T67" s="4" t="str">
        <f t="shared" si="2"/>
        <v>A6</v>
      </c>
      <c r="V67">
        <v>64</v>
      </c>
      <c r="W67" s="28" t="str">
        <f t="shared" si="0"/>
        <v>03/11/2023</v>
      </c>
      <c r="X67" s="28">
        <f t="shared" si="0"/>
        <v>75360</v>
      </c>
      <c r="Y67" s="28" t="str">
        <f t="shared" si="0"/>
        <v>A6</v>
      </c>
      <c r="Z67" s="5" t="str">
        <f t="shared" si="13"/>
        <v>A6</v>
      </c>
      <c r="AA67" s="5" t="str">
        <f t="shared" si="14"/>
        <v>A6</v>
      </c>
      <c r="AG67" s="29" t="str">
        <f t="shared" si="3"/>
        <v>03/11/2023</v>
      </c>
      <c r="AH67" s="30">
        <f t="shared" si="3"/>
        <v>75360</v>
      </c>
      <c r="AI67" s="4" t="str">
        <f t="shared" si="4"/>
        <v>A6</v>
      </c>
      <c r="AJ67" s="5" t="str">
        <f t="shared" si="15"/>
        <v>A6</v>
      </c>
      <c r="AK67">
        <f t="shared" si="16"/>
        <v>73860.5</v>
      </c>
      <c r="AL67" t="str">
        <f t="shared" si="17"/>
        <v>A6</v>
      </c>
      <c r="AM67">
        <f t="shared" si="18"/>
        <v>73860.5</v>
      </c>
      <c r="AN67" s="6">
        <f t="shared" si="19"/>
        <v>70</v>
      </c>
      <c r="AO67">
        <f t="shared" si="20"/>
        <v>75875</v>
      </c>
      <c r="AP67">
        <f t="shared" si="44"/>
        <v>75805</v>
      </c>
      <c r="AQ67" s="33">
        <f t="shared" si="22"/>
        <v>75910</v>
      </c>
      <c r="AR67" s="33">
        <f t="shared" si="23"/>
        <v>75770</v>
      </c>
      <c r="AS67">
        <f t="shared" si="24"/>
        <v>75857.5</v>
      </c>
      <c r="AT67" s="5">
        <f t="shared" si="25"/>
        <v>75822.5</v>
      </c>
      <c r="AU67" s="5">
        <f t="shared" si="26"/>
        <v>75980</v>
      </c>
      <c r="AV67" s="5">
        <f t="shared" si="27"/>
        <v>75700</v>
      </c>
      <c r="AW67" s="5">
        <f t="shared" si="28"/>
        <v>75851.666666666672</v>
      </c>
      <c r="AX67" s="5">
        <f t="shared" si="29"/>
        <v>75828.333333333328</v>
      </c>
      <c r="AY67" s="5">
        <f t="shared" si="30"/>
        <v>76050</v>
      </c>
      <c r="AZ67" s="5">
        <f t="shared" si="31"/>
        <v>75630</v>
      </c>
      <c r="BB67" s="32" t="str">
        <f t="shared" si="5"/>
        <v>03/11/2023</v>
      </c>
      <c r="BC67" s="33">
        <f t="shared" si="5"/>
        <v>75360</v>
      </c>
      <c r="BD67" s="4" t="str">
        <f t="shared" si="5"/>
        <v>A6</v>
      </c>
      <c r="BE67">
        <f t="shared" si="32"/>
        <v>74867.75</v>
      </c>
      <c r="BF67">
        <f t="shared" si="33"/>
        <v>74832.75</v>
      </c>
      <c r="BG67">
        <f t="shared" si="34"/>
        <v>74885.25</v>
      </c>
      <c r="BH67">
        <f t="shared" si="35"/>
        <v>74815.25</v>
      </c>
      <c r="BI67">
        <f t="shared" si="36"/>
        <v>74859</v>
      </c>
      <c r="BJ67">
        <f t="shared" si="37"/>
        <v>74841.5</v>
      </c>
      <c r="BK67">
        <f t="shared" si="38"/>
        <v>74920.25</v>
      </c>
      <c r="BL67">
        <f t="shared" si="39"/>
        <v>74780.25</v>
      </c>
      <c r="BM67">
        <f t="shared" si="40"/>
        <v>74856.083333333343</v>
      </c>
      <c r="BN67">
        <f t="shared" si="41"/>
        <v>74844.416666666657</v>
      </c>
      <c r="BO67" s="38">
        <f t="shared" si="42"/>
        <v>74955.25</v>
      </c>
      <c r="BP67">
        <f t="shared" si="43"/>
        <v>74745.25</v>
      </c>
      <c r="BQ67" s="7">
        <f>BO67</f>
        <v>74955.25</v>
      </c>
      <c r="BS67" s="30">
        <f t="shared" si="6"/>
        <v>75360</v>
      </c>
      <c r="BT67" s="4">
        <f t="shared" si="7"/>
        <v>74955.25</v>
      </c>
      <c r="BU67" s="37">
        <f t="shared" si="10"/>
        <v>404.75</v>
      </c>
      <c r="BV67">
        <f t="shared" si="11"/>
        <v>404.75</v>
      </c>
      <c r="BW67" s="35">
        <f t="shared" si="12"/>
        <v>5.3708864118895963E-3</v>
      </c>
    </row>
    <row r="68" spans="1:75">
      <c r="A68" s="1" t="s">
        <v>69</v>
      </c>
      <c r="B68" s="1">
        <v>72390</v>
      </c>
      <c r="Q68">
        <v>65</v>
      </c>
      <c r="R68" s="27" t="str">
        <f t="shared" si="1"/>
        <v>04/11/2023</v>
      </c>
      <c r="S68" s="27">
        <f t="shared" si="1"/>
        <v>74520</v>
      </c>
      <c r="T68" s="4" t="str">
        <f t="shared" si="2"/>
        <v>A6</v>
      </c>
      <c r="V68">
        <v>65</v>
      </c>
      <c r="W68" s="28" t="str">
        <f t="shared" ref="W68:Y131" si="49">R68</f>
        <v>04/11/2023</v>
      </c>
      <c r="X68" s="28">
        <f t="shared" si="49"/>
        <v>74520</v>
      </c>
      <c r="Y68" s="28" t="str">
        <f t="shared" si="49"/>
        <v>A6</v>
      </c>
      <c r="Z68" s="5" t="str">
        <f t="shared" si="13"/>
        <v>A6</v>
      </c>
      <c r="AA68" s="5" t="str">
        <f t="shared" si="14"/>
        <v>A6</v>
      </c>
      <c r="AG68" s="29" t="str">
        <f t="shared" si="3"/>
        <v>04/11/2023</v>
      </c>
      <c r="AH68" s="30">
        <f t="shared" si="3"/>
        <v>74520</v>
      </c>
      <c r="AI68" s="4" t="str">
        <f t="shared" si="4"/>
        <v>A6</v>
      </c>
      <c r="AJ68" s="5" t="str">
        <f t="shared" si="15"/>
        <v>A6</v>
      </c>
      <c r="AK68">
        <f t="shared" si="16"/>
        <v>73860.5</v>
      </c>
      <c r="AL68" t="str">
        <f t="shared" si="17"/>
        <v>A6</v>
      </c>
      <c r="AM68">
        <f t="shared" si="18"/>
        <v>73860.5</v>
      </c>
      <c r="AN68" s="6">
        <f t="shared" si="19"/>
        <v>340</v>
      </c>
      <c r="AO68">
        <f t="shared" si="20"/>
        <v>75530</v>
      </c>
      <c r="AP68">
        <f t="shared" si="44"/>
        <v>75190</v>
      </c>
      <c r="AQ68" s="33">
        <f t="shared" si="22"/>
        <v>75700</v>
      </c>
      <c r="AR68" s="33">
        <f t="shared" si="23"/>
        <v>75020</v>
      </c>
      <c r="AS68">
        <f t="shared" si="24"/>
        <v>75445</v>
      </c>
      <c r="AT68" s="5">
        <f t="shared" si="25"/>
        <v>75275</v>
      </c>
      <c r="AU68" s="5">
        <f t="shared" si="26"/>
        <v>76040</v>
      </c>
      <c r="AV68" s="5">
        <f t="shared" si="27"/>
        <v>74680</v>
      </c>
      <c r="AW68" s="5">
        <f t="shared" si="28"/>
        <v>75416.666666666672</v>
      </c>
      <c r="AX68" s="5">
        <f t="shared" si="29"/>
        <v>75303.333333333328</v>
      </c>
      <c r="AY68" s="5">
        <f t="shared" si="30"/>
        <v>76380</v>
      </c>
      <c r="AZ68" s="5">
        <f t="shared" si="31"/>
        <v>74340</v>
      </c>
      <c r="BB68" s="32" t="str">
        <f t="shared" si="5"/>
        <v>04/11/2023</v>
      </c>
      <c r="BC68" s="33">
        <f t="shared" si="5"/>
        <v>74520</v>
      </c>
      <c r="BD68" s="4" t="str">
        <f t="shared" si="5"/>
        <v>A6</v>
      </c>
      <c r="BE68">
        <f t="shared" si="32"/>
        <v>74695.25</v>
      </c>
      <c r="BF68" s="38">
        <f t="shared" si="33"/>
        <v>74525.25</v>
      </c>
      <c r="BG68">
        <f t="shared" si="34"/>
        <v>74780.25</v>
      </c>
      <c r="BH68">
        <f t="shared" si="35"/>
        <v>74440.25</v>
      </c>
      <c r="BI68">
        <f t="shared" si="36"/>
        <v>74652.75</v>
      </c>
      <c r="BJ68">
        <f t="shared" si="37"/>
        <v>74567.75</v>
      </c>
      <c r="BK68">
        <f t="shared" si="38"/>
        <v>74950.25</v>
      </c>
      <c r="BL68">
        <f t="shared" si="39"/>
        <v>74270.25</v>
      </c>
      <c r="BM68">
        <f t="shared" si="40"/>
        <v>74638.583333333343</v>
      </c>
      <c r="BN68">
        <f t="shared" si="41"/>
        <v>74581.916666666657</v>
      </c>
      <c r="BO68">
        <f t="shared" si="42"/>
        <v>75120.25</v>
      </c>
      <c r="BP68">
        <f t="shared" si="43"/>
        <v>74100.25</v>
      </c>
      <c r="BQ68" s="7">
        <f>BF68</f>
        <v>74525.25</v>
      </c>
      <c r="BS68" s="30">
        <f t="shared" si="6"/>
        <v>74520</v>
      </c>
      <c r="BT68" s="4">
        <f t="shared" si="7"/>
        <v>74525.25</v>
      </c>
      <c r="BU68" s="37">
        <f t="shared" si="10"/>
        <v>-5.25</v>
      </c>
      <c r="BV68">
        <f t="shared" si="11"/>
        <v>5.25</v>
      </c>
      <c r="BW68" s="35">
        <f t="shared" si="12"/>
        <v>7.0450885668276976E-5</v>
      </c>
    </row>
    <row r="69" spans="1:75">
      <c r="A69" s="1" t="s">
        <v>70</v>
      </c>
      <c r="B69" s="1">
        <v>71330</v>
      </c>
      <c r="Q69">
        <v>66</v>
      </c>
      <c r="R69" s="27" t="str">
        <f t="shared" ref="R69:S132" si="50">A67</f>
        <v>05/11/2023</v>
      </c>
      <c r="S69" s="27">
        <f t="shared" si="50"/>
        <v>73800</v>
      </c>
      <c r="T69" s="4" t="str">
        <f t="shared" ref="T69:T132" si="51">VLOOKUP(S69,$N$5:$O$14,2,TRUE)</f>
        <v>A6</v>
      </c>
      <c r="V69">
        <v>66</v>
      </c>
      <c r="W69" s="28" t="str">
        <f t="shared" si="49"/>
        <v>05/11/2023</v>
      </c>
      <c r="X69" s="28">
        <f t="shared" si="49"/>
        <v>73800</v>
      </c>
      <c r="Y69" s="28" t="str">
        <f t="shared" si="49"/>
        <v>A6</v>
      </c>
      <c r="Z69" s="5" t="str">
        <f t="shared" si="13"/>
        <v>A6</v>
      </c>
      <c r="AA69" s="5" t="str">
        <f t="shared" si="14"/>
        <v>A6</v>
      </c>
      <c r="AG69" s="29" t="str">
        <f t="shared" ref="AG69:AH132" si="52">W69</f>
        <v>05/11/2023</v>
      </c>
      <c r="AH69" s="30">
        <f t="shared" si="52"/>
        <v>73800</v>
      </c>
      <c r="AI69" s="4" t="str">
        <f t="shared" ref="AI69:AI132" si="53">VLOOKUP(AH69,$N$5:$O$14,2,TRUE)</f>
        <v>A6</v>
      </c>
      <c r="AJ69" s="5" t="str">
        <f t="shared" si="15"/>
        <v>A6</v>
      </c>
      <c r="AK69">
        <f t="shared" si="16"/>
        <v>73860.5</v>
      </c>
      <c r="AL69" t="str">
        <f t="shared" si="17"/>
        <v>A6</v>
      </c>
      <c r="AM69">
        <f t="shared" si="18"/>
        <v>73860.5</v>
      </c>
      <c r="AN69" s="6">
        <f t="shared" si="19"/>
        <v>360</v>
      </c>
      <c r="AO69">
        <f t="shared" si="20"/>
        <v>74700</v>
      </c>
      <c r="AP69">
        <f t="shared" si="44"/>
        <v>74340</v>
      </c>
      <c r="AQ69" s="33">
        <f t="shared" si="22"/>
        <v>74880</v>
      </c>
      <c r="AR69" s="33">
        <f t="shared" si="23"/>
        <v>74160</v>
      </c>
      <c r="AS69">
        <f t="shared" si="24"/>
        <v>74610</v>
      </c>
      <c r="AT69" s="5">
        <f t="shared" si="25"/>
        <v>74430</v>
      </c>
      <c r="AU69" s="5">
        <f t="shared" si="26"/>
        <v>75240</v>
      </c>
      <c r="AV69" s="5">
        <f t="shared" si="27"/>
        <v>73800</v>
      </c>
      <c r="AW69" s="5">
        <f t="shared" si="28"/>
        <v>74580</v>
      </c>
      <c r="AX69" s="5">
        <f t="shared" si="29"/>
        <v>74460</v>
      </c>
      <c r="AY69" s="5">
        <f t="shared" si="30"/>
        <v>75600</v>
      </c>
      <c r="AZ69" s="5">
        <f t="shared" si="31"/>
        <v>73440</v>
      </c>
      <c r="BB69" s="32" t="str">
        <f t="shared" ref="BB69:BD132" si="54">AG69</f>
        <v>05/11/2023</v>
      </c>
      <c r="BC69" s="33">
        <f t="shared" si="54"/>
        <v>73800</v>
      </c>
      <c r="BD69" s="4" t="str">
        <f t="shared" si="54"/>
        <v>A6</v>
      </c>
      <c r="BE69">
        <f t="shared" si="32"/>
        <v>74280.25</v>
      </c>
      <c r="BF69">
        <f t="shared" si="33"/>
        <v>74100.25</v>
      </c>
      <c r="BG69">
        <f t="shared" si="34"/>
        <v>74370.25</v>
      </c>
      <c r="BH69">
        <f t="shared" si="35"/>
        <v>74010.25</v>
      </c>
      <c r="BI69">
        <f t="shared" si="36"/>
        <v>74235.25</v>
      </c>
      <c r="BJ69">
        <f t="shared" si="37"/>
        <v>74145.25</v>
      </c>
      <c r="BK69">
        <f t="shared" si="38"/>
        <v>74550.25</v>
      </c>
      <c r="BL69" s="38">
        <f t="shared" si="39"/>
        <v>73830.25</v>
      </c>
      <c r="BM69">
        <f t="shared" si="40"/>
        <v>74220.25</v>
      </c>
      <c r="BN69">
        <f t="shared" si="41"/>
        <v>74160.25</v>
      </c>
      <c r="BO69">
        <f t="shared" si="42"/>
        <v>74730.25</v>
      </c>
      <c r="BP69">
        <f t="shared" si="43"/>
        <v>73650.25</v>
      </c>
      <c r="BQ69" s="7">
        <f>BL69</f>
        <v>73830.25</v>
      </c>
      <c r="BS69" s="30">
        <f t="shared" ref="BS69:BS132" si="55">BC69</f>
        <v>73800</v>
      </c>
      <c r="BT69" s="4">
        <f t="shared" ref="BT69:BT132" si="56">BQ69</f>
        <v>73830.25</v>
      </c>
      <c r="BU69" s="37">
        <f t="shared" si="10"/>
        <v>-30.25</v>
      </c>
      <c r="BV69">
        <f t="shared" si="11"/>
        <v>30.25</v>
      </c>
      <c r="BW69" s="35">
        <f t="shared" si="12"/>
        <v>4.0989159891598919E-4</v>
      </c>
    </row>
    <row r="70" spans="1:75">
      <c r="A70" s="1" t="s">
        <v>71</v>
      </c>
      <c r="B70" s="1">
        <v>70210</v>
      </c>
      <c r="Q70">
        <v>67</v>
      </c>
      <c r="R70" s="27" t="str">
        <f t="shared" si="50"/>
        <v>06/11/2023</v>
      </c>
      <c r="S70" s="27">
        <f t="shared" si="50"/>
        <v>72390</v>
      </c>
      <c r="T70" s="4" t="str">
        <f t="shared" si="51"/>
        <v>A6</v>
      </c>
      <c r="V70">
        <v>67</v>
      </c>
      <c r="W70" s="28" t="str">
        <f t="shared" si="49"/>
        <v>06/11/2023</v>
      </c>
      <c r="X70" s="28">
        <f t="shared" si="49"/>
        <v>72390</v>
      </c>
      <c r="Y70" s="28" t="str">
        <f t="shared" si="49"/>
        <v>A6</v>
      </c>
      <c r="Z70" s="5" t="str">
        <f t="shared" si="13"/>
        <v>A6</v>
      </c>
      <c r="AA70" s="5" t="str">
        <f t="shared" si="14"/>
        <v>A6</v>
      </c>
      <c r="AG70" s="29" t="str">
        <f t="shared" si="52"/>
        <v>06/11/2023</v>
      </c>
      <c r="AH70" s="30">
        <f t="shared" si="52"/>
        <v>72390</v>
      </c>
      <c r="AI70" s="4" t="str">
        <f t="shared" si="53"/>
        <v>A6</v>
      </c>
      <c r="AJ70" s="5" t="str">
        <f t="shared" si="15"/>
        <v>A6</v>
      </c>
      <c r="AK70">
        <f t="shared" si="16"/>
        <v>73860.5</v>
      </c>
      <c r="AL70" t="str">
        <f t="shared" si="17"/>
        <v>A6</v>
      </c>
      <c r="AM70">
        <f t="shared" si="18"/>
        <v>73860.5</v>
      </c>
      <c r="AN70" s="6">
        <f t="shared" si="19"/>
        <v>120</v>
      </c>
      <c r="AO70">
        <f t="shared" si="20"/>
        <v>73860</v>
      </c>
      <c r="AP70">
        <f t="shared" si="44"/>
        <v>73740</v>
      </c>
      <c r="AQ70" s="33">
        <f t="shared" si="22"/>
        <v>73920</v>
      </c>
      <c r="AR70" s="33">
        <f t="shared" si="23"/>
        <v>73680</v>
      </c>
      <c r="AS70">
        <f t="shared" si="24"/>
        <v>73830</v>
      </c>
      <c r="AT70" s="5">
        <f t="shared" si="25"/>
        <v>73770</v>
      </c>
      <c r="AU70" s="5">
        <f t="shared" si="26"/>
        <v>74040</v>
      </c>
      <c r="AV70" s="5">
        <f t="shared" si="27"/>
        <v>73560</v>
      </c>
      <c r="AW70" s="5">
        <f t="shared" si="28"/>
        <v>73820</v>
      </c>
      <c r="AX70" s="5">
        <f t="shared" si="29"/>
        <v>73780</v>
      </c>
      <c r="AY70" s="5">
        <f t="shared" si="30"/>
        <v>74160</v>
      </c>
      <c r="AZ70" s="5">
        <f t="shared" si="31"/>
        <v>73440</v>
      </c>
      <c r="BB70" s="32" t="str">
        <f t="shared" si="54"/>
        <v>06/11/2023</v>
      </c>
      <c r="BC70" s="33">
        <f t="shared" si="54"/>
        <v>72390</v>
      </c>
      <c r="BD70" s="4" t="str">
        <f t="shared" si="54"/>
        <v>A6</v>
      </c>
      <c r="BE70">
        <f t="shared" si="32"/>
        <v>73860.25</v>
      </c>
      <c r="BF70">
        <f t="shared" si="33"/>
        <v>73800.25</v>
      </c>
      <c r="BG70">
        <f t="shared" si="34"/>
        <v>73890.25</v>
      </c>
      <c r="BH70">
        <f t="shared" si="35"/>
        <v>73770.25</v>
      </c>
      <c r="BI70">
        <f t="shared" si="36"/>
        <v>73845.25</v>
      </c>
      <c r="BJ70">
        <f t="shared" si="37"/>
        <v>73815.25</v>
      </c>
      <c r="BK70">
        <f t="shared" si="38"/>
        <v>73950.25</v>
      </c>
      <c r="BL70">
        <f t="shared" si="39"/>
        <v>73710.25</v>
      </c>
      <c r="BM70">
        <f t="shared" si="40"/>
        <v>73840.25</v>
      </c>
      <c r="BN70">
        <f t="shared" si="41"/>
        <v>73820.25</v>
      </c>
      <c r="BO70">
        <f t="shared" si="42"/>
        <v>74010.25</v>
      </c>
      <c r="BP70" s="38">
        <f t="shared" si="43"/>
        <v>73650.25</v>
      </c>
      <c r="BQ70" s="7">
        <f>BP70</f>
        <v>73650.25</v>
      </c>
      <c r="BS70" s="30">
        <f t="shared" si="55"/>
        <v>72390</v>
      </c>
      <c r="BT70" s="4">
        <f t="shared" si="56"/>
        <v>73650.25</v>
      </c>
      <c r="BU70" s="37">
        <f t="shared" si="10"/>
        <v>-1260.25</v>
      </c>
      <c r="BV70">
        <f t="shared" si="11"/>
        <v>1260.25</v>
      </c>
      <c r="BW70" s="35">
        <f t="shared" si="12"/>
        <v>1.7409172537643319E-2</v>
      </c>
    </row>
    <row r="71" spans="1:75">
      <c r="A71" s="1" t="s">
        <v>72</v>
      </c>
      <c r="B71" s="1">
        <v>70490</v>
      </c>
      <c r="Q71">
        <v>68</v>
      </c>
      <c r="R71" s="27" t="str">
        <f t="shared" si="50"/>
        <v>07/11/2023</v>
      </c>
      <c r="S71" s="27">
        <f t="shared" si="50"/>
        <v>71330</v>
      </c>
      <c r="T71" s="4" t="str">
        <f t="shared" si="51"/>
        <v>A6</v>
      </c>
      <c r="V71">
        <v>68</v>
      </c>
      <c r="W71" s="28" t="str">
        <f t="shared" si="49"/>
        <v>07/11/2023</v>
      </c>
      <c r="X71" s="28">
        <f t="shared" si="49"/>
        <v>71330</v>
      </c>
      <c r="Y71" s="28" t="str">
        <f t="shared" si="49"/>
        <v>A6</v>
      </c>
      <c r="Z71" s="5" t="str">
        <f t="shared" si="13"/>
        <v>A6</v>
      </c>
      <c r="AA71" s="5" t="str">
        <f t="shared" si="14"/>
        <v>A6</v>
      </c>
      <c r="AG71" s="29" t="str">
        <f t="shared" si="52"/>
        <v>07/11/2023</v>
      </c>
      <c r="AH71" s="30">
        <f t="shared" si="52"/>
        <v>71330</v>
      </c>
      <c r="AI71" s="4" t="str">
        <f t="shared" si="53"/>
        <v>A6</v>
      </c>
      <c r="AJ71" s="5" t="str">
        <f t="shared" si="15"/>
        <v>A6</v>
      </c>
      <c r="AK71">
        <f t="shared" si="16"/>
        <v>73860.5</v>
      </c>
      <c r="AL71" t="str">
        <f t="shared" si="17"/>
        <v>A6</v>
      </c>
      <c r="AM71">
        <f t="shared" si="18"/>
        <v>73860.5</v>
      </c>
      <c r="AN71" s="6">
        <f t="shared" si="19"/>
        <v>690</v>
      </c>
      <c r="AO71">
        <f t="shared" si="20"/>
        <v>72735</v>
      </c>
      <c r="AP71">
        <f t="shared" si="44"/>
        <v>72045</v>
      </c>
      <c r="AQ71" s="33">
        <f t="shared" si="22"/>
        <v>73080</v>
      </c>
      <c r="AR71" s="33">
        <f t="shared" si="23"/>
        <v>71700</v>
      </c>
      <c r="AS71">
        <f t="shared" si="24"/>
        <v>72562.5</v>
      </c>
      <c r="AT71" s="5">
        <f t="shared" si="25"/>
        <v>72217.5</v>
      </c>
      <c r="AU71" s="5">
        <f t="shared" si="26"/>
        <v>73770</v>
      </c>
      <c r="AV71" s="5">
        <f t="shared" si="27"/>
        <v>71010</v>
      </c>
      <c r="AW71" s="5">
        <f t="shared" si="28"/>
        <v>72505</v>
      </c>
      <c r="AX71" s="5">
        <f t="shared" si="29"/>
        <v>72275</v>
      </c>
      <c r="AY71" s="5">
        <f t="shared" si="30"/>
        <v>74460</v>
      </c>
      <c r="AZ71" s="5">
        <f t="shared" si="31"/>
        <v>70320</v>
      </c>
      <c r="BB71" s="32" t="str">
        <f t="shared" si="54"/>
        <v>07/11/2023</v>
      </c>
      <c r="BC71" s="33">
        <f t="shared" si="54"/>
        <v>71330</v>
      </c>
      <c r="BD71" s="4" t="str">
        <f t="shared" si="54"/>
        <v>A6</v>
      </c>
      <c r="BE71">
        <f t="shared" si="32"/>
        <v>73297.75</v>
      </c>
      <c r="BF71">
        <f t="shared" si="33"/>
        <v>72952.75</v>
      </c>
      <c r="BG71">
        <f t="shared" si="34"/>
        <v>73470.25</v>
      </c>
      <c r="BH71">
        <f t="shared" si="35"/>
        <v>72780.25</v>
      </c>
      <c r="BI71">
        <f t="shared" si="36"/>
        <v>73211.5</v>
      </c>
      <c r="BJ71">
        <f t="shared" si="37"/>
        <v>73039</v>
      </c>
      <c r="BK71">
        <f t="shared" si="38"/>
        <v>73815.25</v>
      </c>
      <c r="BL71" s="40">
        <f t="shared" si="39"/>
        <v>72435.25</v>
      </c>
      <c r="BM71">
        <f t="shared" si="40"/>
        <v>73182.75</v>
      </c>
      <c r="BN71">
        <f t="shared" si="41"/>
        <v>73067.75</v>
      </c>
      <c r="BO71">
        <f t="shared" si="42"/>
        <v>74160.25</v>
      </c>
      <c r="BP71" s="38">
        <f t="shared" si="43"/>
        <v>72090.25</v>
      </c>
      <c r="BQ71" s="7">
        <f>BP71</f>
        <v>72090.25</v>
      </c>
      <c r="BS71" s="30">
        <f t="shared" si="55"/>
        <v>71330</v>
      </c>
      <c r="BT71" s="4">
        <f t="shared" si="56"/>
        <v>72090.25</v>
      </c>
      <c r="BU71" s="37">
        <f t="shared" ref="BU71:BU134" si="57">BS71-BT71</f>
        <v>-760.25</v>
      </c>
      <c r="BV71">
        <f t="shared" ref="BV71:BV134" si="58">ABS(BU71)</f>
        <v>760.25</v>
      </c>
      <c r="BW71" s="35">
        <f t="shared" ref="BW71:BW134" si="59">BV71/BS71</f>
        <v>1.0658208327491939E-2</v>
      </c>
    </row>
    <row r="72" spans="1:75">
      <c r="A72" s="1" t="s">
        <v>73</v>
      </c>
      <c r="B72" s="1">
        <v>70880</v>
      </c>
      <c r="Q72">
        <v>69</v>
      </c>
      <c r="R72" s="27" t="str">
        <f t="shared" si="50"/>
        <v>08/11/2023</v>
      </c>
      <c r="S72" s="27">
        <f t="shared" si="50"/>
        <v>70210</v>
      </c>
      <c r="T72" s="4" t="str">
        <f t="shared" si="51"/>
        <v>A5</v>
      </c>
      <c r="V72">
        <v>69</v>
      </c>
      <c r="W72" s="28" t="str">
        <f t="shared" si="49"/>
        <v>08/11/2023</v>
      </c>
      <c r="X72" s="28">
        <f t="shared" si="49"/>
        <v>70210</v>
      </c>
      <c r="Y72" s="28" t="str">
        <f t="shared" si="49"/>
        <v>A5</v>
      </c>
      <c r="Z72" s="5" t="str">
        <f t="shared" ref="Z72:Z135" si="60">Y70</f>
        <v>A6</v>
      </c>
      <c r="AA72" s="5" t="str">
        <f t="shared" ref="AA72:AA135" si="61">Y71</f>
        <v>A6</v>
      </c>
      <c r="AG72" s="29" t="str">
        <f t="shared" si="52"/>
        <v>08/11/2023</v>
      </c>
      <c r="AH72" s="30">
        <f t="shared" si="52"/>
        <v>70210</v>
      </c>
      <c r="AI72" s="4" t="str">
        <f t="shared" si="53"/>
        <v>A5</v>
      </c>
      <c r="AJ72" s="5" t="str">
        <f t="shared" ref="AJ72:AJ135" si="62">AI70</f>
        <v>A6</v>
      </c>
      <c r="AK72">
        <f t="shared" ref="AK72:AK135" si="63">VLOOKUP(AJ72,$AC$18:$AD$27,2,FALSE)</f>
        <v>73860.5</v>
      </c>
      <c r="AL72" t="str">
        <f t="shared" ref="AL72:AL135" si="64">AI71</f>
        <v>A6</v>
      </c>
      <c r="AM72">
        <f t="shared" ref="AM72:AM135" si="65">VLOOKUP(AL72,$AC$18:$AD$27,2,FALSE)</f>
        <v>73860.5</v>
      </c>
      <c r="AN72" s="6">
        <f t="shared" ref="AN72:AN135" si="66">ABS(ABS(AH71-AH70)-ABS(AH70-AH69))</f>
        <v>350</v>
      </c>
      <c r="AO72">
        <f t="shared" ref="AO72:AO135" si="67">AH71+AN72/2</f>
        <v>71505</v>
      </c>
      <c r="AP72">
        <f t="shared" si="44"/>
        <v>71155</v>
      </c>
      <c r="AQ72" s="33">
        <f t="shared" ref="AQ72:AQ135" si="68">AH71+AN72</f>
        <v>71680</v>
      </c>
      <c r="AR72" s="33">
        <f t="shared" ref="AR72:AR135" si="69">AH71-AN72</f>
        <v>70980</v>
      </c>
      <c r="AS72">
        <f t="shared" ref="AS72:AS135" si="70">AH71+AN72/4</f>
        <v>71417.5</v>
      </c>
      <c r="AT72" s="5">
        <f t="shared" ref="AT72:AT135" si="71">AH71-AN72/4</f>
        <v>71242.5</v>
      </c>
      <c r="AU72" s="5">
        <f t="shared" ref="AU72:AU135" si="72">AH71+2*AN72</f>
        <v>72030</v>
      </c>
      <c r="AV72" s="5">
        <f t="shared" ref="AV72:AV135" si="73">AH71-2*AN72</f>
        <v>70630</v>
      </c>
      <c r="AW72" s="5">
        <f t="shared" ref="AW72:AW135" si="74">AH71+AN72/6</f>
        <v>71388.333333333328</v>
      </c>
      <c r="AX72" s="5">
        <f t="shared" ref="AX72:AX135" si="75">AH71-AN72/6</f>
        <v>71271.666666666672</v>
      </c>
      <c r="AY72" s="5">
        <f t="shared" ref="AY72:AY135" si="76">AH71+3*AN72</f>
        <v>72380</v>
      </c>
      <c r="AZ72" s="5">
        <f t="shared" ref="AZ72:AZ135" si="77">AH71-3*AN72</f>
        <v>70280</v>
      </c>
      <c r="BB72" s="32" t="str">
        <f t="shared" si="54"/>
        <v>08/11/2023</v>
      </c>
      <c r="BC72" s="33">
        <f t="shared" si="54"/>
        <v>70210</v>
      </c>
      <c r="BD72" s="4" t="str">
        <f t="shared" si="54"/>
        <v>A5</v>
      </c>
      <c r="BE72">
        <f t="shared" ref="BE72:BE135" si="78">(AO72+AM72)/(1+1)</f>
        <v>72682.75</v>
      </c>
      <c r="BF72">
        <f t="shared" ref="BF72:BF135" si="79">(AP72+AM72)/(1+1)</f>
        <v>72507.75</v>
      </c>
      <c r="BG72">
        <f t="shared" ref="BG72:BG135" si="80">(AQ72+AM72)/(1+1)</f>
        <v>72770.25</v>
      </c>
      <c r="BH72">
        <f t="shared" ref="BH72:BH135" si="81">(AR72+AM72)/(1+1)</f>
        <v>72420.25</v>
      </c>
      <c r="BI72">
        <f t="shared" ref="BI72:BI135" si="82">(AS72+AM72)/(1+1)</f>
        <v>72639</v>
      </c>
      <c r="BJ72">
        <f t="shared" ref="BJ72:BJ135" si="83">(AT72+AM72)/(1+1)</f>
        <v>72551.5</v>
      </c>
      <c r="BK72">
        <f t="shared" ref="BK72:BK135" si="84">(AU72+AM72)/(1+1)</f>
        <v>72945.25</v>
      </c>
      <c r="BL72" s="40">
        <f t="shared" ref="BL72:BL135" si="85">(AV72+AM72)/(1+1)</f>
        <v>72245.25</v>
      </c>
      <c r="BM72">
        <f t="shared" ref="BM72:BM135" si="86">(AW72+AM72)/(1+1)</f>
        <v>72624.416666666657</v>
      </c>
      <c r="BN72">
        <f t="shared" ref="BN72:BN135" si="87">(AX72+AM72)/(1+1)</f>
        <v>72566.083333333343</v>
      </c>
      <c r="BO72">
        <f t="shared" ref="BO72:BO135" si="88">(AY72+AM72)/(1+1)</f>
        <v>73120.25</v>
      </c>
      <c r="BP72" s="38">
        <f t="shared" ref="BP72:BP135" si="89">(AZ72+AM72)/(1+1)</f>
        <v>72070.25</v>
      </c>
      <c r="BQ72" s="7">
        <f>BP72</f>
        <v>72070.25</v>
      </c>
      <c r="BS72" s="30">
        <f t="shared" si="55"/>
        <v>70210</v>
      </c>
      <c r="BT72" s="4">
        <f t="shared" si="56"/>
        <v>72070.25</v>
      </c>
      <c r="BU72" s="37">
        <f t="shared" si="57"/>
        <v>-1860.25</v>
      </c>
      <c r="BV72">
        <f t="shared" si="58"/>
        <v>1860.25</v>
      </c>
      <c r="BW72" s="35">
        <f t="shared" si="59"/>
        <v>2.6495513459621138E-2</v>
      </c>
    </row>
    <row r="73" spans="1:75">
      <c r="A73" s="1" t="s">
        <v>74</v>
      </c>
      <c r="B73" s="1">
        <v>70660</v>
      </c>
      <c r="Q73">
        <v>70</v>
      </c>
      <c r="R73" s="27" t="str">
        <f t="shared" si="50"/>
        <v>09/11/2023</v>
      </c>
      <c r="S73" s="27">
        <f t="shared" si="50"/>
        <v>70490</v>
      </c>
      <c r="T73" s="4" t="str">
        <f t="shared" si="51"/>
        <v>A5</v>
      </c>
      <c r="V73">
        <v>70</v>
      </c>
      <c r="W73" s="28" t="str">
        <f t="shared" si="49"/>
        <v>09/11/2023</v>
      </c>
      <c r="X73" s="28">
        <f t="shared" si="49"/>
        <v>70490</v>
      </c>
      <c r="Y73" s="28" t="str">
        <f t="shared" si="49"/>
        <v>A5</v>
      </c>
      <c r="Z73" s="5" t="str">
        <f t="shared" si="60"/>
        <v>A6</v>
      </c>
      <c r="AA73" s="5" t="str">
        <f t="shared" si="61"/>
        <v>A5</v>
      </c>
      <c r="AG73" s="29" t="str">
        <f t="shared" si="52"/>
        <v>09/11/2023</v>
      </c>
      <c r="AH73" s="30">
        <f t="shared" si="52"/>
        <v>70490</v>
      </c>
      <c r="AI73" s="4" t="str">
        <f t="shared" si="53"/>
        <v>A5</v>
      </c>
      <c r="AJ73" s="5" t="str">
        <f t="shared" si="62"/>
        <v>A6</v>
      </c>
      <c r="AK73">
        <f t="shared" si="63"/>
        <v>73860.5</v>
      </c>
      <c r="AL73" t="str">
        <f t="shared" si="64"/>
        <v>A5</v>
      </c>
      <c r="AM73">
        <f t="shared" si="65"/>
        <v>67829.5</v>
      </c>
      <c r="AN73" s="6">
        <f t="shared" si="66"/>
        <v>60</v>
      </c>
      <c r="AO73">
        <f t="shared" si="67"/>
        <v>70240</v>
      </c>
      <c r="AP73">
        <f t="shared" si="44"/>
        <v>70180</v>
      </c>
      <c r="AQ73" s="33">
        <f t="shared" si="68"/>
        <v>70270</v>
      </c>
      <c r="AR73" s="33">
        <f t="shared" si="69"/>
        <v>70150</v>
      </c>
      <c r="AS73">
        <f t="shared" si="70"/>
        <v>70225</v>
      </c>
      <c r="AT73" s="5">
        <f t="shared" si="71"/>
        <v>70195</v>
      </c>
      <c r="AU73" s="5">
        <f t="shared" si="72"/>
        <v>70330</v>
      </c>
      <c r="AV73" s="5">
        <f t="shared" si="73"/>
        <v>70090</v>
      </c>
      <c r="AW73" s="5">
        <f t="shared" si="74"/>
        <v>70220</v>
      </c>
      <c r="AX73" s="5">
        <f t="shared" si="75"/>
        <v>70200</v>
      </c>
      <c r="AY73" s="5">
        <f t="shared" si="76"/>
        <v>70390</v>
      </c>
      <c r="AZ73" s="5">
        <f t="shared" si="77"/>
        <v>70030</v>
      </c>
      <c r="BB73" s="32" t="str">
        <f t="shared" si="54"/>
        <v>09/11/2023</v>
      </c>
      <c r="BC73" s="33">
        <f t="shared" si="54"/>
        <v>70490</v>
      </c>
      <c r="BD73" s="4" t="str">
        <f t="shared" si="54"/>
        <v>A5</v>
      </c>
      <c r="BE73">
        <f t="shared" si="78"/>
        <v>69034.75</v>
      </c>
      <c r="BF73">
        <f t="shared" si="79"/>
        <v>69004.75</v>
      </c>
      <c r="BG73">
        <f t="shared" si="80"/>
        <v>69049.75</v>
      </c>
      <c r="BH73">
        <f t="shared" si="81"/>
        <v>68989.75</v>
      </c>
      <c r="BI73">
        <f t="shared" si="82"/>
        <v>69027.25</v>
      </c>
      <c r="BJ73">
        <f t="shared" si="83"/>
        <v>69012.25</v>
      </c>
      <c r="BK73">
        <f t="shared" si="84"/>
        <v>69079.75</v>
      </c>
      <c r="BL73">
        <f t="shared" si="85"/>
        <v>68959.75</v>
      </c>
      <c r="BM73">
        <f t="shared" si="86"/>
        <v>69024.75</v>
      </c>
      <c r="BN73">
        <f t="shared" si="87"/>
        <v>69014.75</v>
      </c>
      <c r="BO73" s="38">
        <f t="shared" si="88"/>
        <v>69109.75</v>
      </c>
      <c r="BP73">
        <f t="shared" si="89"/>
        <v>68929.75</v>
      </c>
      <c r="BQ73" s="7">
        <f>BO73</f>
        <v>69109.75</v>
      </c>
      <c r="BS73" s="30">
        <f t="shared" si="55"/>
        <v>70490</v>
      </c>
      <c r="BT73" s="4">
        <f t="shared" si="56"/>
        <v>69109.75</v>
      </c>
      <c r="BU73" s="37">
        <f t="shared" si="57"/>
        <v>1380.25</v>
      </c>
      <c r="BV73">
        <f t="shared" si="58"/>
        <v>1380.25</v>
      </c>
      <c r="BW73" s="35">
        <f t="shared" si="59"/>
        <v>1.9580791601645622E-2</v>
      </c>
    </row>
    <row r="74" spans="1:75">
      <c r="A74" s="1" t="s">
        <v>75</v>
      </c>
      <c r="B74" s="1">
        <v>71720</v>
      </c>
      <c r="Q74">
        <v>71</v>
      </c>
      <c r="R74" s="27" t="str">
        <f t="shared" si="50"/>
        <v>10/11/2023</v>
      </c>
      <c r="S74" s="27">
        <f t="shared" si="50"/>
        <v>70880</v>
      </c>
      <c r="T74" s="4" t="str">
        <f t="shared" si="51"/>
        <v>A6</v>
      </c>
      <c r="V74">
        <v>71</v>
      </c>
      <c r="W74" s="28" t="str">
        <f t="shared" si="49"/>
        <v>10/11/2023</v>
      </c>
      <c r="X74" s="28">
        <f t="shared" si="49"/>
        <v>70880</v>
      </c>
      <c r="Y74" s="28" t="str">
        <f t="shared" si="49"/>
        <v>A6</v>
      </c>
      <c r="Z74" s="5" t="str">
        <f t="shared" si="60"/>
        <v>A5</v>
      </c>
      <c r="AA74" s="5" t="str">
        <f t="shared" si="61"/>
        <v>A5</v>
      </c>
      <c r="AG74" s="29" t="str">
        <f t="shared" si="52"/>
        <v>10/11/2023</v>
      </c>
      <c r="AH74" s="30">
        <f t="shared" si="52"/>
        <v>70880</v>
      </c>
      <c r="AI74" s="4" t="str">
        <f t="shared" si="53"/>
        <v>A6</v>
      </c>
      <c r="AJ74" s="5" t="str">
        <f t="shared" si="62"/>
        <v>A5</v>
      </c>
      <c r="AK74">
        <f t="shared" si="63"/>
        <v>67829.5</v>
      </c>
      <c r="AL74" t="str">
        <f t="shared" si="64"/>
        <v>A5</v>
      </c>
      <c r="AM74">
        <f t="shared" si="65"/>
        <v>67829.5</v>
      </c>
      <c r="AN74" s="6">
        <f t="shared" si="66"/>
        <v>840</v>
      </c>
      <c r="AO74">
        <f t="shared" si="67"/>
        <v>70910</v>
      </c>
      <c r="AP74">
        <f t="shared" si="44"/>
        <v>70070</v>
      </c>
      <c r="AQ74" s="33">
        <f t="shared" si="68"/>
        <v>71330</v>
      </c>
      <c r="AR74" s="33">
        <f t="shared" si="69"/>
        <v>69650</v>
      </c>
      <c r="AS74">
        <f t="shared" si="70"/>
        <v>70700</v>
      </c>
      <c r="AT74" s="5">
        <f t="shared" si="71"/>
        <v>70280</v>
      </c>
      <c r="AU74" s="5">
        <f t="shared" si="72"/>
        <v>72170</v>
      </c>
      <c r="AV74" s="5">
        <f t="shared" si="73"/>
        <v>68810</v>
      </c>
      <c r="AW74" s="5">
        <f t="shared" si="74"/>
        <v>70630</v>
      </c>
      <c r="AX74" s="5">
        <f t="shared" si="75"/>
        <v>70350</v>
      </c>
      <c r="AY74" s="5">
        <f t="shared" si="76"/>
        <v>73010</v>
      </c>
      <c r="AZ74" s="5">
        <f t="shared" si="77"/>
        <v>67970</v>
      </c>
      <c r="BB74" s="32" t="str">
        <f t="shared" si="54"/>
        <v>10/11/2023</v>
      </c>
      <c r="BC74" s="33">
        <f t="shared" si="54"/>
        <v>70880</v>
      </c>
      <c r="BD74" s="4" t="str">
        <f t="shared" si="54"/>
        <v>A6</v>
      </c>
      <c r="BE74">
        <f t="shared" si="78"/>
        <v>69369.75</v>
      </c>
      <c r="BF74">
        <f t="shared" si="79"/>
        <v>68949.75</v>
      </c>
      <c r="BG74">
        <f t="shared" si="80"/>
        <v>69579.75</v>
      </c>
      <c r="BH74">
        <f t="shared" si="81"/>
        <v>68739.75</v>
      </c>
      <c r="BI74" s="40">
        <f t="shared" si="82"/>
        <v>69264.75</v>
      </c>
      <c r="BJ74">
        <f t="shared" si="83"/>
        <v>69054.75</v>
      </c>
      <c r="BK74">
        <f t="shared" si="84"/>
        <v>69999.75</v>
      </c>
      <c r="BL74">
        <f t="shared" si="85"/>
        <v>68319.75</v>
      </c>
      <c r="BM74">
        <f t="shared" si="86"/>
        <v>69229.75</v>
      </c>
      <c r="BN74">
        <f t="shared" si="87"/>
        <v>69089.75</v>
      </c>
      <c r="BO74" s="38">
        <f t="shared" si="88"/>
        <v>70419.75</v>
      </c>
      <c r="BP74">
        <f t="shared" si="89"/>
        <v>67899.75</v>
      </c>
      <c r="BQ74" s="7">
        <f>BO74</f>
        <v>70419.75</v>
      </c>
      <c r="BS74" s="30">
        <f t="shared" si="55"/>
        <v>70880</v>
      </c>
      <c r="BT74" s="4">
        <f t="shared" si="56"/>
        <v>70419.75</v>
      </c>
      <c r="BU74" s="37">
        <f t="shared" si="57"/>
        <v>460.25</v>
      </c>
      <c r="BV74">
        <f t="shared" si="58"/>
        <v>460.25</v>
      </c>
      <c r="BW74" s="35">
        <f t="shared" si="59"/>
        <v>6.4933690744920997E-3</v>
      </c>
    </row>
    <row r="75" spans="1:75">
      <c r="A75" s="1" t="s">
        <v>76</v>
      </c>
      <c r="B75" s="1">
        <v>68920</v>
      </c>
      <c r="Q75">
        <v>72</v>
      </c>
      <c r="R75" s="27" t="str">
        <f t="shared" si="50"/>
        <v>11/11/2023</v>
      </c>
      <c r="S75" s="27">
        <f t="shared" si="50"/>
        <v>70660</v>
      </c>
      <c r="T75" s="4" t="str">
        <f t="shared" si="51"/>
        <v>A5</v>
      </c>
      <c r="V75">
        <v>72</v>
      </c>
      <c r="W75" s="28" t="str">
        <f t="shared" si="49"/>
        <v>11/11/2023</v>
      </c>
      <c r="X75" s="28">
        <f t="shared" si="49"/>
        <v>70660</v>
      </c>
      <c r="Y75" s="28" t="str">
        <f t="shared" si="49"/>
        <v>A5</v>
      </c>
      <c r="Z75" s="5" t="str">
        <f t="shared" si="60"/>
        <v>A5</v>
      </c>
      <c r="AA75" s="5" t="str">
        <f t="shared" si="61"/>
        <v>A6</v>
      </c>
      <c r="AG75" s="29" t="str">
        <f t="shared" si="52"/>
        <v>11/11/2023</v>
      </c>
      <c r="AH75" s="30">
        <f t="shared" si="52"/>
        <v>70660</v>
      </c>
      <c r="AI75" s="4" t="str">
        <f t="shared" si="53"/>
        <v>A5</v>
      </c>
      <c r="AJ75" s="5" t="str">
        <f t="shared" si="62"/>
        <v>A5</v>
      </c>
      <c r="AK75">
        <f t="shared" si="63"/>
        <v>67829.5</v>
      </c>
      <c r="AL75" t="str">
        <f t="shared" si="64"/>
        <v>A6</v>
      </c>
      <c r="AM75">
        <f t="shared" si="65"/>
        <v>73860.5</v>
      </c>
      <c r="AN75" s="6">
        <f t="shared" si="66"/>
        <v>110</v>
      </c>
      <c r="AO75">
        <f t="shared" si="67"/>
        <v>70935</v>
      </c>
      <c r="AP75">
        <f t="shared" si="44"/>
        <v>70825</v>
      </c>
      <c r="AQ75" s="33">
        <f t="shared" si="68"/>
        <v>70990</v>
      </c>
      <c r="AR75" s="33">
        <f t="shared" si="69"/>
        <v>70770</v>
      </c>
      <c r="AS75">
        <f t="shared" si="70"/>
        <v>70907.5</v>
      </c>
      <c r="AT75" s="5">
        <f t="shared" si="71"/>
        <v>70852.5</v>
      </c>
      <c r="AU75" s="5">
        <f t="shared" si="72"/>
        <v>71100</v>
      </c>
      <c r="AV75" s="5">
        <f t="shared" si="73"/>
        <v>70660</v>
      </c>
      <c r="AW75" s="5">
        <f t="shared" si="74"/>
        <v>70898.333333333328</v>
      </c>
      <c r="AX75" s="5">
        <f t="shared" si="75"/>
        <v>70861.666666666672</v>
      </c>
      <c r="AY75" s="5">
        <f t="shared" si="76"/>
        <v>71210</v>
      </c>
      <c r="AZ75" s="5">
        <f t="shared" si="77"/>
        <v>70550</v>
      </c>
      <c r="BB75" s="32" t="str">
        <f t="shared" si="54"/>
        <v>11/11/2023</v>
      </c>
      <c r="BC75" s="33">
        <f t="shared" si="54"/>
        <v>70660</v>
      </c>
      <c r="BD75" s="4" t="str">
        <f t="shared" si="54"/>
        <v>A5</v>
      </c>
      <c r="BE75">
        <f t="shared" si="78"/>
        <v>72397.75</v>
      </c>
      <c r="BF75">
        <f t="shared" si="79"/>
        <v>72342.75</v>
      </c>
      <c r="BG75">
        <f t="shared" si="80"/>
        <v>72425.25</v>
      </c>
      <c r="BH75">
        <f t="shared" si="81"/>
        <v>72315.25</v>
      </c>
      <c r="BI75">
        <f t="shared" si="82"/>
        <v>72384</v>
      </c>
      <c r="BJ75" s="40">
        <f t="shared" si="83"/>
        <v>72356.5</v>
      </c>
      <c r="BK75">
        <f t="shared" si="84"/>
        <v>72480.25</v>
      </c>
      <c r="BL75">
        <f t="shared" si="85"/>
        <v>72260.25</v>
      </c>
      <c r="BM75">
        <f t="shared" si="86"/>
        <v>72379.416666666657</v>
      </c>
      <c r="BN75">
        <f t="shared" si="87"/>
        <v>72361.083333333343</v>
      </c>
      <c r="BO75">
        <f t="shared" si="88"/>
        <v>72535.25</v>
      </c>
      <c r="BP75" s="38">
        <f t="shared" si="89"/>
        <v>72205.25</v>
      </c>
      <c r="BQ75" s="7">
        <f>BP75</f>
        <v>72205.25</v>
      </c>
      <c r="BS75" s="30">
        <f t="shared" si="55"/>
        <v>70660</v>
      </c>
      <c r="BT75" s="4">
        <f t="shared" si="56"/>
        <v>72205.25</v>
      </c>
      <c r="BU75" s="37">
        <f t="shared" si="57"/>
        <v>-1545.25</v>
      </c>
      <c r="BV75">
        <f t="shared" si="58"/>
        <v>1545.25</v>
      </c>
      <c r="BW75" s="35">
        <f t="shared" si="59"/>
        <v>2.186880837814888E-2</v>
      </c>
    </row>
    <row r="76" spans="1:75">
      <c r="A76" s="1" t="s">
        <v>77</v>
      </c>
      <c r="B76" s="1">
        <v>67070</v>
      </c>
      <c r="Q76">
        <v>73</v>
      </c>
      <c r="R76" s="27" t="str">
        <f t="shared" si="50"/>
        <v>12/11/2023</v>
      </c>
      <c r="S76" s="27">
        <f t="shared" si="50"/>
        <v>71720</v>
      </c>
      <c r="T76" s="4" t="str">
        <f t="shared" si="51"/>
        <v>A6</v>
      </c>
      <c r="V76">
        <v>73</v>
      </c>
      <c r="W76" s="28" t="str">
        <f t="shared" si="49"/>
        <v>12/11/2023</v>
      </c>
      <c r="X76" s="28">
        <f t="shared" si="49"/>
        <v>71720</v>
      </c>
      <c r="Y76" s="28" t="str">
        <f t="shared" si="49"/>
        <v>A6</v>
      </c>
      <c r="Z76" s="5" t="str">
        <f t="shared" si="60"/>
        <v>A6</v>
      </c>
      <c r="AA76" s="5" t="str">
        <f t="shared" si="61"/>
        <v>A5</v>
      </c>
      <c r="AG76" s="29" t="str">
        <f t="shared" si="52"/>
        <v>12/11/2023</v>
      </c>
      <c r="AH76" s="30">
        <f t="shared" si="52"/>
        <v>71720</v>
      </c>
      <c r="AI76" s="4" t="str">
        <f t="shared" si="53"/>
        <v>A6</v>
      </c>
      <c r="AJ76" s="5" t="str">
        <f t="shared" si="62"/>
        <v>A6</v>
      </c>
      <c r="AK76">
        <f t="shared" si="63"/>
        <v>73860.5</v>
      </c>
      <c r="AL76" t="str">
        <f t="shared" si="64"/>
        <v>A5</v>
      </c>
      <c r="AM76">
        <f t="shared" si="65"/>
        <v>67829.5</v>
      </c>
      <c r="AN76" s="6">
        <f t="shared" si="66"/>
        <v>170</v>
      </c>
      <c r="AO76">
        <f t="shared" si="67"/>
        <v>70745</v>
      </c>
      <c r="AP76">
        <f t="shared" ref="AP76:AP139" si="90">AH75-AN76/2</f>
        <v>70575</v>
      </c>
      <c r="AQ76" s="33">
        <f t="shared" si="68"/>
        <v>70830</v>
      </c>
      <c r="AR76" s="33">
        <f t="shared" si="69"/>
        <v>70490</v>
      </c>
      <c r="AS76">
        <f t="shared" si="70"/>
        <v>70702.5</v>
      </c>
      <c r="AT76" s="5">
        <f t="shared" si="71"/>
        <v>70617.5</v>
      </c>
      <c r="AU76" s="5">
        <f t="shared" si="72"/>
        <v>71000</v>
      </c>
      <c r="AV76" s="5">
        <f t="shared" si="73"/>
        <v>70320</v>
      </c>
      <c r="AW76" s="5">
        <f t="shared" si="74"/>
        <v>70688.333333333328</v>
      </c>
      <c r="AX76" s="5">
        <f t="shared" si="75"/>
        <v>70631.666666666672</v>
      </c>
      <c r="AY76" s="5">
        <f t="shared" si="76"/>
        <v>71170</v>
      </c>
      <c r="AZ76" s="5">
        <f t="shared" si="77"/>
        <v>70150</v>
      </c>
      <c r="BB76" s="32" t="str">
        <f t="shared" si="54"/>
        <v>12/11/2023</v>
      </c>
      <c r="BC76" s="33">
        <f t="shared" si="54"/>
        <v>71720</v>
      </c>
      <c r="BD76" s="4" t="str">
        <f t="shared" si="54"/>
        <v>A6</v>
      </c>
      <c r="BE76">
        <f t="shared" si="78"/>
        <v>69287.25</v>
      </c>
      <c r="BF76">
        <f t="shared" si="79"/>
        <v>69202.25</v>
      </c>
      <c r="BG76">
        <f t="shared" si="80"/>
        <v>69329.75</v>
      </c>
      <c r="BH76">
        <f t="shared" si="81"/>
        <v>69159.75</v>
      </c>
      <c r="BI76">
        <f t="shared" si="82"/>
        <v>69266</v>
      </c>
      <c r="BJ76">
        <f t="shared" si="83"/>
        <v>69223.5</v>
      </c>
      <c r="BK76">
        <f t="shared" si="84"/>
        <v>69414.75</v>
      </c>
      <c r="BL76">
        <f t="shared" si="85"/>
        <v>69074.75</v>
      </c>
      <c r="BM76">
        <f t="shared" si="86"/>
        <v>69258.916666666657</v>
      </c>
      <c r="BN76">
        <f t="shared" si="87"/>
        <v>69230.583333333343</v>
      </c>
      <c r="BO76" s="38">
        <f t="shared" si="88"/>
        <v>69499.75</v>
      </c>
      <c r="BP76">
        <f t="shared" si="89"/>
        <v>68989.75</v>
      </c>
      <c r="BQ76" s="7">
        <f>BO76</f>
        <v>69499.75</v>
      </c>
      <c r="BS76" s="30">
        <f t="shared" si="55"/>
        <v>71720</v>
      </c>
      <c r="BT76" s="4">
        <f t="shared" si="56"/>
        <v>69499.75</v>
      </c>
      <c r="BU76" s="37">
        <f t="shared" si="57"/>
        <v>2220.25</v>
      </c>
      <c r="BV76">
        <f t="shared" si="58"/>
        <v>2220.25</v>
      </c>
      <c r="BW76" s="35">
        <f t="shared" si="59"/>
        <v>3.0957194645844954E-2</v>
      </c>
    </row>
    <row r="77" spans="1:75">
      <c r="A77" s="1" t="s">
        <v>78</v>
      </c>
      <c r="B77" s="1">
        <v>67490</v>
      </c>
      <c r="Q77">
        <v>74</v>
      </c>
      <c r="R77" s="27" t="str">
        <f t="shared" si="50"/>
        <v>13/11/2023</v>
      </c>
      <c r="S77" s="27">
        <f t="shared" si="50"/>
        <v>68920</v>
      </c>
      <c r="T77" s="4" t="str">
        <f t="shared" si="51"/>
        <v>A5</v>
      </c>
      <c r="V77">
        <v>74</v>
      </c>
      <c r="W77" s="28" t="str">
        <f t="shared" si="49"/>
        <v>13/11/2023</v>
      </c>
      <c r="X77" s="28">
        <f t="shared" si="49"/>
        <v>68920</v>
      </c>
      <c r="Y77" s="28" t="str">
        <f t="shared" si="49"/>
        <v>A5</v>
      </c>
      <c r="Z77" s="5" t="str">
        <f t="shared" si="60"/>
        <v>A5</v>
      </c>
      <c r="AA77" s="5" t="str">
        <f t="shared" si="61"/>
        <v>A6</v>
      </c>
      <c r="AG77" s="29" t="str">
        <f t="shared" si="52"/>
        <v>13/11/2023</v>
      </c>
      <c r="AH77" s="30">
        <f t="shared" si="52"/>
        <v>68920</v>
      </c>
      <c r="AI77" s="4" t="str">
        <f t="shared" si="53"/>
        <v>A5</v>
      </c>
      <c r="AJ77" s="5" t="str">
        <f t="shared" si="62"/>
        <v>A5</v>
      </c>
      <c r="AK77">
        <f t="shared" si="63"/>
        <v>67829.5</v>
      </c>
      <c r="AL77" t="str">
        <f t="shared" si="64"/>
        <v>A6</v>
      </c>
      <c r="AM77">
        <f t="shared" si="65"/>
        <v>73860.5</v>
      </c>
      <c r="AN77" s="6">
        <f t="shared" si="66"/>
        <v>840</v>
      </c>
      <c r="AO77">
        <f t="shared" si="67"/>
        <v>72140</v>
      </c>
      <c r="AP77">
        <f t="shared" si="90"/>
        <v>71300</v>
      </c>
      <c r="AQ77" s="33">
        <f t="shared" si="68"/>
        <v>72560</v>
      </c>
      <c r="AR77" s="33">
        <f t="shared" si="69"/>
        <v>70880</v>
      </c>
      <c r="AS77">
        <f t="shared" si="70"/>
        <v>71930</v>
      </c>
      <c r="AT77" s="5">
        <f t="shared" si="71"/>
        <v>71510</v>
      </c>
      <c r="AU77" s="5">
        <f t="shared" si="72"/>
        <v>73400</v>
      </c>
      <c r="AV77" s="5">
        <f t="shared" si="73"/>
        <v>70040</v>
      </c>
      <c r="AW77" s="5">
        <f t="shared" si="74"/>
        <v>71860</v>
      </c>
      <c r="AX77" s="5">
        <f t="shared" si="75"/>
        <v>71580</v>
      </c>
      <c r="AY77" s="5">
        <f t="shared" si="76"/>
        <v>74240</v>
      </c>
      <c r="AZ77" s="5">
        <f t="shared" si="77"/>
        <v>69200</v>
      </c>
      <c r="BB77" s="32" t="str">
        <f t="shared" si="54"/>
        <v>13/11/2023</v>
      </c>
      <c r="BC77" s="33">
        <f t="shared" si="54"/>
        <v>68920</v>
      </c>
      <c r="BD77" s="4" t="str">
        <f t="shared" si="54"/>
        <v>A5</v>
      </c>
      <c r="BE77">
        <f t="shared" si="78"/>
        <v>73000.25</v>
      </c>
      <c r="BF77">
        <f t="shared" si="79"/>
        <v>72580.25</v>
      </c>
      <c r="BG77">
        <f t="shared" si="80"/>
        <v>73210.25</v>
      </c>
      <c r="BH77">
        <f t="shared" si="81"/>
        <v>72370.25</v>
      </c>
      <c r="BI77">
        <f t="shared" si="82"/>
        <v>72895.25</v>
      </c>
      <c r="BJ77">
        <f t="shared" si="83"/>
        <v>72685.25</v>
      </c>
      <c r="BK77">
        <f t="shared" si="84"/>
        <v>73630.25</v>
      </c>
      <c r="BL77">
        <f t="shared" si="85"/>
        <v>71950.25</v>
      </c>
      <c r="BM77">
        <f t="shared" si="86"/>
        <v>72860.25</v>
      </c>
      <c r="BN77">
        <f t="shared" si="87"/>
        <v>72720.25</v>
      </c>
      <c r="BO77">
        <f t="shared" si="88"/>
        <v>74050.25</v>
      </c>
      <c r="BP77" s="38">
        <f t="shared" si="89"/>
        <v>71530.25</v>
      </c>
      <c r="BQ77" s="7">
        <f>BP77</f>
        <v>71530.25</v>
      </c>
      <c r="BS77" s="30">
        <f t="shared" si="55"/>
        <v>68920</v>
      </c>
      <c r="BT77" s="4">
        <f t="shared" si="56"/>
        <v>71530.25</v>
      </c>
      <c r="BU77" s="37">
        <f t="shared" si="57"/>
        <v>-2610.25</v>
      </c>
      <c r="BV77">
        <f t="shared" si="58"/>
        <v>2610.25</v>
      </c>
      <c r="BW77" s="35">
        <f t="shared" si="59"/>
        <v>3.7873621590249568E-2</v>
      </c>
    </row>
    <row r="78" spans="1:75">
      <c r="A78" s="1" t="s">
        <v>79</v>
      </c>
      <c r="B78" s="1">
        <v>67000</v>
      </c>
      <c r="Q78">
        <v>75</v>
      </c>
      <c r="R78" s="27" t="str">
        <f t="shared" si="50"/>
        <v>14/11/2023</v>
      </c>
      <c r="S78" s="27">
        <f t="shared" si="50"/>
        <v>67070</v>
      </c>
      <c r="T78" s="4" t="str">
        <f t="shared" si="51"/>
        <v>A5</v>
      </c>
      <c r="V78">
        <v>75</v>
      </c>
      <c r="W78" s="28" t="str">
        <f t="shared" si="49"/>
        <v>14/11/2023</v>
      </c>
      <c r="X78" s="28">
        <f t="shared" si="49"/>
        <v>67070</v>
      </c>
      <c r="Y78" s="28" t="str">
        <f t="shared" si="49"/>
        <v>A5</v>
      </c>
      <c r="Z78" s="5" t="str">
        <f t="shared" si="60"/>
        <v>A6</v>
      </c>
      <c r="AA78" s="5" t="str">
        <f t="shared" si="61"/>
        <v>A5</v>
      </c>
      <c r="AG78" s="29" t="str">
        <f t="shared" si="52"/>
        <v>14/11/2023</v>
      </c>
      <c r="AH78" s="30">
        <f t="shared" si="52"/>
        <v>67070</v>
      </c>
      <c r="AI78" s="4" t="str">
        <f t="shared" si="53"/>
        <v>A5</v>
      </c>
      <c r="AJ78" s="5" t="str">
        <f t="shared" si="62"/>
        <v>A6</v>
      </c>
      <c r="AK78">
        <f t="shared" si="63"/>
        <v>73860.5</v>
      </c>
      <c r="AL78" t="str">
        <f t="shared" si="64"/>
        <v>A5</v>
      </c>
      <c r="AM78">
        <f t="shared" si="65"/>
        <v>67829.5</v>
      </c>
      <c r="AN78" s="6">
        <f t="shared" si="66"/>
        <v>1740</v>
      </c>
      <c r="AO78">
        <f t="shared" si="67"/>
        <v>69790</v>
      </c>
      <c r="AP78">
        <f t="shared" si="90"/>
        <v>68050</v>
      </c>
      <c r="AQ78" s="33">
        <f t="shared" si="68"/>
        <v>70660</v>
      </c>
      <c r="AR78" s="33">
        <f t="shared" si="69"/>
        <v>67180</v>
      </c>
      <c r="AS78">
        <f t="shared" si="70"/>
        <v>69355</v>
      </c>
      <c r="AT78" s="5">
        <f t="shared" si="71"/>
        <v>68485</v>
      </c>
      <c r="AU78" s="5">
        <f t="shared" si="72"/>
        <v>72400</v>
      </c>
      <c r="AV78" s="5">
        <f t="shared" si="73"/>
        <v>65440</v>
      </c>
      <c r="AW78" s="5">
        <f t="shared" si="74"/>
        <v>69210</v>
      </c>
      <c r="AX78" s="5">
        <f t="shared" si="75"/>
        <v>68630</v>
      </c>
      <c r="AY78" s="5">
        <f t="shared" si="76"/>
        <v>74140</v>
      </c>
      <c r="AZ78" s="5">
        <f t="shared" si="77"/>
        <v>63700</v>
      </c>
      <c r="BB78" s="32" t="str">
        <f t="shared" si="54"/>
        <v>14/11/2023</v>
      </c>
      <c r="BC78" s="33">
        <f t="shared" si="54"/>
        <v>67070</v>
      </c>
      <c r="BD78" s="4" t="str">
        <f t="shared" si="54"/>
        <v>A5</v>
      </c>
      <c r="BE78">
        <f t="shared" si="78"/>
        <v>68809.75</v>
      </c>
      <c r="BF78">
        <f t="shared" si="79"/>
        <v>67939.75</v>
      </c>
      <c r="BG78">
        <f t="shared" si="80"/>
        <v>69244.75</v>
      </c>
      <c r="BH78" s="38">
        <f t="shared" si="81"/>
        <v>67504.75</v>
      </c>
      <c r="BI78">
        <f t="shared" si="82"/>
        <v>68592.25</v>
      </c>
      <c r="BJ78">
        <f t="shared" si="83"/>
        <v>68157.25</v>
      </c>
      <c r="BK78">
        <f t="shared" si="84"/>
        <v>70114.75</v>
      </c>
      <c r="BL78">
        <f t="shared" si="85"/>
        <v>66634.75</v>
      </c>
      <c r="BM78">
        <f t="shared" si="86"/>
        <v>68519.75</v>
      </c>
      <c r="BN78">
        <f t="shared" si="87"/>
        <v>68229.75</v>
      </c>
      <c r="BO78">
        <f t="shared" si="88"/>
        <v>70984.75</v>
      </c>
      <c r="BP78">
        <f t="shared" si="89"/>
        <v>65764.75</v>
      </c>
      <c r="BQ78" s="7">
        <f>BH78</f>
        <v>67504.75</v>
      </c>
      <c r="BS78" s="30">
        <f t="shared" si="55"/>
        <v>67070</v>
      </c>
      <c r="BT78" s="4">
        <f t="shared" si="56"/>
        <v>67504.75</v>
      </c>
      <c r="BU78" s="37">
        <f t="shared" si="57"/>
        <v>-434.75</v>
      </c>
      <c r="BV78">
        <f t="shared" si="58"/>
        <v>434.75</v>
      </c>
      <c r="BW78" s="35">
        <f t="shared" si="59"/>
        <v>6.482033696138363E-3</v>
      </c>
    </row>
    <row r="79" spans="1:75">
      <c r="A79" s="1" t="s">
        <v>80</v>
      </c>
      <c r="B79" s="1">
        <v>68140</v>
      </c>
      <c r="Q79">
        <v>76</v>
      </c>
      <c r="R79" s="27" t="str">
        <f t="shared" si="50"/>
        <v>15/11/2023</v>
      </c>
      <c r="S79" s="27">
        <f t="shared" si="50"/>
        <v>67490</v>
      </c>
      <c r="T79" s="4" t="str">
        <f t="shared" si="51"/>
        <v>A5</v>
      </c>
      <c r="V79">
        <v>76</v>
      </c>
      <c r="W79" s="28" t="str">
        <f t="shared" si="49"/>
        <v>15/11/2023</v>
      </c>
      <c r="X79" s="28">
        <f t="shared" si="49"/>
        <v>67490</v>
      </c>
      <c r="Y79" s="28" t="str">
        <f t="shared" si="49"/>
        <v>A5</v>
      </c>
      <c r="Z79" s="5" t="str">
        <f t="shared" si="60"/>
        <v>A5</v>
      </c>
      <c r="AA79" s="5" t="str">
        <f t="shared" si="61"/>
        <v>A5</v>
      </c>
      <c r="AG79" s="29" t="str">
        <f t="shared" si="52"/>
        <v>15/11/2023</v>
      </c>
      <c r="AH79" s="30">
        <f t="shared" si="52"/>
        <v>67490</v>
      </c>
      <c r="AI79" s="4" t="str">
        <f t="shared" si="53"/>
        <v>A5</v>
      </c>
      <c r="AJ79" s="5" t="str">
        <f t="shared" si="62"/>
        <v>A5</v>
      </c>
      <c r="AK79">
        <f t="shared" si="63"/>
        <v>67829.5</v>
      </c>
      <c r="AL79" t="str">
        <f t="shared" si="64"/>
        <v>A5</v>
      </c>
      <c r="AM79">
        <f t="shared" si="65"/>
        <v>67829.5</v>
      </c>
      <c r="AN79" s="6">
        <f t="shared" si="66"/>
        <v>950</v>
      </c>
      <c r="AO79">
        <f t="shared" si="67"/>
        <v>67545</v>
      </c>
      <c r="AP79">
        <f t="shared" si="90"/>
        <v>66595</v>
      </c>
      <c r="AQ79" s="33">
        <f t="shared" si="68"/>
        <v>68020</v>
      </c>
      <c r="AR79" s="33">
        <f t="shared" si="69"/>
        <v>66120</v>
      </c>
      <c r="AS79">
        <f t="shared" si="70"/>
        <v>67307.5</v>
      </c>
      <c r="AT79" s="5">
        <f t="shared" si="71"/>
        <v>66832.5</v>
      </c>
      <c r="AU79" s="5">
        <f t="shared" si="72"/>
        <v>68970</v>
      </c>
      <c r="AV79" s="5">
        <f t="shared" si="73"/>
        <v>65170</v>
      </c>
      <c r="AW79" s="5">
        <f t="shared" si="74"/>
        <v>67228.333333333328</v>
      </c>
      <c r="AX79" s="5">
        <f t="shared" si="75"/>
        <v>66911.666666666672</v>
      </c>
      <c r="AY79" s="5">
        <f t="shared" si="76"/>
        <v>69920</v>
      </c>
      <c r="AZ79" s="5">
        <f t="shared" si="77"/>
        <v>64220</v>
      </c>
      <c r="BB79" s="32" t="str">
        <f t="shared" si="54"/>
        <v>15/11/2023</v>
      </c>
      <c r="BC79" s="33">
        <f t="shared" si="54"/>
        <v>67490</v>
      </c>
      <c r="BD79" s="4" t="str">
        <f t="shared" si="54"/>
        <v>A5</v>
      </c>
      <c r="BE79" s="38">
        <f t="shared" si="78"/>
        <v>67687.25</v>
      </c>
      <c r="BF79">
        <f t="shared" si="79"/>
        <v>67212.25</v>
      </c>
      <c r="BG79">
        <f t="shared" si="80"/>
        <v>67924.75</v>
      </c>
      <c r="BH79">
        <f t="shared" si="81"/>
        <v>66974.75</v>
      </c>
      <c r="BI79">
        <f t="shared" si="82"/>
        <v>67568.5</v>
      </c>
      <c r="BJ79">
        <f t="shared" si="83"/>
        <v>67331</v>
      </c>
      <c r="BK79">
        <f t="shared" si="84"/>
        <v>68399.75</v>
      </c>
      <c r="BL79">
        <f t="shared" si="85"/>
        <v>66499.75</v>
      </c>
      <c r="BM79">
        <f t="shared" si="86"/>
        <v>67528.916666666657</v>
      </c>
      <c r="BN79">
        <f t="shared" si="87"/>
        <v>67370.583333333343</v>
      </c>
      <c r="BO79">
        <f t="shared" si="88"/>
        <v>68874.75</v>
      </c>
      <c r="BP79">
        <f t="shared" si="89"/>
        <v>66024.75</v>
      </c>
      <c r="BQ79" s="7">
        <f>BE79</f>
        <v>67687.25</v>
      </c>
      <c r="BS79" s="30">
        <f t="shared" si="55"/>
        <v>67490</v>
      </c>
      <c r="BT79" s="4">
        <f t="shared" si="56"/>
        <v>67687.25</v>
      </c>
      <c r="BU79" s="37">
        <f t="shared" si="57"/>
        <v>-197.25</v>
      </c>
      <c r="BV79">
        <f t="shared" si="58"/>
        <v>197.25</v>
      </c>
      <c r="BW79" s="35">
        <f t="shared" si="59"/>
        <v>2.9226552081789894E-3</v>
      </c>
    </row>
    <row r="80" spans="1:75">
      <c r="A80" s="1" t="s">
        <v>81</v>
      </c>
      <c r="B80" s="1">
        <v>69290</v>
      </c>
      <c r="Q80">
        <v>77</v>
      </c>
      <c r="R80" s="27" t="str">
        <f t="shared" si="50"/>
        <v>16/11/2023</v>
      </c>
      <c r="S80" s="27">
        <f t="shared" si="50"/>
        <v>67000</v>
      </c>
      <c r="T80" s="4" t="str">
        <f t="shared" si="51"/>
        <v>A5</v>
      </c>
      <c r="V80">
        <v>77</v>
      </c>
      <c r="W80" s="28" t="str">
        <f t="shared" si="49"/>
        <v>16/11/2023</v>
      </c>
      <c r="X80" s="28">
        <f t="shared" si="49"/>
        <v>67000</v>
      </c>
      <c r="Y80" s="28" t="str">
        <f t="shared" si="49"/>
        <v>A5</v>
      </c>
      <c r="Z80" s="5" t="str">
        <f t="shared" si="60"/>
        <v>A5</v>
      </c>
      <c r="AA80" s="5" t="str">
        <f t="shared" si="61"/>
        <v>A5</v>
      </c>
      <c r="AG80" s="29" t="str">
        <f t="shared" si="52"/>
        <v>16/11/2023</v>
      </c>
      <c r="AH80" s="30">
        <f t="shared" si="52"/>
        <v>67000</v>
      </c>
      <c r="AI80" s="4" t="str">
        <f t="shared" si="53"/>
        <v>A5</v>
      </c>
      <c r="AJ80" s="5" t="str">
        <f t="shared" si="62"/>
        <v>A5</v>
      </c>
      <c r="AK80">
        <f t="shared" si="63"/>
        <v>67829.5</v>
      </c>
      <c r="AL80" t="str">
        <f t="shared" si="64"/>
        <v>A5</v>
      </c>
      <c r="AM80">
        <f t="shared" si="65"/>
        <v>67829.5</v>
      </c>
      <c r="AN80" s="6">
        <f t="shared" si="66"/>
        <v>1430</v>
      </c>
      <c r="AO80">
        <f t="shared" si="67"/>
        <v>68205</v>
      </c>
      <c r="AP80">
        <f t="shared" si="90"/>
        <v>66775</v>
      </c>
      <c r="AQ80" s="33">
        <f t="shared" si="68"/>
        <v>68920</v>
      </c>
      <c r="AR80" s="33">
        <f t="shared" si="69"/>
        <v>66060</v>
      </c>
      <c r="AS80">
        <f t="shared" si="70"/>
        <v>67847.5</v>
      </c>
      <c r="AT80" s="5">
        <f t="shared" si="71"/>
        <v>67132.5</v>
      </c>
      <c r="AU80" s="5">
        <f t="shared" si="72"/>
        <v>70350</v>
      </c>
      <c r="AV80" s="5">
        <f t="shared" si="73"/>
        <v>64630</v>
      </c>
      <c r="AW80" s="5">
        <f t="shared" si="74"/>
        <v>67728.333333333328</v>
      </c>
      <c r="AX80" s="5">
        <f t="shared" si="75"/>
        <v>67251.666666666672</v>
      </c>
      <c r="AY80" s="5">
        <f t="shared" si="76"/>
        <v>71780</v>
      </c>
      <c r="AZ80" s="5">
        <f t="shared" si="77"/>
        <v>63200</v>
      </c>
      <c r="BB80" s="32" t="str">
        <f t="shared" si="54"/>
        <v>16/11/2023</v>
      </c>
      <c r="BC80" s="33">
        <f t="shared" si="54"/>
        <v>67000</v>
      </c>
      <c r="BD80" s="4" t="str">
        <f t="shared" si="54"/>
        <v>A5</v>
      </c>
      <c r="BE80">
        <f t="shared" si="78"/>
        <v>68017.25</v>
      </c>
      <c r="BF80" s="38">
        <f t="shared" si="79"/>
        <v>67302.25</v>
      </c>
      <c r="BG80">
        <f t="shared" si="80"/>
        <v>68374.75</v>
      </c>
      <c r="BH80">
        <f t="shared" si="81"/>
        <v>66944.75</v>
      </c>
      <c r="BI80">
        <f t="shared" si="82"/>
        <v>67838.5</v>
      </c>
      <c r="BJ80">
        <f t="shared" si="83"/>
        <v>67481</v>
      </c>
      <c r="BK80">
        <f t="shared" si="84"/>
        <v>69089.75</v>
      </c>
      <c r="BL80">
        <f t="shared" si="85"/>
        <v>66229.75</v>
      </c>
      <c r="BM80">
        <f t="shared" si="86"/>
        <v>67778.916666666657</v>
      </c>
      <c r="BN80">
        <f t="shared" si="87"/>
        <v>67540.583333333343</v>
      </c>
      <c r="BO80">
        <f t="shared" si="88"/>
        <v>69804.75</v>
      </c>
      <c r="BP80">
        <f t="shared" si="89"/>
        <v>65514.75</v>
      </c>
      <c r="BQ80" s="7">
        <f>BF80</f>
        <v>67302.25</v>
      </c>
      <c r="BS80" s="30">
        <f t="shared" si="55"/>
        <v>67000</v>
      </c>
      <c r="BT80" s="4">
        <f t="shared" si="56"/>
        <v>67302.25</v>
      </c>
      <c r="BU80" s="37">
        <f t="shared" si="57"/>
        <v>-302.25</v>
      </c>
      <c r="BV80">
        <f t="shared" si="58"/>
        <v>302.25</v>
      </c>
      <c r="BW80" s="35">
        <f t="shared" si="59"/>
        <v>4.5111940298507465E-3</v>
      </c>
    </row>
    <row r="81" spans="1:75">
      <c r="A81" s="1" t="s">
        <v>82</v>
      </c>
      <c r="B81" s="1">
        <v>69770</v>
      </c>
      <c r="Q81">
        <v>78</v>
      </c>
      <c r="R81" s="27" t="str">
        <f t="shared" si="50"/>
        <v>17/11/2023</v>
      </c>
      <c r="S81" s="27">
        <f t="shared" si="50"/>
        <v>68140</v>
      </c>
      <c r="T81" s="4" t="str">
        <f t="shared" si="51"/>
        <v>A5</v>
      </c>
      <c r="V81">
        <v>78</v>
      </c>
      <c r="W81" s="28" t="str">
        <f t="shared" si="49"/>
        <v>17/11/2023</v>
      </c>
      <c r="X81" s="28">
        <f t="shared" si="49"/>
        <v>68140</v>
      </c>
      <c r="Y81" s="28" t="str">
        <f t="shared" si="49"/>
        <v>A5</v>
      </c>
      <c r="Z81" s="5" t="str">
        <f t="shared" si="60"/>
        <v>A5</v>
      </c>
      <c r="AA81" s="5" t="str">
        <f t="shared" si="61"/>
        <v>A5</v>
      </c>
      <c r="AG81" s="29" t="str">
        <f t="shared" si="52"/>
        <v>17/11/2023</v>
      </c>
      <c r="AH81" s="30">
        <f t="shared" si="52"/>
        <v>68140</v>
      </c>
      <c r="AI81" s="4" t="str">
        <f t="shared" si="53"/>
        <v>A5</v>
      </c>
      <c r="AJ81" s="5" t="str">
        <f t="shared" si="62"/>
        <v>A5</v>
      </c>
      <c r="AK81">
        <f t="shared" si="63"/>
        <v>67829.5</v>
      </c>
      <c r="AL81" t="str">
        <f t="shared" si="64"/>
        <v>A5</v>
      </c>
      <c r="AM81">
        <f t="shared" si="65"/>
        <v>67829.5</v>
      </c>
      <c r="AN81" s="6">
        <f t="shared" si="66"/>
        <v>70</v>
      </c>
      <c r="AO81">
        <f t="shared" si="67"/>
        <v>67035</v>
      </c>
      <c r="AP81">
        <f t="shared" si="90"/>
        <v>66965</v>
      </c>
      <c r="AQ81" s="33">
        <f t="shared" si="68"/>
        <v>67070</v>
      </c>
      <c r="AR81" s="33">
        <f t="shared" si="69"/>
        <v>66930</v>
      </c>
      <c r="AS81">
        <f t="shared" si="70"/>
        <v>67017.5</v>
      </c>
      <c r="AT81" s="5">
        <f t="shared" si="71"/>
        <v>66982.5</v>
      </c>
      <c r="AU81" s="5">
        <f t="shared" si="72"/>
        <v>67140</v>
      </c>
      <c r="AV81" s="5">
        <f t="shared" si="73"/>
        <v>66860</v>
      </c>
      <c r="AW81" s="5">
        <f t="shared" si="74"/>
        <v>67011.666666666672</v>
      </c>
      <c r="AX81" s="5">
        <f t="shared" si="75"/>
        <v>66988.333333333328</v>
      </c>
      <c r="AY81" s="5">
        <f t="shared" si="76"/>
        <v>67210</v>
      </c>
      <c r="AZ81" s="5">
        <f t="shared" si="77"/>
        <v>66790</v>
      </c>
      <c r="BB81" s="32" t="str">
        <f t="shared" si="54"/>
        <v>17/11/2023</v>
      </c>
      <c r="BC81" s="33">
        <f t="shared" si="54"/>
        <v>68140</v>
      </c>
      <c r="BD81" s="4" t="str">
        <f t="shared" si="54"/>
        <v>A5</v>
      </c>
      <c r="BE81">
        <f t="shared" si="78"/>
        <v>67432.25</v>
      </c>
      <c r="BF81">
        <f t="shared" si="79"/>
        <v>67397.25</v>
      </c>
      <c r="BG81">
        <f t="shared" si="80"/>
        <v>67449.75</v>
      </c>
      <c r="BH81">
        <f t="shared" si="81"/>
        <v>67379.75</v>
      </c>
      <c r="BI81">
        <f t="shared" si="82"/>
        <v>67423.5</v>
      </c>
      <c r="BJ81">
        <f t="shared" si="83"/>
        <v>67406</v>
      </c>
      <c r="BK81">
        <f t="shared" si="84"/>
        <v>67484.75</v>
      </c>
      <c r="BL81">
        <f t="shared" si="85"/>
        <v>67344.75</v>
      </c>
      <c r="BM81">
        <f t="shared" si="86"/>
        <v>67420.583333333343</v>
      </c>
      <c r="BN81">
        <f t="shared" si="87"/>
        <v>67408.916666666657</v>
      </c>
      <c r="BO81" s="38">
        <f t="shared" si="88"/>
        <v>67519.75</v>
      </c>
      <c r="BP81">
        <f t="shared" si="89"/>
        <v>67309.75</v>
      </c>
      <c r="BQ81" s="7">
        <f>BO81</f>
        <v>67519.75</v>
      </c>
      <c r="BS81" s="30">
        <f t="shared" si="55"/>
        <v>68140</v>
      </c>
      <c r="BT81" s="4">
        <f t="shared" si="56"/>
        <v>67519.75</v>
      </c>
      <c r="BU81" s="37">
        <f t="shared" si="57"/>
        <v>620.25</v>
      </c>
      <c r="BV81">
        <f t="shared" si="58"/>
        <v>620.25</v>
      </c>
      <c r="BW81" s="35">
        <f t="shared" si="59"/>
        <v>9.1025829175227467E-3</v>
      </c>
    </row>
    <row r="82" spans="1:75">
      <c r="A82" s="1" t="s">
        <v>83</v>
      </c>
      <c r="B82" s="1">
        <v>70000</v>
      </c>
      <c r="Q82">
        <v>79</v>
      </c>
      <c r="R82" s="27" t="str">
        <f t="shared" si="50"/>
        <v>18/11/2023</v>
      </c>
      <c r="S82" s="27">
        <f t="shared" si="50"/>
        <v>69290</v>
      </c>
      <c r="T82" s="4" t="str">
        <f t="shared" si="51"/>
        <v>A5</v>
      </c>
      <c r="V82">
        <v>79</v>
      </c>
      <c r="W82" s="28" t="str">
        <f t="shared" si="49"/>
        <v>18/11/2023</v>
      </c>
      <c r="X82" s="28">
        <f t="shared" si="49"/>
        <v>69290</v>
      </c>
      <c r="Y82" s="28" t="str">
        <f t="shared" si="49"/>
        <v>A5</v>
      </c>
      <c r="Z82" s="5" t="str">
        <f t="shared" si="60"/>
        <v>A5</v>
      </c>
      <c r="AA82" s="5" t="str">
        <f t="shared" si="61"/>
        <v>A5</v>
      </c>
      <c r="AG82" s="29" t="str">
        <f t="shared" si="52"/>
        <v>18/11/2023</v>
      </c>
      <c r="AH82" s="30">
        <f t="shared" si="52"/>
        <v>69290</v>
      </c>
      <c r="AI82" s="4" t="str">
        <f t="shared" si="53"/>
        <v>A5</v>
      </c>
      <c r="AJ82" s="5" t="str">
        <f t="shared" si="62"/>
        <v>A5</v>
      </c>
      <c r="AK82">
        <f t="shared" si="63"/>
        <v>67829.5</v>
      </c>
      <c r="AL82" t="str">
        <f t="shared" si="64"/>
        <v>A5</v>
      </c>
      <c r="AM82">
        <f t="shared" si="65"/>
        <v>67829.5</v>
      </c>
      <c r="AN82" s="6">
        <f t="shared" si="66"/>
        <v>650</v>
      </c>
      <c r="AO82">
        <f t="shared" si="67"/>
        <v>68465</v>
      </c>
      <c r="AP82">
        <f t="shared" si="90"/>
        <v>67815</v>
      </c>
      <c r="AQ82" s="33">
        <f t="shared" si="68"/>
        <v>68790</v>
      </c>
      <c r="AR82" s="33">
        <f t="shared" si="69"/>
        <v>67490</v>
      </c>
      <c r="AS82">
        <f t="shared" si="70"/>
        <v>68302.5</v>
      </c>
      <c r="AT82" s="5">
        <f t="shared" si="71"/>
        <v>67977.5</v>
      </c>
      <c r="AU82" s="5">
        <f t="shared" si="72"/>
        <v>69440</v>
      </c>
      <c r="AV82" s="5">
        <f t="shared" si="73"/>
        <v>66840</v>
      </c>
      <c r="AW82" s="5">
        <f t="shared" si="74"/>
        <v>68248.333333333328</v>
      </c>
      <c r="AX82" s="5">
        <f t="shared" si="75"/>
        <v>68031.666666666672</v>
      </c>
      <c r="AY82" s="5">
        <f t="shared" si="76"/>
        <v>70090</v>
      </c>
      <c r="AZ82" s="5">
        <f t="shared" si="77"/>
        <v>66190</v>
      </c>
      <c r="BB82" s="32" t="str">
        <f t="shared" si="54"/>
        <v>18/11/2023</v>
      </c>
      <c r="BC82" s="33">
        <f t="shared" si="54"/>
        <v>69290</v>
      </c>
      <c r="BD82" s="4" t="str">
        <f t="shared" si="54"/>
        <v>A5</v>
      </c>
      <c r="BE82">
        <f t="shared" si="78"/>
        <v>68147.25</v>
      </c>
      <c r="BF82">
        <f t="shared" si="79"/>
        <v>67822.25</v>
      </c>
      <c r="BG82">
        <f t="shared" si="80"/>
        <v>68309.75</v>
      </c>
      <c r="BH82">
        <f t="shared" si="81"/>
        <v>67659.75</v>
      </c>
      <c r="BI82">
        <f t="shared" si="82"/>
        <v>68066</v>
      </c>
      <c r="BJ82">
        <f t="shared" si="83"/>
        <v>67903.5</v>
      </c>
      <c r="BK82">
        <f t="shared" si="84"/>
        <v>68634.75</v>
      </c>
      <c r="BL82">
        <f t="shared" si="85"/>
        <v>67334.75</v>
      </c>
      <c r="BM82">
        <f t="shared" si="86"/>
        <v>68038.916666666657</v>
      </c>
      <c r="BN82">
        <f t="shared" si="87"/>
        <v>67930.583333333343</v>
      </c>
      <c r="BO82" s="38">
        <f t="shared" si="88"/>
        <v>68959.75</v>
      </c>
      <c r="BP82">
        <f t="shared" si="89"/>
        <v>67009.75</v>
      </c>
      <c r="BQ82" s="7">
        <f>BO82</f>
        <v>68959.75</v>
      </c>
      <c r="BS82" s="30">
        <f t="shared" si="55"/>
        <v>69290</v>
      </c>
      <c r="BT82" s="4">
        <f t="shared" si="56"/>
        <v>68959.75</v>
      </c>
      <c r="BU82" s="37">
        <f t="shared" si="57"/>
        <v>330.25</v>
      </c>
      <c r="BV82">
        <f t="shared" si="58"/>
        <v>330.25</v>
      </c>
      <c r="BW82" s="35">
        <f t="shared" si="59"/>
        <v>4.766200028864194E-3</v>
      </c>
    </row>
    <row r="83" spans="1:75">
      <c r="A83" s="1" t="s">
        <v>84</v>
      </c>
      <c r="B83" s="1">
        <v>71150</v>
      </c>
      <c r="Q83">
        <v>80</v>
      </c>
      <c r="R83" s="27" t="str">
        <f t="shared" si="50"/>
        <v>19/11/2023</v>
      </c>
      <c r="S83" s="27">
        <f t="shared" si="50"/>
        <v>69770</v>
      </c>
      <c r="T83" s="4" t="str">
        <f t="shared" si="51"/>
        <v>A5</v>
      </c>
      <c r="V83">
        <v>80</v>
      </c>
      <c r="W83" s="28" t="str">
        <f t="shared" si="49"/>
        <v>19/11/2023</v>
      </c>
      <c r="X83" s="28">
        <f t="shared" si="49"/>
        <v>69770</v>
      </c>
      <c r="Y83" s="28" t="str">
        <f t="shared" si="49"/>
        <v>A5</v>
      </c>
      <c r="Z83" s="5" t="str">
        <f t="shared" si="60"/>
        <v>A5</v>
      </c>
      <c r="AA83" s="5" t="str">
        <f t="shared" si="61"/>
        <v>A5</v>
      </c>
      <c r="AG83" s="29" t="str">
        <f t="shared" si="52"/>
        <v>19/11/2023</v>
      </c>
      <c r="AH83" s="30">
        <f t="shared" si="52"/>
        <v>69770</v>
      </c>
      <c r="AI83" s="4" t="str">
        <f t="shared" si="53"/>
        <v>A5</v>
      </c>
      <c r="AJ83" s="5" t="str">
        <f t="shared" si="62"/>
        <v>A5</v>
      </c>
      <c r="AK83">
        <f t="shared" si="63"/>
        <v>67829.5</v>
      </c>
      <c r="AL83" t="str">
        <f t="shared" si="64"/>
        <v>A5</v>
      </c>
      <c r="AM83">
        <f t="shared" si="65"/>
        <v>67829.5</v>
      </c>
      <c r="AN83" s="6">
        <f t="shared" si="66"/>
        <v>10</v>
      </c>
      <c r="AO83">
        <f t="shared" si="67"/>
        <v>69295</v>
      </c>
      <c r="AP83">
        <f t="shared" si="90"/>
        <v>69285</v>
      </c>
      <c r="AQ83" s="33">
        <f t="shared" si="68"/>
        <v>69300</v>
      </c>
      <c r="AR83" s="33">
        <f t="shared" si="69"/>
        <v>69280</v>
      </c>
      <c r="AS83">
        <f t="shared" si="70"/>
        <v>69292.5</v>
      </c>
      <c r="AT83" s="5">
        <f t="shared" si="71"/>
        <v>69287.5</v>
      </c>
      <c r="AU83" s="5">
        <f t="shared" si="72"/>
        <v>69310</v>
      </c>
      <c r="AV83" s="5">
        <f t="shared" si="73"/>
        <v>69270</v>
      </c>
      <c r="AW83" s="5">
        <f t="shared" si="74"/>
        <v>69291.666666666672</v>
      </c>
      <c r="AX83" s="5">
        <f t="shared" si="75"/>
        <v>69288.333333333328</v>
      </c>
      <c r="AY83" s="5">
        <f t="shared" si="76"/>
        <v>69320</v>
      </c>
      <c r="AZ83" s="5">
        <f t="shared" si="77"/>
        <v>69260</v>
      </c>
      <c r="BB83" s="32" t="str">
        <f t="shared" si="54"/>
        <v>19/11/2023</v>
      </c>
      <c r="BC83" s="33">
        <f t="shared" si="54"/>
        <v>69770</v>
      </c>
      <c r="BD83" s="4" t="str">
        <f t="shared" si="54"/>
        <v>A5</v>
      </c>
      <c r="BE83" s="38">
        <f t="shared" si="78"/>
        <v>68562.25</v>
      </c>
      <c r="BF83">
        <f t="shared" si="79"/>
        <v>68557.25</v>
      </c>
      <c r="BG83">
        <f t="shared" si="80"/>
        <v>68564.75</v>
      </c>
      <c r="BH83">
        <f t="shared" si="81"/>
        <v>68554.75</v>
      </c>
      <c r="BI83">
        <f t="shared" si="82"/>
        <v>68561</v>
      </c>
      <c r="BJ83">
        <f t="shared" si="83"/>
        <v>68558.5</v>
      </c>
      <c r="BK83">
        <f t="shared" si="84"/>
        <v>68569.75</v>
      </c>
      <c r="BL83">
        <f t="shared" si="85"/>
        <v>68549.75</v>
      </c>
      <c r="BM83">
        <f t="shared" si="86"/>
        <v>68560.583333333343</v>
      </c>
      <c r="BN83">
        <f t="shared" si="87"/>
        <v>68558.916666666657</v>
      </c>
      <c r="BO83">
        <f t="shared" si="88"/>
        <v>68574.75</v>
      </c>
      <c r="BP83">
        <f t="shared" si="89"/>
        <v>68544.75</v>
      </c>
      <c r="BQ83" s="7">
        <f>BE83</f>
        <v>68562.25</v>
      </c>
      <c r="BS83" s="30">
        <f t="shared" si="55"/>
        <v>69770</v>
      </c>
      <c r="BT83" s="4">
        <f t="shared" si="56"/>
        <v>68562.25</v>
      </c>
      <c r="BU83" s="37">
        <f t="shared" si="57"/>
        <v>1207.75</v>
      </c>
      <c r="BV83">
        <f t="shared" si="58"/>
        <v>1207.75</v>
      </c>
      <c r="BW83" s="35">
        <f t="shared" si="59"/>
        <v>1.7310448616884046E-2</v>
      </c>
    </row>
    <row r="84" spans="1:75">
      <c r="A84" s="1" t="s">
        <v>85</v>
      </c>
      <c r="B84" s="1">
        <v>72870</v>
      </c>
      <c r="Q84">
        <v>81</v>
      </c>
      <c r="R84" s="27" t="str">
        <f t="shared" si="50"/>
        <v>20/11/2023</v>
      </c>
      <c r="S84" s="27">
        <f t="shared" si="50"/>
        <v>70000</v>
      </c>
      <c r="T84" s="4" t="str">
        <f t="shared" si="51"/>
        <v>A5</v>
      </c>
      <c r="V84">
        <v>81</v>
      </c>
      <c r="W84" s="28" t="str">
        <f t="shared" si="49"/>
        <v>20/11/2023</v>
      </c>
      <c r="X84" s="28">
        <f t="shared" si="49"/>
        <v>70000</v>
      </c>
      <c r="Y84" s="28" t="str">
        <f t="shared" si="49"/>
        <v>A5</v>
      </c>
      <c r="Z84" s="5" t="str">
        <f t="shared" si="60"/>
        <v>A5</v>
      </c>
      <c r="AA84" s="5" t="str">
        <f t="shared" si="61"/>
        <v>A5</v>
      </c>
      <c r="AG84" s="29" t="str">
        <f t="shared" si="52"/>
        <v>20/11/2023</v>
      </c>
      <c r="AH84" s="30">
        <f t="shared" si="52"/>
        <v>70000</v>
      </c>
      <c r="AI84" s="4" t="str">
        <f t="shared" si="53"/>
        <v>A5</v>
      </c>
      <c r="AJ84" s="5" t="str">
        <f t="shared" si="62"/>
        <v>A5</v>
      </c>
      <c r="AK84">
        <f t="shared" si="63"/>
        <v>67829.5</v>
      </c>
      <c r="AL84" t="str">
        <f t="shared" si="64"/>
        <v>A5</v>
      </c>
      <c r="AM84">
        <f t="shared" si="65"/>
        <v>67829.5</v>
      </c>
      <c r="AN84" s="6">
        <f t="shared" si="66"/>
        <v>670</v>
      </c>
      <c r="AO84">
        <f t="shared" si="67"/>
        <v>70105</v>
      </c>
      <c r="AP84">
        <f t="shared" si="90"/>
        <v>69435</v>
      </c>
      <c r="AQ84" s="33">
        <f t="shared" si="68"/>
        <v>70440</v>
      </c>
      <c r="AR84" s="33">
        <f t="shared" si="69"/>
        <v>69100</v>
      </c>
      <c r="AS84">
        <f t="shared" si="70"/>
        <v>69937.5</v>
      </c>
      <c r="AT84" s="5">
        <f t="shared" si="71"/>
        <v>69602.5</v>
      </c>
      <c r="AU84" s="5">
        <f t="shared" si="72"/>
        <v>71110</v>
      </c>
      <c r="AV84" s="5">
        <f t="shared" si="73"/>
        <v>68430</v>
      </c>
      <c r="AW84" s="5">
        <f t="shared" si="74"/>
        <v>69881.666666666672</v>
      </c>
      <c r="AX84" s="5">
        <f t="shared" si="75"/>
        <v>69658.333333333328</v>
      </c>
      <c r="AY84" s="5">
        <f t="shared" si="76"/>
        <v>71780</v>
      </c>
      <c r="AZ84" s="5">
        <f t="shared" si="77"/>
        <v>67760</v>
      </c>
      <c r="BB84" s="32" t="str">
        <f t="shared" si="54"/>
        <v>20/11/2023</v>
      </c>
      <c r="BC84" s="33">
        <f t="shared" si="54"/>
        <v>70000</v>
      </c>
      <c r="BD84" s="4" t="str">
        <f t="shared" si="54"/>
        <v>A5</v>
      </c>
      <c r="BE84" s="40">
        <f t="shared" si="78"/>
        <v>68967.25</v>
      </c>
      <c r="BF84">
        <f t="shared" si="79"/>
        <v>68632.25</v>
      </c>
      <c r="BG84">
        <f t="shared" si="80"/>
        <v>69134.75</v>
      </c>
      <c r="BH84">
        <f t="shared" si="81"/>
        <v>68464.75</v>
      </c>
      <c r="BI84">
        <f t="shared" si="82"/>
        <v>68883.5</v>
      </c>
      <c r="BJ84">
        <f t="shared" si="83"/>
        <v>68716</v>
      </c>
      <c r="BK84">
        <f t="shared" si="84"/>
        <v>69469.75</v>
      </c>
      <c r="BL84">
        <f t="shared" si="85"/>
        <v>68129.75</v>
      </c>
      <c r="BM84">
        <f t="shared" si="86"/>
        <v>68855.583333333343</v>
      </c>
      <c r="BN84">
        <f t="shared" si="87"/>
        <v>68743.916666666657</v>
      </c>
      <c r="BO84" s="38">
        <f t="shared" si="88"/>
        <v>69804.75</v>
      </c>
      <c r="BP84">
        <f t="shared" si="89"/>
        <v>67794.75</v>
      </c>
      <c r="BQ84" s="7">
        <f>BO84</f>
        <v>69804.75</v>
      </c>
      <c r="BS84" s="30">
        <f t="shared" si="55"/>
        <v>70000</v>
      </c>
      <c r="BT84" s="4">
        <f t="shared" si="56"/>
        <v>69804.75</v>
      </c>
      <c r="BU84" s="37">
        <f t="shared" si="57"/>
        <v>195.25</v>
      </c>
      <c r="BV84">
        <f t="shared" si="58"/>
        <v>195.25</v>
      </c>
      <c r="BW84" s="35">
        <f t="shared" si="59"/>
        <v>2.7892857142857142E-3</v>
      </c>
    </row>
    <row r="85" spans="1:75">
      <c r="A85" s="1" t="s">
        <v>86</v>
      </c>
      <c r="B85" s="1">
        <v>75700</v>
      </c>
      <c r="Q85">
        <v>82</v>
      </c>
      <c r="R85" s="27" t="str">
        <f t="shared" si="50"/>
        <v>21/11/2023</v>
      </c>
      <c r="S85" s="27">
        <f t="shared" si="50"/>
        <v>71150</v>
      </c>
      <c r="T85" s="4" t="str">
        <f t="shared" si="51"/>
        <v>A6</v>
      </c>
      <c r="V85">
        <v>82</v>
      </c>
      <c r="W85" s="28" t="str">
        <f t="shared" si="49"/>
        <v>21/11/2023</v>
      </c>
      <c r="X85" s="28">
        <f t="shared" si="49"/>
        <v>71150</v>
      </c>
      <c r="Y85" s="28" t="str">
        <f t="shared" si="49"/>
        <v>A6</v>
      </c>
      <c r="Z85" s="5" t="str">
        <f t="shared" si="60"/>
        <v>A5</v>
      </c>
      <c r="AA85" s="5" t="str">
        <f t="shared" si="61"/>
        <v>A5</v>
      </c>
      <c r="AG85" s="29" t="str">
        <f t="shared" si="52"/>
        <v>21/11/2023</v>
      </c>
      <c r="AH85" s="30">
        <f t="shared" si="52"/>
        <v>71150</v>
      </c>
      <c r="AI85" s="4" t="str">
        <f t="shared" si="53"/>
        <v>A6</v>
      </c>
      <c r="AJ85" s="5" t="str">
        <f t="shared" si="62"/>
        <v>A5</v>
      </c>
      <c r="AK85">
        <f t="shared" si="63"/>
        <v>67829.5</v>
      </c>
      <c r="AL85" t="str">
        <f t="shared" si="64"/>
        <v>A5</v>
      </c>
      <c r="AM85">
        <f t="shared" si="65"/>
        <v>67829.5</v>
      </c>
      <c r="AN85" s="6">
        <f t="shared" si="66"/>
        <v>250</v>
      </c>
      <c r="AO85">
        <f t="shared" si="67"/>
        <v>70125</v>
      </c>
      <c r="AP85">
        <f t="shared" si="90"/>
        <v>69875</v>
      </c>
      <c r="AQ85" s="33">
        <f t="shared" si="68"/>
        <v>70250</v>
      </c>
      <c r="AR85" s="33">
        <f t="shared" si="69"/>
        <v>69750</v>
      </c>
      <c r="AS85">
        <f t="shared" si="70"/>
        <v>70062.5</v>
      </c>
      <c r="AT85" s="5">
        <f t="shared" si="71"/>
        <v>69937.5</v>
      </c>
      <c r="AU85" s="5">
        <f t="shared" si="72"/>
        <v>70500</v>
      </c>
      <c r="AV85" s="5">
        <f t="shared" si="73"/>
        <v>69500</v>
      </c>
      <c r="AW85" s="5">
        <f t="shared" si="74"/>
        <v>70041.666666666672</v>
      </c>
      <c r="AX85" s="5">
        <f t="shared" si="75"/>
        <v>69958.333333333328</v>
      </c>
      <c r="AY85" s="5">
        <f t="shared" si="76"/>
        <v>70750</v>
      </c>
      <c r="AZ85" s="5">
        <f t="shared" si="77"/>
        <v>69250</v>
      </c>
      <c r="BB85" s="32" t="str">
        <f t="shared" si="54"/>
        <v>21/11/2023</v>
      </c>
      <c r="BC85" s="33">
        <f t="shared" si="54"/>
        <v>71150</v>
      </c>
      <c r="BD85" s="4" t="str">
        <f t="shared" si="54"/>
        <v>A6</v>
      </c>
      <c r="BE85">
        <f t="shared" si="78"/>
        <v>68977.25</v>
      </c>
      <c r="BF85">
        <f t="shared" si="79"/>
        <v>68852.25</v>
      </c>
      <c r="BG85">
        <f t="shared" si="80"/>
        <v>69039.75</v>
      </c>
      <c r="BH85">
        <f t="shared" si="81"/>
        <v>68789.75</v>
      </c>
      <c r="BI85">
        <f t="shared" si="82"/>
        <v>68946</v>
      </c>
      <c r="BJ85">
        <f t="shared" si="83"/>
        <v>68883.5</v>
      </c>
      <c r="BK85">
        <f t="shared" si="84"/>
        <v>69164.75</v>
      </c>
      <c r="BL85">
        <f t="shared" si="85"/>
        <v>68664.75</v>
      </c>
      <c r="BM85">
        <f t="shared" si="86"/>
        <v>68935.583333333343</v>
      </c>
      <c r="BN85">
        <f t="shared" si="87"/>
        <v>68893.916666666657</v>
      </c>
      <c r="BO85" s="38">
        <f t="shared" si="88"/>
        <v>69289.75</v>
      </c>
      <c r="BP85">
        <f t="shared" si="89"/>
        <v>68539.75</v>
      </c>
      <c r="BQ85" s="7">
        <f>BO85</f>
        <v>69289.75</v>
      </c>
      <c r="BS85" s="30">
        <f t="shared" si="55"/>
        <v>71150</v>
      </c>
      <c r="BT85" s="4">
        <f t="shared" si="56"/>
        <v>69289.75</v>
      </c>
      <c r="BU85" s="37">
        <f t="shared" si="57"/>
        <v>1860.25</v>
      </c>
      <c r="BV85">
        <f t="shared" si="58"/>
        <v>1860.25</v>
      </c>
      <c r="BW85" s="35">
        <f t="shared" si="59"/>
        <v>2.6145467322557975E-2</v>
      </c>
    </row>
    <row r="86" spans="1:75">
      <c r="A86" s="1" t="s">
        <v>87</v>
      </c>
      <c r="B86" s="1">
        <v>75650</v>
      </c>
      <c r="Q86">
        <v>83</v>
      </c>
      <c r="R86" s="27" t="str">
        <f t="shared" si="50"/>
        <v>22/11/2023</v>
      </c>
      <c r="S86" s="27">
        <f t="shared" si="50"/>
        <v>72870</v>
      </c>
      <c r="T86" s="4" t="str">
        <f t="shared" si="51"/>
        <v>A6</v>
      </c>
      <c r="V86">
        <v>83</v>
      </c>
      <c r="W86" s="28" t="str">
        <f t="shared" si="49"/>
        <v>22/11/2023</v>
      </c>
      <c r="X86" s="28">
        <f t="shared" si="49"/>
        <v>72870</v>
      </c>
      <c r="Y86" s="28" t="str">
        <f t="shared" si="49"/>
        <v>A6</v>
      </c>
      <c r="Z86" s="5" t="str">
        <f t="shared" si="60"/>
        <v>A5</v>
      </c>
      <c r="AA86" s="5" t="str">
        <f t="shared" si="61"/>
        <v>A6</v>
      </c>
      <c r="AG86" s="29" t="str">
        <f t="shared" si="52"/>
        <v>22/11/2023</v>
      </c>
      <c r="AH86" s="30">
        <f t="shared" si="52"/>
        <v>72870</v>
      </c>
      <c r="AI86" s="4" t="str">
        <f t="shared" si="53"/>
        <v>A6</v>
      </c>
      <c r="AJ86" s="5" t="str">
        <f t="shared" si="62"/>
        <v>A5</v>
      </c>
      <c r="AK86">
        <f t="shared" si="63"/>
        <v>67829.5</v>
      </c>
      <c r="AL86" t="str">
        <f t="shared" si="64"/>
        <v>A6</v>
      </c>
      <c r="AM86">
        <f t="shared" si="65"/>
        <v>73860.5</v>
      </c>
      <c r="AN86" s="6">
        <f t="shared" si="66"/>
        <v>920</v>
      </c>
      <c r="AO86">
        <f t="shared" si="67"/>
        <v>71610</v>
      </c>
      <c r="AP86">
        <f t="shared" si="90"/>
        <v>70690</v>
      </c>
      <c r="AQ86" s="33">
        <f t="shared" si="68"/>
        <v>72070</v>
      </c>
      <c r="AR86" s="33">
        <f t="shared" si="69"/>
        <v>70230</v>
      </c>
      <c r="AS86">
        <f t="shared" si="70"/>
        <v>71380</v>
      </c>
      <c r="AT86" s="5">
        <f t="shared" si="71"/>
        <v>70920</v>
      </c>
      <c r="AU86" s="5">
        <f t="shared" si="72"/>
        <v>72990</v>
      </c>
      <c r="AV86" s="5">
        <f t="shared" si="73"/>
        <v>69310</v>
      </c>
      <c r="AW86" s="5">
        <f t="shared" si="74"/>
        <v>71303.333333333328</v>
      </c>
      <c r="AX86" s="5">
        <f t="shared" si="75"/>
        <v>70996.666666666672</v>
      </c>
      <c r="AY86" s="5">
        <f t="shared" si="76"/>
        <v>73910</v>
      </c>
      <c r="AZ86" s="5">
        <f t="shared" si="77"/>
        <v>68390</v>
      </c>
      <c r="BB86" s="32" t="str">
        <f t="shared" si="54"/>
        <v>22/11/2023</v>
      </c>
      <c r="BC86" s="33">
        <f t="shared" si="54"/>
        <v>72870</v>
      </c>
      <c r="BD86" s="4" t="str">
        <f t="shared" si="54"/>
        <v>A6</v>
      </c>
      <c r="BE86">
        <f t="shared" si="78"/>
        <v>72735.25</v>
      </c>
      <c r="BF86">
        <f t="shared" si="79"/>
        <v>72275.25</v>
      </c>
      <c r="BG86" s="38">
        <f t="shared" si="80"/>
        <v>72965.25</v>
      </c>
      <c r="BH86">
        <f t="shared" si="81"/>
        <v>72045.25</v>
      </c>
      <c r="BI86">
        <f t="shared" si="82"/>
        <v>72620.25</v>
      </c>
      <c r="BJ86">
        <f t="shared" si="83"/>
        <v>72390.25</v>
      </c>
      <c r="BK86">
        <f t="shared" si="84"/>
        <v>73425.25</v>
      </c>
      <c r="BL86">
        <f t="shared" si="85"/>
        <v>71585.25</v>
      </c>
      <c r="BM86">
        <f t="shared" si="86"/>
        <v>72581.916666666657</v>
      </c>
      <c r="BN86">
        <f t="shared" si="87"/>
        <v>72428.583333333343</v>
      </c>
      <c r="BO86">
        <f t="shared" si="88"/>
        <v>73885.25</v>
      </c>
      <c r="BP86">
        <f t="shared" si="89"/>
        <v>71125.25</v>
      </c>
      <c r="BQ86" s="7">
        <f>BG86</f>
        <v>72965.25</v>
      </c>
      <c r="BS86" s="30">
        <f t="shared" si="55"/>
        <v>72870</v>
      </c>
      <c r="BT86" s="4">
        <f t="shared" si="56"/>
        <v>72965.25</v>
      </c>
      <c r="BU86" s="37">
        <f t="shared" si="57"/>
        <v>-95.25</v>
      </c>
      <c r="BV86">
        <f t="shared" si="58"/>
        <v>95.25</v>
      </c>
      <c r="BW86" s="35">
        <f t="shared" si="59"/>
        <v>1.30712227254014E-3</v>
      </c>
    </row>
    <row r="87" spans="1:75">
      <c r="A87" s="1" t="s">
        <v>88</v>
      </c>
      <c r="B87" s="1">
        <v>76380</v>
      </c>
      <c r="Q87">
        <v>84</v>
      </c>
      <c r="R87" s="27" t="str">
        <f t="shared" si="50"/>
        <v>23/11/2023</v>
      </c>
      <c r="S87" s="27">
        <f t="shared" si="50"/>
        <v>75700</v>
      </c>
      <c r="T87" s="4" t="str">
        <f t="shared" si="51"/>
        <v>A6</v>
      </c>
      <c r="V87">
        <v>84</v>
      </c>
      <c r="W87" s="28" t="str">
        <f t="shared" si="49"/>
        <v>23/11/2023</v>
      </c>
      <c r="X87" s="28">
        <f t="shared" si="49"/>
        <v>75700</v>
      </c>
      <c r="Y87" s="28" t="str">
        <f t="shared" si="49"/>
        <v>A6</v>
      </c>
      <c r="Z87" s="5" t="str">
        <f t="shared" si="60"/>
        <v>A6</v>
      </c>
      <c r="AA87" s="5" t="str">
        <f t="shared" si="61"/>
        <v>A6</v>
      </c>
      <c r="AG87" s="29" t="str">
        <f t="shared" si="52"/>
        <v>23/11/2023</v>
      </c>
      <c r="AH87" s="30">
        <f t="shared" si="52"/>
        <v>75700</v>
      </c>
      <c r="AI87" s="4" t="str">
        <f t="shared" si="53"/>
        <v>A6</v>
      </c>
      <c r="AJ87" s="5" t="str">
        <f t="shared" si="62"/>
        <v>A6</v>
      </c>
      <c r="AK87">
        <f t="shared" si="63"/>
        <v>73860.5</v>
      </c>
      <c r="AL87" t="str">
        <f t="shared" si="64"/>
        <v>A6</v>
      </c>
      <c r="AM87">
        <f t="shared" si="65"/>
        <v>73860.5</v>
      </c>
      <c r="AN87" s="6">
        <f t="shared" si="66"/>
        <v>570</v>
      </c>
      <c r="AO87">
        <f t="shared" si="67"/>
        <v>73155</v>
      </c>
      <c r="AP87">
        <f t="shared" si="90"/>
        <v>72585</v>
      </c>
      <c r="AQ87" s="33">
        <f t="shared" si="68"/>
        <v>73440</v>
      </c>
      <c r="AR87" s="33">
        <f t="shared" si="69"/>
        <v>72300</v>
      </c>
      <c r="AS87">
        <f t="shared" si="70"/>
        <v>73012.5</v>
      </c>
      <c r="AT87" s="5">
        <f t="shared" si="71"/>
        <v>72727.5</v>
      </c>
      <c r="AU87" s="5">
        <f t="shared" si="72"/>
        <v>74010</v>
      </c>
      <c r="AV87" s="5">
        <f t="shared" si="73"/>
        <v>71730</v>
      </c>
      <c r="AW87" s="5">
        <f t="shared" si="74"/>
        <v>72965</v>
      </c>
      <c r="AX87" s="5">
        <f t="shared" si="75"/>
        <v>72775</v>
      </c>
      <c r="AY87" s="5">
        <f t="shared" si="76"/>
        <v>74580</v>
      </c>
      <c r="AZ87" s="5">
        <f t="shared" si="77"/>
        <v>71160</v>
      </c>
      <c r="BB87" s="32" t="str">
        <f t="shared" si="54"/>
        <v>23/11/2023</v>
      </c>
      <c r="BC87" s="33">
        <f t="shared" si="54"/>
        <v>75700</v>
      </c>
      <c r="BD87" s="4" t="str">
        <f t="shared" si="54"/>
        <v>A6</v>
      </c>
      <c r="BE87">
        <f t="shared" si="78"/>
        <v>73507.75</v>
      </c>
      <c r="BF87">
        <f t="shared" si="79"/>
        <v>73222.75</v>
      </c>
      <c r="BG87">
        <f t="shared" si="80"/>
        <v>73650.25</v>
      </c>
      <c r="BH87">
        <f t="shared" si="81"/>
        <v>73080.25</v>
      </c>
      <c r="BI87">
        <f t="shared" si="82"/>
        <v>73436.5</v>
      </c>
      <c r="BJ87">
        <f t="shared" si="83"/>
        <v>73294</v>
      </c>
      <c r="BK87">
        <f t="shared" si="84"/>
        <v>73935.25</v>
      </c>
      <c r="BL87">
        <f t="shared" si="85"/>
        <v>72795.25</v>
      </c>
      <c r="BM87">
        <f t="shared" si="86"/>
        <v>73412.75</v>
      </c>
      <c r="BN87">
        <f t="shared" si="87"/>
        <v>73317.75</v>
      </c>
      <c r="BO87" s="38">
        <f t="shared" si="88"/>
        <v>74220.25</v>
      </c>
      <c r="BP87">
        <f t="shared" si="89"/>
        <v>72510.25</v>
      </c>
      <c r="BQ87" s="7">
        <f>BO87</f>
        <v>74220.25</v>
      </c>
      <c r="BS87" s="30">
        <f t="shared" si="55"/>
        <v>75700</v>
      </c>
      <c r="BT87" s="4">
        <f t="shared" si="56"/>
        <v>74220.25</v>
      </c>
      <c r="BU87" s="37">
        <f t="shared" si="57"/>
        <v>1479.75</v>
      </c>
      <c r="BV87">
        <f t="shared" si="58"/>
        <v>1479.75</v>
      </c>
      <c r="BW87" s="35">
        <f t="shared" si="59"/>
        <v>1.9547556142668426E-2</v>
      </c>
    </row>
    <row r="88" spans="1:75">
      <c r="A88" s="1" t="s">
        <v>89</v>
      </c>
      <c r="B88" s="1">
        <v>75730</v>
      </c>
      <c r="Q88">
        <v>85</v>
      </c>
      <c r="R88" s="27" t="str">
        <f t="shared" si="50"/>
        <v>24/11/2023</v>
      </c>
      <c r="S88" s="27">
        <f t="shared" si="50"/>
        <v>75650</v>
      </c>
      <c r="T88" s="4" t="str">
        <f t="shared" si="51"/>
        <v>A6</v>
      </c>
      <c r="V88">
        <v>85</v>
      </c>
      <c r="W88" s="28" t="str">
        <f t="shared" si="49"/>
        <v>24/11/2023</v>
      </c>
      <c r="X88" s="28">
        <f t="shared" si="49"/>
        <v>75650</v>
      </c>
      <c r="Y88" s="28" t="str">
        <f t="shared" si="49"/>
        <v>A6</v>
      </c>
      <c r="Z88" s="5" t="str">
        <f t="shared" si="60"/>
        <v>A6</v>
      </c>
      <c r="AA88" s="5" t="str">
        <f t="shared" si="61"/>
        <v>A6</v>
      </c>
      <c r="AG88" s="29" t="str">
        <f t="shared" si="52"/>
        <v>24/11/2023</v>
      </c>
      <c r="AH88" s="30">
        <f t="shared" si="52"/>
        <v>75650</v>
      </c>
      <c r="AI88" s="4" t="str">
        <f t="shared" si="53"/>
        <v>A6</v>
      </c>
      <c r="AJ88" s="5" t="str">
        <f t="shared" si="62"/>
        <v>A6</v>
      </c>
      <c r="AK88">
        <f t="shared" si="63"/>
        <v>73860.5</v>
      </c>
      <c r="AL88" t="str">
        <f t="shared" si="64"/>
        <v>A6</v>
      </c>
      <c r="AM88">
        <f t="shared" si="65"/>
        <v>73860.5</v>
      </c>
      <c r="AN88" s="6">
        <f t="shared" si="66"/>
        <v>1110</v>
      </c>
      <c r="AO88">
        <f t="shared" si="67"/>
        <v>76255</v>
      </c>
      <c r="AP88">
        <f t="shared" si="90"/>
        <v>75145</v>
      </c>
      <c r="AQ88" s="33">
        <f t="shared" si="68"/>
        <v>76810</v>
      </c>
      <c r="AR88" s="33">
        <f t="shared" si="69"/>
        <v>74590</v>
      </c>
      <c r="AS88">
        <f t="shared" si="70"/>
        <v>75977.5</v>
      </c>
      <c r="AT88" s="5">
        <f t="shared" si="71"/>
        <v>75422.5</v>
      </c>
      <c r="AU88" s="5">
        <f t="shared" si="72"/>
        <v>77920</v>
      </c>
      <c r="AV88" s="5">
        <f t="shared" si="73"/>
        <v>73480</v>
      </c>
      <c r="AW88" s="5">
        <f t="shared" si="74"/>
        <v>75885</v>
      </c>
      <c r="AX88" s="5">
        <f t="shared" si="75"/>
        <v>75515</v>
      </c>
      <c r="AY88" s="5">
        <f t="shared" si="76"/>
        <v>79030</v>
      </c>
      <c r="AZ88" s="5">
        <f t="shared" si="77"/>
        <v>72370</v>
      </c>
      <c r="BB88" s="32" t="str">
        <f t="shared" si="54"/>
        <v>24/11/2023</v>
      </c>
      <c r="BC88" s="33">
        <f t="shared" si="54"/>
        <v>75650</v>
      </c>
      <c r="BD88" s="4" t="str">
        <f t="shared" si="54"/>
        <v>A6</v>
      </c>
      <c r="BE88">
        <f t="shared" si="78"/>
        <v>75057.75</v>
      </c>
      <c r="BF88">
        <f t="shared" si="79"/>
        <v>74502.75</v>
      </c>
      <c r="BG88" s="40">
        <f t="shared" si="80"/>
        <v>75335.25</v>
      </c>
      <c r="BH88">
        <f t="shared" si="81"/>
        <v>74225.25</v>
      </c>
      <c r="BI88">
        <f t="shared" si="82"/>
        <v>74919</v>
      </c>
      <c r="BJ88">
        <f t="shared" si="83"/>
        <v>74641.5</v>
      </c>
      <c r="BK88" s="38">
        <f t="shared" si="84"/>
        <v>75890.25</v>
      </c>
      <c r="BL88">
        <f t="shared" si="85"/>
        <v>73670.25</v>
      </c>
      <c r="BM88">
        <f t="shared" si="86"/>
        <v>74872.75</v>
      </c>
      <c r="BN88">
        <f t="shared" si="87"/>
        <v>74687.75</v>
      </c>
      <c r="BO88">
        <f t="shared" si="88"/>
        <v>76445.25</v>
      </c>
      <c r="BP88">
        <f t="shared" si="89"/>
        <v>73115.25</v>
      </c>
      <c r="BQ88" s="7">
        <f>BK88</f>
        <v>75890.25</v>
      </c>
      <c r="BS88" s="30">
        <f t="shared" si="55"/>
        <v>75650</v>
      </c>
      <c r="BT88" s="4">
        <f t="shared" si="56"/>
        <v>75890.25</v>
      </c>
      <c r="BU88" s="37">
        <f t="shared" si="57"/>
        <v>-240.25</v>
      </c>
      <c r="BV88">
        <f t="shared" si="58"/>
        <v>240.25</v>
      </c>
      <c r="BW88" s="35">
        <f t="shared" si="59"/>
        <v>3.1758096497025777E-3</v>
      </c>
    </row>
    <row r="89" spans="1:75">
      <c r="A89" s="1" t="s">
        <v>90</v>
      </c>
      <c r="B89" s="1">
        <v>74140</v>
      </c>
      <c r="Q89">
        <v>86</v>
      </c>
      <c r="R89" s="27" t="str">
        <f t="shared" si="50"/>
        <v>25/11/2023</v>
      </c>
      <c r="S89" s="27">
        <f t="shared" si="50"/>
        <v>76380</v>
      </c>
      <c r="T89" s="4" t="str">
        <f t="shared" si="51"/>
        <v>A6</v>
      </c>
      <c r="V89">
        <v>86</v>
      </c>
      <c r="W89" s="28" t="str">
        <f t="shared" si="49"/>
        <v>25/11/2023</v>
      </c>
      <c r="X89" s="28">
        <f t="shared" si="49"/>
        <v>76380</v>
      </c>
      <c r="Y89" s="28" t="str">
        <f t="shared" si="49"/>
        <v>A6</v>
      </c>
      <c r="Z89" s="5" t="str">
        <f t="shared" si="60"/>
        <v>A6</v>
      </c>
      <c r="AA89" s="5" t="str">
        <f t="shared" si="61"/>
        <v>A6</v>
      </c>
      <c r="AG89" s="29" t="str">
        <f t="shared" si="52"/>
        <v>25/11/2023</v>
      </c>
      <c r="AH89" s="30">
        <f t="shared" si="52"/>
        <v>76380</v>
      </c>
      <c r="AI89" s="4" t="str">
        <f t="shared" si="53"/>
        <v>A6</v>
      </c>
      <c r="AJ89" s="5" t="str">
        <f t="shared" si="62"/>
        <v>A6</v>
      </c>
      <c r="AK89">
        <f t="shared" si="63"/>
        <v>73860.5</v>
      </c>
      <c r="AL89" t="str">
        <f t="shared" si="64"/>
        <v>A6</v>
      </c>
      <c r="AM89">
        <f t="shared" si="65"/>
        <v>73860.5</v>
      </c>
      <c r="AN89" s="6">
        <f t="shared" si="66"/>
        <v>2780</v>
      </c>
      <c r="AO89">
        <f t="shared" si="67"/>
        <v>77040</v>
      </c>
      <c r="AP89">
        <f t="shared" si="90"/>
        <v>74260</v>
      </c>
      <c r="AQ89" s="33">
        <f t="shared" si="68"/>
        <v>78430</v>
      </c>
      <c r="AR89" s="33">
        <f t="shared" si="69"/>
        <v>72870</v>
      </c>
      <c r="AS89">
        <f t="shared" si="70"/>
        <v>76345</v>
      </c>
      <c r="AT89" s="5">
        <f t="shared" si="71"/>
        <v>74955</v>
      </c>
      <c r="AU89" s="5">
        <f t="shared" si="72"/>
        <v>81210</v>
      </c>
      <c r="AV89" s="5">
        <f t="shared" si="73"/>
        <v>70090</v>
      </c>
      <c r="AW89" s="5">
        <f t="shared" si="74"/>
        <v>76113.333333333328</v>
      </c>
      <c r="AX89" s="5">
        <f t="shared" si="75"/>
        <v>75186.666666666672</v>
      </c>
      <c r="AY89" s="5">
        <f t="shared" si="76"/>
        <v>83990</v>
      </c>
      <c r="AZ89" s="5">
        <f t="shared" si="77"/>
        <v>67310</v>
      </c>
      <c r="BB89" s="32" t="str">
        <f t="shared" si="54"/>
        <v>25/11/2023</v>
      </c>
      <c r="BC89" s="33">
        <f t="shared" si="54"/>
        <v>76380</v>
      </c>
      <c r="BD89" s="4" t="str">
        <f t="shared" si="54"/>
        <v>A6</v>
      </c>
      <c r="BE89">
        <f t="shared" si="78"/>
        <v>75450.25</v>
      </c>
      <c r="BF89">
        <f t="shared" si="79"/>
        <v>74060.25</v>
      </c>
      <c r="BG89" s="38">
        <f t="shared" si="80"/>
        <v>76145.25</v>
      </c>
      <c r="BH89">
        <f t="shared" si="81"/>
        <v>73365.25</v>
      </c>
      <c r="BI89">
        <f t="shared" si="82"/>
        <v>75102.75</v>
      </c>
      <c r="BJ89">
        <f t="shared" si="83"/>
        <v>74407.75</v>
      </c>
      <c r="BK89">
        <f t="shared" si="84"/>
        <v>77535.25</v>
      </c>
      <c r="BL89">
        <f t="shared" si="85"/>
        <v>71975.25</v>
      </c>
      <c r="BM89">
        <f t="shared" si="86"/>
        <v>74986.916666666657</v>
      </c>
      <c r="BN89">
        <f t="shared" si="87"/>
        <v>74523.583333333343</v>
      </c>
      <c r="BO89">
        <f t="shared" si="88"/>
        <v>78925.25</v>
      </c>
      <c r="BP89">
        <f t="shared" si="89"/>
        <v>70585.25</v>
      </c>
      <c r="BQ89" s="7">
        <f>BG89</f>
        <v>76145.25</v>
      </c>
      <c r="BS89" s="30">
        <f t="shared" si="55"/>
        <v>76380</v>
      </c>
      <c r="BT89" s="4">
        <f t="shared" si="56"/>
        <v>76145.25</v>
      </c>
      <c r="BU89" s="37">
        <f t="shared" si="57"/>
        <v>234.75</v>
      </c>
      <c r="BV89">
        <f t="shared" si="58"/>
        <v>234.75</v>
      </c>
      <c r="BW89" s="35">
        <f t="shared" si="59"/>
        <v>3.0734485467399843E-3</v>
      </c>
    </row>
    <row r="90" spans="1:75">
      <c r="A90" s="1" t="s">
        <v>91</v>
      </c>
      <c r="B90" s="1">
        <v>74130</v>
      </c>
      <c r="Q90">
        <v>87</v>
      </c>
      <c r="R90" s="27" t="str">
        <f t="shared" si="50"/>
        <v>26/11/2023</v>
      </c>
      <c r="S90" s="27">
        <f t="shared" si="50"/>
        <v>75730</v>
      </c>
      <c r="T90" s="4" t="str">
        <f t="shared" si="51"/>
        <v>A6</v>
      </c>
      <c r="V90">
        <v>87</v>
      </c>
      <c r="W90" s="28" t="str">
        <f t="shared" si="49"/>
        <v>26/11/2023</v>
      </c>
      <c r="X90" s="28">
        <f t="shared" si="49"/>
        <v>75730</v>
      </c>
      <c r="Y90" s="28" t="str">
        <f t="shared" si="49"/>
        <v>A6</v>
      </c>
      <c r="Z90" s="5" t="str">
        <f t="shared" si="60"/>
        <v>A6</v>
      </c>
      <c r="AA90" s="5" t="str">
        <f t="shared" si="61"/>
        <v>A6</v>
      </c>
      <c r="AG90" s="29" t="str">
        <f t="shared" si="52"/>
        <v>26/11/2023</v>
      </c>
      <c r="AH90" s="30">
        <f t="shared" si="52"/>
        <v>75730</v>
      </c>
      <c r="AI90" s="4" t="str">
        <f t="shared" si="53"/>
        <v>A6</v>
      </c>
      <c r="AJ90" s="5" t="str">
        <f t="shared" si="62"/>
        <v>A6</v>
      </c>
      <c r="AK90">
        <f t="shared" si="63"/>
        <v>73860.5</v>
      </c>
      <c r="AL90" t="str">
        <f t="shared" si="64"/>
        <v>A6</v>
      </c>
      <c r="AM90">
        <f t="shared" si="65"/>
        <v>73860.5</v>
      </c>
      <c r="AN90" s="6">
        <f t="shared" si="66"/>
        <v>680</v>
      </c>
      <c r="AO90">
        <f t="shared" si="67"/>
        <v>76720</v>
      </c>
      <c r="AP90">
        <f t="shared" si="90"/>
        <v>76040</v>
      </c>
      <c r="AQ90" s="33">
        <f t="shared" si="68"/>
        <v>77060</v>
      </c>
      <c r="AR90" s="33">
        <f t="shared" si="69"/>
        <v>75700</v>
      </c>
      <c r="AS90">
        <f t="shared" si="70"/>
        <v>76550</v>
      </c>
      <c r="AT90" s="5">
        <f t="shared" si="71"/>
        <v>76210</v>
      </c>
      <c r="AU90" s="5">
        <f t="shared" si="72"/>
        <v>77740</v>
      </c>
      <c r="AV90" s="5">
        <f t="shared" si="73"/>
        <v>75020</v>
      </c>
      <c r="AW90" s="5">
        <f t="shared" si="74"/>
        <v>76493.333333333328</v>
      </c>
      <c r="AX90" s="5">
        <f t="shared" si="75"/>
        <v>76266.666666666672</v>
      </c>
      <c r="AY90" s="5">
        <f t="shared" si="76"/>
        <v>78420</v>
      </c>
      <c r="AZ90" s="5">
        <f t="shared" si="77"/>
        <v>74340</v>
      </c>
      <c r="BB90" s="32" t="str">
        <f t="shared" si="54"/>
        <v>26/11/2023</v>
      </c>
      <c r="BC90" s="33">
        <f t="shared" si="54"/>
        <v>75730</v>
      </c>
      <c r="BD90" s="4" t="str">
        <f t="shared" si="54"/>
        <v>A6</v>
      </c>
      <c r="BE90">
        <f t="shared" si="78"/>
        <v>75290.25</v>
      </c>
      <c r="BF90">
        <f t="shared" si="79"/>
        <v>74950.25</v>
      </c>
      <c r="BG90" s="40">
        <f t="shared" si="80"/>
        <v>75460.25</v>
      </c>
      <c r="BH90">
        <f t="shared" si="81"/>
        <v>74780.25</v>
      </c>
      <c r="BI90">
        <f t="shared" si="82"/>
        <v>75205.25</v>
      </c>
      <c r="BJ90">
        <f t="shared" si="83"/>
        <v>75035.25</v>
      </c>
      <c r="BK90" s="38">
        <f t="shared" si="84"/>
        <v>75800.25</v>
      </c>
      <c r="BL90">
        <f t="shared" si="85"/>
        <v>74440.25</v>
      </c>
      <c r="BM90">
        <f t="shared" si="86"/>
        <v>75176.916666666657</v>
      </c>
      <c r="BN90">
        <f t="shared" si="87"/>
        <v>75063.583333333343</v>
      </c>
      <c r="BO90">
        <f t="shared" si="88"/>
        <v>76140.25</v>
      </c>
      <c r="BP90">
        <f t="shared" si="89"/>
        <v>74100.25</v>
      </c>
      <c r="BQ90" s="7">
        <f>BK90</f>
        <v>75800.25</v>
      </c>
      <c r="BS90" s="30">
        <f t="shared" si="55"/>
        <v>75730</v>
      </c>
      <c r="BT90" s="4">
        <f t="shared" si="56"/>
        <v>75800.25</v>
      </c>
      <c r="BU90" s="37">
        <f t="shared" si="57"/>
        <v>-70.25</v>
      </c>
      <c r="BV90">
        <f t="shared" si="58"/>
        <v>70.25</v>
      </c>
      <c r="BW90" s="35">
        <f t="shared" si="59"/>
        <v>9.2763766010827938E-4</v>
      </c>
    </row>
    <row r="91" spans="1:75">
      <c r="A91" s="1" t="s">
        <v>92</v>
      </c>
      <c r="B91" s="1">
        <v>71140</v>
      </c>
      <c r="Q91">
        <v>88</v>
      </c>
      <c r="R91" s="27" t="str">
        <f t="shared" si="50"/>
        <v>27/11/2023</v>
      </c>
      <c r="S91" s="27">
        <f t="shared" si="50"/>
        <v>74140</v>
      </c>
      <c r="T91" s="4" t="str">
        <f t="shared" si="51"/>
        <v>A6</v>
      </c>
      <c r="V91">
        <v>88</v>
      </c>
      <c r="W91" s="28" t="str">
        <f t="shared" si="49"/>
        <v>27/11/2023</v>
      </c>
      <c r="X91" s="28">
        <f t="shared" si="49"/>
        <v>74140</v>
      </c>
      <c r="Y91" s="28" t="str">
        <f t="shared" si="49"/>
        <v>A6</v>
      </c>
      <c r="Z91" s="5" t="str">
        <f t="shared" si="60"/>
        <v>A6</v>
      </c>
      <c r="AA91" s="5" t="str">
        <f t="shared" si="61"/>
        <v>A6</v>
      </c>
      <c r="AG91" s="29" t="str">
        <f t="shared" si="52"/>
        <v>27/11/2023</v>
      </c>
      <c r="AH91" s="30">
        <f t="shared" si="52"/>
        <v>74140</v>
      </c>
      <c r="AI91" s="4" t="str">
        <f t="shared" si="53"/>
        <v>A6</v>
      </c>
      <c r="AJ91" s="5" t="str">
        <f t="shared" si="62"/>
        <v>A6</v>
      </c>
      <c r="AK91">
        <f t="shared" si="63"/>
        <v>73860.5</v>
      </c>
      <c r="AL91" t="str">
        <f t="shared" si="64"/>
        <v>A6</v>
      </c>
      <c r="AM91">
        <f t="shared" si="65"/>
        <v>73860.5</v>
      </c>
      <c r="AN91" s="6">
        <f t="shared" si="66"/>
        <v>80</v>
      </c>
      <c r="AO91">
        <f t="shared" si="67"/>
        <v>75770</v>
      </c>
      <c r="AP91">
        <f t="shared" si="90"/>
        <v>75690</v>
      </c>
      <c r="AQ91" s="33">
        <f t="shared" si="68"/>
        <v>75810</v>
      </c>
      <c r="AR91" s="33">
        <f t="shared" si="69"/>
        <v>75650</v>
      </c>
      <c r="AS91">
        <f t="shared" si="70"/>
        <v>75750</v>
      </c>
      <c r="AT91" s="5">
        <f t="shared" si="71"/>
        <v>75710</v>
      </c>
      <c r="AU91" s="5">
        <f t="shared" si="72"/>
        <v>75890</v>
      </c>
      <c r="AV91" s="5">
        <f t="shared" si="73"/>
        <v>75570</v>
      </c>
      <c r="AW91" s="5">
        <f t="shared" si="74"/>
        <v>75743.333333333328</v>
      </c>
      <c r="AX91" s="5">
        <f t="shared" si="75"/>
        <v>75716.666666666672</v>
      </c>
      <c r="AY91" s="5">
        <f t="shared" si="76"/>
        <v>75970</v>
      </c>
      <c r="AZ91" s="5">
        <f t="shared" si="77"/>
        <v>75490</v>
      </c>
      <c r="BB91" s="32" t="str">
        <f t="shared" si="54"/>
        <v>27/11/2023</v>
      </c>
      <c r="BC91" s="33">
        <f t="shared" si="54"/>
        <v>74140</v>
      </c>
      <c r="BD91" s="4" t="str">
        <f t="shared" si="54"/>
        <v>A6</v>
      </c>
      <c r="BE91">
        <f t="shared" si="78"/>
        <v>74815.25</v>
      </c>
      <c r="BF91">
        <f t="shared" si="79"/>
        <v>74775.25</v>
      </c>
      <c r="BG91">
        <f t="shared" si="80"/>
        <v>74835.25</v>
      </c>
      <c r="BH91">
        <f t="shared" si="81"/>
        <v>74755.25</v>
      </c>
      <c r="BI91">
        <f t="shared" si="82"/>
        <v>74805.25</v>
      </c>
      <c r="BJ91">
        <f t="shared" si="83"/>
        <v>74785.25</v>
      </c>
      <c r="BK91">
        <f t="shared" si="84"/>
        <v>74875.25</v>
      </c>
      <c r="BL91">
        <f t="shared" si="85"/>
        <v>74715.25</v>
      </c>
      <c r="BM91">
        <f t="shared" si="86"/>
        <v>74801.916666666657</v>
      </c>
      <c r="BN91">
        <f t="shared" si="87"/>
        <v>74788.583333333343</v>
      </c>
      <c r="BO91">
        <f t="shared" si="88"/>
        <v>74915.25</v>
      </c>
      <c r="BP91" s="38">
        <f t="shared" si="89"/>
        <v>74675.25</v>
      </c>
      <c r="BQ91" s="7">
        <f>BP91</f>
        <v>74675.25</v>
      </c>
      <c r="BS91" s="30">
        <f t="shared" si="55"/>
        <v>74140</v>
      </c>
      <c r="BT91" s="4">
        <f t="shared" si="56"/>
        <v>74675.25</v>
      </c>
      <c r="BU91" s="37">
        <f t="shared" si="57"/>
        <v>-535.25</v>
      </c>
      <c r="BV91">
        <f t="shared" si="58"/>
        <v>535.25</v>
      </c>
      <c r="BW91" s="35">
        <f t="shared" si="59"/>
        <v>7.2194496897760993E-3</v>
      </c>
    </row>
    <row r="92" spans="1:75">
      <c r="A92" s="1" t="s">
        <v>93</v>
      </c>
      <c r="B92" s="1">
        <v>73140</v>
      </c>
      <c r="Q92">
        <v>89</v>
      </c>
      <c r="R92" s="27" t="str">
        <f t="shared" si="50"/>
        <v>28/11/2023</v>
      </c>
      <c r="S92" s="27">
        <f t="shared" si="50"/>
        <v>74130</v>
      </c>
      <c r="T92" s="4" t="str">
        <f t="shared" si="51"/>
        <v>A6</v>
      </c>
      <c r="V92">
        <v>89</v>
      </c>
      <c r="W92" s="28" t="str">
        <f t="shared" si="49"/>
        <v>28/11/2023</v>
      </c>
      <c r="X92" s="28">
        <f t="shared" si="49"/>
        <v>74130</v>
      </c>
      <c r="Y92" s="28" t="str">
        <f t="shared" si="49"/>
        <v>A6</v>
      </c>
      <c r="Z92" s="5" t="str">
        <f t="shared" si="60"/>
        <v>A6</v>
      </c>
      <c r="AA92" s="5" t="str">
        <f t="shared" si="61"/>
        <v>A6</v>
      </c>
      <c r="AG92" s="29" t="str">
        <f t="shared" si="52"/>
        <v>28/11/2023</v>
      </c>
      <c r="AH92" s="30">
        <f t="shared" si="52"/>
        <v>74130</v>
      </c>
      <c r="AI92" s="4" t="str">
        <f t="shared" si="53"/>
        <v>A6</v>
      </c>
      <c r="AJ92" s="5" t="str">
        <f t="shared" si="62"/>
        <v>A6</v>
      </c>
      <c r="AK92">
        <f t="shared" si="63"/>
        <v>73860.5</v>
      </c>
      <c r="AL92" t="str">
        <f t="shared" si="64"/>
        <v>A6</v>
      </c>
      <c r="AM92">
        <f t="shared" si="65"/>
        <v>73860.5</v>
      </c>
      <c r="AN92" s="6">
        <f t="shared" si="66"/>
        <v>940</v>
      </c>
      <c r="AO92">
        <f t="shared" si="67"/>
        <v>74610</v>
      </c>
      <c r="AP92">
        <f t="shared" si="90"/>
        <v>73670</v>
      </c>
      <c r="AQ92" s="33">
        <f t="shared" si="68"/>
        <v>75080</v>
      </c>
      <c r="AR92" s="33">
        <f t="shared" si="69"/>
        <v>73200</v>
      </c>
      <c r="AS92">
        <f t="shared" si="70"/>
        <v>74375</v>
      </c>
      <c r="AT92" s="5">
        <f t="shared" si="71"/>
        <v>73905</v>
      </c>
      <c r="AU92" s="5">
        <f t="shared" si="72"/>
        <v>76020</v>
      </c>
      <c r="AV92" s="5">
        <f t="shared" si="73"/>
        <v>72260</v>
      </c>
      <c r="AW92" s="5">
        <f t="shared" si="74"/>
        <v>74296.666666666672</v>
      </c>
      <c r="AX92" s="5">
        <f t="shared" si="75"/>
        <v>73983.333333333328</v>
      </c>
      <c r="AY92" s="5">
        <f t="shared" si="76"/>
        <v>76960</v>
      </c>
      <c r="AZ92" s="5">
        <f t="shared" si="77"/>
        <v>71320</v>
      </c>
      <c r="BB92" s="32" t="str">
        <f t="shared" si="54"/>
        <v>28/11/2023</v>
      </c>
      <c r="BC92" s="33">
        <f t="shared" si="54"/>
        <v>74130</v>
      </c>
      <c r="BD92" s="4" t="str">
        <f t="shared" si="54"/>
        <v>A6</v>
      </c>
      <c r="BE92" s="38">
        <f t="shared" si="78"/>
        <v>74235.25</v>
      </c>
      <c r="BF92">
        <f t="shared" si="79"/>
        <v>73765.25</v>
      </c>
      <c r="BG92">
        <f t="shared" si="80"/>
        <v>74470.25</v>
      </c>
      <c r="BH92">
        <f t="shared" si="81"/>
        <v>73530.25</v>
      </c>
      <c r="BI92">
        <f t="shared" si="82"/>
        <v>74117.75</v>
      </c>
      <c r="BJ92">
        <f t="shared" si="83"/>
        <v>73882.75</v>
      </c>
      <c r="BK92">
        <f t="shared" si="84"/>
        <v>74940.25</v>
      </c>
      <c r="BL92">
        <f t="shared" si="85"/>
        <v>73060.25</v>
      </c>
      <c r="BM92">
        <f t="shared" si="86"/>
        <v>74078.583333333343</v>
      </c>
      <c r="BN92">
        <f t="shared" si="87"/>
        <v>73921.916666666657</v>
      </c>
      <c r="BO92">
        <f t="shared" si="88"/>
        <v>75410.25</v>
      </c>
      <c r="BP92">
        <f t="shared" si="89"/>
        <v>72590.25</v>
      </c>
      <c r="BQ92" s="7">
        <f>BE92</f>
        <v>74235.25</v>
      </c>
      <c r="BS92" s="30">
        <f t="shared" si="55"/>
        <v>74130</v>
      </c>
      <c r="BT92" s="4">
        <f t="shared" si="56"/>
        <v>74235.25</v>
      </c>
      <c r="BU92" s="37">
        <f t="shared" si="57"/>
        <v>-105.25</v>
      </c>
      <c r="BV92">
        <f t="shared" si="58"/>
        <v>105.25</v>
      </c>
      <c r="BW92" s="35">
        <f t="shared" si="59"/>
        <v>1.4198030486982328E-3</v>
      </c>
    </row>
    <row r="93" spans="1:75">
      <c r="A93" s="1" t="s">
        <v>94</v>
      </c>
      <c r="B93" s="1">
        <v>71950</v>
      </c>
      <c r="Q93">
        <v>90</v>
      </c>
      <c r="R93" s="27" t="str">
        <f t="shared" si="50"/>
        <v>29/11/2023</v>
      </c>
      <c r="S93" s="27">
        <f t="shared" si="50"/>
        <v>71140</v>
      </c>
      <c r="T93" s="4" t="str">
        <f t="shared" si="51"/>
        <v>A6</v>
      </c>
      <c r="V93">
        <v>90</v>
      </c>
      <c r="W93" s="28" t="str">
        <f t="shared" si="49"/>
        <v>29/11/2023</v>
      </c>
      <c r="X93" s="28">
        <f t="shared" si="49"/>
        <v>71140</v>
      </c>
      <c r="Y93" s="28" t="str">
        <f t="shared" si="49"/>
        <v>A6</v>
      </c>
      <c r="Z93" s="5" t="str">
        <f t="shared" si="60"/>
        <v>A6</v>
      </c>
      <c r="AA93" s="5" t="str">
        <f t="shared" si="61"/>
        <v>A6</v>
      </c>
      <c r="AG93" s="29" t="str">
        <f t="shared" si="52"/>
        <v>29/11/2023</v>
      </c>
      <c r="AH93" s="30">
        <f t="shared" si="52"/>
        <v>71140</v>
      </c>
      <c r="AI93" s="4" t="str">
        <f t="shared" si="53"/>
        <v>A6</v>
      </c>
      <c r="AJ93" s="5" t="str">
        <f t="shared" si="62"/>
        <v>A6</v>
      </c>
      <c r="AK93">
        <f t="shared" si="63"/>
        <v>73860.5</v>
      </c>
      <c r="AL93" t="str">
        <f t="shared" si="64"/>
        <v>A6</v>
      </c>
      <c r="AM93">
        <f t="shared" si="65"/>
        <v>73860.5</v>
      </c>
      <c r="AN93" s="6">
        <f t="shared" si="66"/>
        <v>1580</v>
      </c>
      <c r="AO93">
        <f t="shared" si="67"/>
        <v>74920</v>
      </c>
      <c r="AP93">
        <f t="shared" si="90"/>
        <v>73340</v>
      </c>
      <c r="AQ93" s="33">
        <f t="shared" si="68"/>
        <v>75710</v>
      </c>
      <c r="AR93" s="33">
        <f t="shared" si="69"/>
        <v>72550</v>
      </c>
      <c r="AS93">
        <f t="shared" si="70"/>
        <v>74525</v>
      </c>
      <c r="AT93" s="5">
        <f t="shared" si="71"/>
        <v>73735</v>
      </c>
      <c r="AU93" s="5">
        <f t="shared" si="72"/>
        <v>77290</v>
      </c>
      <c r="AV93" s="5">
        <f t="shared" si="73"/>
        <v>70970</v>
      </c>
      <c r="AW93" s="5">
        <f t="shared" si="74"/>
        <v>74393.333333333328</v>
      </c>
      <c r="AX93" s="5">
        <f t="shared" si="75"/>
        <v>73866.666666666672</v>
      </c>
      <c r="AY93" s="5">
        <f t="shared" si="76"/>
        <v>78870</v>
      </c>
      <c r="AZ93" s="5">
        <f t="shared" si="77"/>
        <v>69390</v>
      </c>
      <c r="BB93" s="32" t="str">
        <f t="shared" si="54"/>
        <v>29/11/2023</v>
      </c>
      <c r="BC93" s="33">
        <f t="shared" si="54"/>
        <v>71140</v>
      </c>
      <c r="BD93" s="4" t="str">
        <f t="shared" si="54"/>
        <v>A6</v>
      </c>
      <c r="BE93">
        <f t="shared" si="78"/>
        <v>74390.25</v>
      </c>
      <c r="BF93">
        <f t="shared" si="79"/>
        <v>73600.25</v>
      </c>
      <c r="BG93">
        <f t="shared" si="80"/>
        <v>74785.25</v>
      </c>
      <c r="BH93">
        <f t="shared" si="81"/>
        <v>73205.25</v>
      </c>
      <c r="BI93">
        <f t="shared" si="82"/>
        <v>74192.75</v>
      </c>
      <c r="BJ93">
        <f t="shared" si="83"/>
        <v>73797.75</v>
      </c>
      <c r="BK93">
        <f t="shared" si="84"/>
        <v>75575.25</v>
      </c>
      <c r="BL93" s="40">
        <f t="shared" si="85"/>
        <v>72415.25</v>
      </c>
      <c r="BM93">
        <f t="shared" si="86"/>
        <v>74126.916666666657</v>
      </c>
      <c r="BN93">
        <f t="shared" si="87"/>
        <v>73863.583333333343</v>
      </c>
      <c r="BO93">
        <f t="shared" si="88"/>
        <v>76365.25</v>
      </c>
      <c r="BP93" s="38">
        <f t="shared" si="89"/>
        <v>71625.25</v>
      </c>
      <c r="BQ93" s="7">
        <f>BP93</f>
        <v>71625.25</v>
      </c>
      <c r="BS93" s="30">
        <f t="shared" si="55"/>
        <v>71140</v>
      </c>
      <c r="BT93" s="4">
        <f t="shared" si="56"/>
        <v>71625.25</v>
      </c>
      <c r="BU93" s="37">
        <f t="shared" si="57"/>
        <v>-485.25</v>
      </c>
      <c r="BV93">
        <f t="shared" si="58"/>
        <v>485.25</v>
      </c>
      <c r="BW93" s="35">
        <f t="shared" si="59"/>
        <v>6.8210570705650826E-3</v>
      </c>
    </row>
    <row r="94" spans="1:75">
      <c r="A94" s="1" t="s">
        <v>95</v>
      </c>
      <c r="B94" s="1">
        <v>72670</v>
      </c>
      <c r="Q94">
        <v>91</v>
      </c>
      <c r="R94" s="27" t="str">
        <f t="shared" si="50"/>
        <v>30/11/2023</v>
      </c>
      <c r="S94" s="27">
        <f t="shared" si="50"/>
        <v>73140</v>
      </c>
      <c r="T94" s="4" t="str">
        <f t="shared" si="51"/>
        <v>A6</v>
      </c>
      <c r="V94">
        <v>91</v>
      </c>
      <c r="W94" s="28" t="str">
        <f t="shared" si="49"/>
        <v>30/11/2023</v>
      </c>
      <c r="X94" s="28">
        <f t="shared" si="49"/>
        <v>73140</v>
      </c>
      <c r="Y94" s="28" t="str">
        <f t="shared" si="49"/>
        <v>A6</v>
      </c>
      <c r="Z94" s="5" t="str">
        <f t="shared" si="60"/>
        <v>A6</v>
      </c>
      <c r="AA94" s="5" t="str">
        <f t="shared" si="61"/>
        <v>A6</v>
      </c>
      <c r="AG94" s="29" t="str">
        <f t="shared" si="52"/>
        <v>30/11/2023</v>
      </c>
      <c r="AH94" s="30">
        <f t="shared" si="52"/>
        <v>73140</v>
      </c>
      <c r="AI94" s="4" t="str">
        <f t="shared" si="53"/>
        <v>A6</v>
      </c>
      <c r="AJ94" s="5" t="str">
        <f t="shared" si="62"/>
        <v>A6</v>
      </c>
      <c r="AK94">
        <f t="shared" si="63"/>
        <v>73860.5</v>
      </c>
      <c r="AL94" t="str">
        <f t="shared" si="64"/>
        <v>A6</v>
      </c>
      <c r="AM94">
        <f t="shared" si="65"/>
        <v>73860.5</v>
      </c>
      <c r="AN94" s="6">
        <f t="shared" si="66"/>
        <v>2980</v>
      </c>
      <c r="AO94">
        <f t="shared" si="67"/>
        <v>72630</v>
      </c>
      <c r="AP94">
        <f t="shared" si="90"/>
        <v>69650</v>
      </c>
      <c r="AQ94" s="33">
        <f t="shared" si="68"/>
        <v>74120</v>
      </c>
      <c r="AR94" s="33">
        <f t="shared" si="69"/>
        <v>68160</v>
      </c>
      <c r="AS94">
        <f t="shared" si="70"/>
        <v>71885</v>
      </c>
      <c r="AT94" s="5">
        <f t="shared" si="71"/>
        <v>70395</v>
      </c>
      <c r="AU94" s="5">
        <f t="shared" si="72"/>
        <v>77100</v>
      </c>
      <c r="AV94" s="5">
        <f t="shared" si="73"/>
        <v>65180</v>
      </c>
      <c r="AW94" s="5">
        <f t="shared" si="74"/>
        <v>71636.666666666672</v>
      </c>
      <c r="AX94" s="5">
        <f t="shared" si="75"/>
        <v>70643.333333333328</v>
      </c>
      <c r="AY94" s="5">
        <f t="shared" si="76"/>
        <v>80080</v>
      </c>
      <c r="AZ94" s="5">
        <f t="shared" si="77"/>
        <v>62200</v>
      </c>
      <c r="BB94" s="32" t="str">
        <f t="shared" si="54"/>
        <v>30/11/2023</v>
      </c>
      <c r="BC94" s="33">
        <f t="shared" si="54"/>
        <v>73140</v>
      </c>
      <c r="BD94" s="4" t="str">
        <f t="shared" si="54"/>
        <v>A6</v>
      </c>
      <c r="BE94" s="38">
        <f t="shared" si="78"/>
        <v>73245.25</v>
      </c>
      <c r="BF94">
        <f t="shared" si="79"/>
        <v>71755.25</v>
      </c>
      <c r="BG94">
        <f t="shared" si="80"/>
        <v>73990.25</v>
      </c>
      <c r="BH94">
        <f t="shared" si="81"/>
        <v>71010.25</v>
      </c>
      <c r="BI94">
        <f t="shared" si="82"/>
        <v>72872.75</v>
      </c>
      <c r="BJ94">
        <f t="shared" si="83"/>
        <v>72127.75</v>
      </c>
      <c r="BK94">
        <f t="shared" si="84"/>
        <v>75480.25</v>
      </c>
      <c r="BL94">
        <f t="shared" si="85"/>
        <v>69520.25</v>
      </c>
      <c r="BM94">
        <f t="shared" si="86"/>
        <v>72748.583333333343</v>
      </c>
      <c r="BN94">
        <f t="shared" si="87"/>
        <v>72251.916666666657</v>
      </c>
      <c r="BO94">
        <f t="shared" si="88"/>
        <v>76970.25</v>
      </c>
      <c r="BP94">
        <f t="shared" si="89"/>
        <v>68030.25</v>
      </c>
      <c r="BQ94" s="7">
        <f>BE94</f>
        <v>73245.25</v>
      </c>
      <c r="BS94" s="30">
        <f t="shared" si="55"/>
        <v>73140</v>
      </c>
      <c r="BT94" s="4">
        <f t="shared" si="56"/>
        <v>73245.25</v>
      </c>
      <c r="BU94" s="37">
        <f t="shared" si="57"/>
        <v>-105.25</v>
      </c>
      <c r="BV94">
        <f t="shared" si="58"/>
        <v>105.25</v>
      </c>
      <c r="BW94" s="35">
        <f t="shared" si="59"/>
        <v>1.4390210555099809E-3</v>
      </c>
    </row>
    <row r="95" spans="1:75">
      <c r="A95" s="1" t="s">
        <v>96</v>
      </c>
      <c r="B95" s="1">
        <v>72440</v>
      </c>
      <c r="Q95">
        <v>92</v>
      </c>
      <c r="R95" s="27" t="str">
        <f t="shared" si="50"/>
        <v>01/12/2023</v>
      </c>
      <c r="S95" s="27">
        <f t="shared" si="50"/>
        <v>71950</v>
      </c>
      <c r="T95" s="4" t="str">
        <f t="shared" si="51"/>
        <v>A6</v>
      </c>
      <c r="V95">
        <v>92</v>
      </c>
      <c r="W95" s="28" t="str">
        <f t="shared" si="49"/>
        <v>01/12/2023</v>
      </c>
      <c r="X95" s="28">
        <f t="shared" si="49"/>
        <v>71950</v>
      </c>
      <c r="Y95" s="28" t="str">
        <f t="shared" si="49"/>
        <v>A6</v>
      </c>
      <c r="Z95" s="5" t="str">
        <f t="shared" si="60"/>
        <v>A6</v>
      </c>
      <c r="AA95" s="5" t="str">
        <f t="shared" si="61"/>
        <v>A6</v>
      </c>
      <c r="AG95" s="29" t="str">
        <f t="shared" si="52"/>
        <v>01/12/2023</v>
      </c>
      <c r="AH95" s="30">
        <f t="shared" si="52"/>
        <v>71950</v>
      </c>
      <c r="AI95" s="4" t="str">
        <f t="shared" si="53"/>
        <v>A6</v>
      </c>
      <c r="AJ95" s="5" t="str">
        <f t="shared" si="62"/>
        <v>A6</v>
      </c>
      <c r="AK95">
        <f t="shared" si="63"/>
        <v>73860.5</v>
      </c>
      <c r="AL95" t="str">
        <f t="shared" si="64"/>
        <v>A6</v>
      </c>
      <c r="AM95">
        <f t="shared" si="65"/>
        <v>73860.5</v>
      </c>
      <c r="AN95" s="6">
        <f t="shared" si="66"/>
        <v>990</v>
      </c>
      <c r="AO95">
        <f t="shared" si="67"/>
        <v>73635</v>
      </c>
      <c r="AP95">
        <f t="shared" si="90"/>
        <v>72645</v>
      </c>
      <c r="AQ95" s="33">
        <f t="shared" si="68"/>
        <v>74130</v>
      </c>
      <c r="AR95" s="33">
        <f t="shared" si="69"/>
        <v>72150</v>
      </c>
      <c r="AS95">
        <f t="shared" si="70"/>
        <v>73387.5</v>
      </c>
      <c r="AT95" s="5">
        <f t="shared" si="71"/>
        <v>72892.5</v>
      </c>
      <c r="AU95" s="5">
        <f t="shared" si="72"/>
        <v>75120</v>
      </c>
      <c r="AV95" s="5">
        <f t="shared" si="73"/>
        <v>71160</v>
      </c>
      <c r="AW95" s="5">
        <f t="shared" si="74"/>
        <v>73305</v>
      </c>
      <c r="AX95" s="5">
        <f t="shared" si="75"/>
        <v>72975</v>
      </c>
      <c r="AY95" s="5">
        <f t="shared" si="76"/>
        <v>76110</v>
      </c>
      <c r="AZ95" s="5">
        <f t="shared" si="77"/>
        <v>70170</v>
      </c>
      <c r="BB95" s="32" t="str">
        <f t="shared" si="54"/>
        <v>01/12/2023</v>
      </c>
      <c r="BC95" s="33">
        <f t="shared" si="54"/>
        <v>71950</v>
      </c>
      <c r="BD95" s="4" t="str">
        <f t="shared" si="54"/>
        <v>A6</v>
      </c>
      <c r="BE95">
        <f t="shared" si="78"/>
        <v>73747.75</v>
      </c>
      <c r="BF95">
        <f t="shared" si="79"/>
        <v>73252.75</v>
      </c>
      <c r="BG95">
        <f t="shared" si="80"/>
        <v>73995.25</v>
      </c>
      <c r="BH95">
        <f t="shared" si="81"/>
        <v>73005.25</v>
      </c>
      <c r="BI95">
        <f t="shared" si="82"/>
        <v>73624</v>
      </c>
      <c r="BJ95">
        <f t="shared" si="83"/>
        <v>73376.5</v>
      </c>
      <c r="BK95">
        <f t="shared" si="84"/>
        <v>74490.25</v>
      </c>
      <c r="BL95" s="40">
        <f t="shared" si="85"/>
        <v>72510.25</v>
      </c>
      <c r="BM95">
        <f t="shared" si="86"/>
        <v>73582.75</v>
      </c>
      <c r="BN95">
        <f t="shared" si="87"/>
        <v>73417.75</v>
      </c>
      <c r="BO95">
        <f t="shared" si="88"/>
        <v>74985.25</v>
      </c>
      <c r="BP95" s="38">
        <f t="shared" si="89"/>
        <v>72015.25</v>
      </c>
      <c r="BQ95" s="7">
        <f>BP95</f>
        <v>72015.25</v>
      </c>
      <c r="BS95" s="30">
        <f t="shared" si="55"/>
        <v>71950</v>
      </c>
      <c r="BT95" s="4">
        <f t="shared" si="56"/>
        <v>72015.25</v>
      </c>
      <c r="BU95" s="37">
        <f t="shared" si="57"/>
        <v>-65.25</v>
      </c>
      <c r="BV95">
        <f t="shared" si="58"/>
        <v>65.25</v>
      </c>
      <c r="BW95" s="35">
        <f t="shared" si="59"/>
        <v>9.0687977762334959E-4</v>
      </c>
    </row>
    <row r="96" spans="1:75">
      <c r="A96" s="1" t="s">
        <v>97</v>
      </c>
      <c r="B96" s="1">
        <v>71430</v>
      </c>
      <c r="Q96">
        <v>93</v>
      </c>
      <c r="R96" s="27" t="str">
        <f t="shared" si="50"/>
        <v>02/12/2023</v>
      </c>
      <c r="S96" s="27">
        <f t="shared" si="50"/>
        <v>72670</v>
      </c>
      <c r="T96" s="4" t="str">
        <f t="shared" si="51"/>
        <v>A6</v>
      </c>
      <c r="V96">
        <v>93</v>
      </c>
      <c r="W96" s="28" t="str">
        <f t="shared" si="49"/>
        <v>02/12/2023</v>
      </c>
      <c r="X96" s="28">
        <f t="shared" si="49"/>
        <v>72670</v>
      </c>
      <c r="Y96" s="28" t="str">
        <f t="shared" si="49"/>
        <v>A6</v>
      </c>
      <c r="Z96" s="5" t="str">
        <f t="shared" si="60"/>
        <v>A6</v>
      </c>
      <c r="AA96" s="5" t="str">
        <f t="shared" si="61"/>
        <v>A6</v>
      </c>
      <c r="AG96" s="29" t="str">
        <f t="shared" si="52"/>
        <v>02/12/2023</v>
      </c>
      <c r="AH96" s="30">
        <f t="shared" si="52"/>
        <v>72670</v>
      </c>
      <c r="AI96" s="4" t="str">
        <f t="shared" si="53"/>
        <v>A6</v>
      </c>
      <c r="AJ96" s="5" t="str">
        <f t="shared" si="62"/>
        <v>A6</v>
      </c>
      <c r="AK96">
        <f t="shared" si="63"/>
        <v>73860.5</v>
      </c>
      <c r="AL96" t="str">
        <f t="shared" si="64"/>
        <v>A6</v>
      </c>
      <c r="AM96">
        <f t="shared" si="65"/>
        <v>73860.5</v>
      </c>
      <c r="AN96" s="6">
        <f t="shared" si="66"/>
        <v>810</v>
      </c>
      <c r="AO96">
        <f t="shared" si="67"/>
        <v>72355</v>
      </c>
      <c r="AP96">
        <f t="shared" si="90"/>
        <v>71545</v>
      </c>
      <c r="AQ96" s="33">
        <f t="shared" si="68"/>
        <v>72760</v>
      </c>
      <c r="AR96" s="33">
        <f t="shared" si="69"/>
        <v>71140</v>
      </c>
      <c r="AS96">
        <f t="shared" si="70"/>
        <v>72152.5</v>
      </c>
      <c r="AT96" s="5">
        <f t="shared" si="71"/>
        <v>71747.5</v>
      </c>
      <c r="AU96" s="5">
        <f t="shared" si="72"/>
        <v>73570</v>
      </c>
      <c r="AV96" s="5">
        <f t="shared" si="73"/>
        <v>70330</v>
      </c>
      <c r="AW96" s="5">
        <f t="shared" si="74"/>
        <v>72085</v>
      </c>
      <c r="AX96" s="5">
        <f t="shared" si="75"/>
        <v>71815</v>
      </c>
      <c r="AY96" s="5">
        <f t="shared" si="76"/>
        <v>74380</v>
      </c>
      <c r="AZ96" s="5">
        <f t="shared" si="77"/>
        <v>69520</v>
      </c>
      <c r="BB96" s="32" t="str">
        <f t="shared" si="54"/>
        <v>02/12/2023</v>
      </c>
      <c r="BC96" s="33">
        <f t="shared" si="54"/>
        <v>72670</v>
      </c>
      <c r="BD96" s="4" t="str">
        <f t="shared" si="54"/>
        <v>A6</v>
      </c>
      <c r="BE96">
        <f t="shared" si="78"/>
        <v>73107.75</v>
      </c>
      <c r="BF96">
        <f t="shared" si="79"/>
        <v>72702.75</v>
      </c>
      <c r="BG96">
        <f t="shared" si="80"/>
        <v>73310.25</v>
      </c>
      <c r="BH96" s="38">
        <f t="shared" si="81"/>
        <v>72500.25</v>
      </c>
      <c r="BI96">
        <f t="shared" si="82"/>
        <v>73006.5</v>
      </c>
      <c r="BJ96">
        <f t="shared" si="83"/>
        <v>72804</v>
      </c>
      <c r="BK96">
        <f t="shared" si="84"/>
        <v>73715.25</v>
      </c>
      <c r="BL96">
        <f t="shared" si="85"/>
        <v>72095.25</v>
      </c>
      <c r="BM96">
        <f t="shared" si="86"/>
        <v>72972.75</v>
      </c>
      <c r="BN96">
        <f t="shared" si="87"/>
        <v>72837.75</v>
      </c>
      <c r="BO96">
        <f t="shared" si="88"/>
        <v>74120.25</v>
      </c>
      <c r="BP96">
        <f t="shared" si="89"/>
        <v>71690.25</v>
      </c>
      <c r="BQ96" s="7">
        <f>BH96</f>
        <v>72500.25</v>
      </c>
      <c r="BS96" s="30">
        <f t="shared" si="55"/>
        <v>72670</v>
      </c>
      <c r="BT96" s="4">
        <f t="shared" si="56"/>
        <v>72500.25</v>
      </c>
      <c r="BU96" s="37">
        <f t="shared" si="57"/>
        <v>169.75</v>
      </c>
      <c r="BV96">
        <f t="shared" si="58"/>
        <v>169.75</v>
      </c>
      <c r="BW96" s="35">
        <f t="shared" si="59"/>
        <v>2.3359020228429887E-3</v>
      </c>
    </row>
    <row r="97" spans="1:75">
      <c r="A97" s="1" t="s">
        <v>98</v>
      </c>
      <c r="B97" s="1">
        <v>72580</v>
      </c>
      <c r="Q97">
        <v>94</v>
      </c>
      <c r="R97" s="27" t="str">
        <f t="shared" si="50"/>
        <v>03/12/2023</v>
      </c>
      <c r="S97" s="27">
        <f t="shared" si="50"/>
        <v>72440</v>
      </c>
      <c r="T97" s="4" t="str">
        <f t="shared" si="51"/>
        <v>A6</v>
      </c>
      <c r="V97">
        <v>94</v>
      </c>
      <c r="W97" s="28" t="str">
        <f t="shared" si="49"/>
        <v>03/12/2023</v>
      </c>
      <c r="X97" s="28">
        <f t="shared" si="49"/>
        <v>72440</v>
      </c>
      <c r="Y97" s="28" t="str">
        <f t="shared" si="49"/>
        <v>A6</v>
      </c>
      <c r="Z97" s="5" t="str">
        <f t="shared" si="60"/>
        <v>A6</v>
      </c>
      <c r="AA97" s="5" t="str">
        <f t="shared" si="61"/>
        <v>A6</v>
      </c>
      <c r="AG97" s="29" t="str">
        <f t="shared" si="52"/>
        <v>03/12/2023</v>
      </c>
      <c r="AH97" s="30">
        <f t="shared" si="52"/>
        <v>72440</v>
      </c>
      <c r="AI97" s="4" t="str">
        <f t="shared" si="53"/>
        <v>A6</v>
      </c>
      <c r="AJ97" s="5" t="str">
        <f t="shared" si="62"/>
        <v>A6</v>
      </c>
      <c r="AK97">
        <f t="shared" si="63"/>
        <v>73860.5</v>
      </c>
      <c r="AL97" t="str">
        <f t="shared" si="64"/>
        <v>A6</v>
      </c>
      <c r="AM97">
        <f t="shared" si="65"/>
        <v>73860.5</v>
      </c>
      <c r="AN97" s="6">
        <f t="shared" si="66"/>
        <v>470</v>
      </c>
      <c r="AO97">
        <f t="shared" si="67"/>
        <v>72905</v>
      </c>
      <c r="AP97">
        <f t="shared" si="90"/>
        <v>72435</v>
      </c>
      <c r="AQ97" s="33">
        <f t="shared" si="68"/>
        <v>73140</v>
      </c>
      <c r="AR97" s="33">
        <f t="shared" si="69"/>
        <v>72200</v>
      </c>
      <c r="AS97">
        <f t="shared" si="70"/>
        <v>72787.5</v>
      </c>
      <c r="AT97" s="5">
        <f t="shared" si="71"/>
        <v>72552.5</v>
      </c>
      <c r="AU97" s="5">
        <f t="shared" si="72"/>
        <v>73610</v>
      </c>
      <c r="AV97" s="5">
        <f t="shared" si="73"/>
        <v>71730</v>
      </c>
      <c r="AW97" s="5">
        <f t="shared" si="74"/>
        <v>72748.333333333328</v>
      </c>
      <c r="AX97" s="5">
        <f t="shared" si="75"/>
        <v>72591.666666666672</v>
      </c>
      <c r="AY97" s="5">
        <f t="shared" si="76"/>
        <v>74080</v>
      </c>
      <c r="AZ97" s="5">
        <f t="shared" si="77"/>
        <v>71260</v>
      </c>
      <c r="BB97" s="32" t="str">
        <f t="shared" si="54"/>
        <v>03/12/2023</v>
      </c>
      <c r="BC97" s="33">
        <f t="shared" si="54"/>
        <v>72440</v>
      </c>
      <c r="BD97" s="4" t="str">
        <f t="shared" si="54"/>
        <v>A6</v>
      </c>
      <c r="BE97">
        <f t="shared" si="78"/>
        <v>73382.75</v>
      </c>
      <c r="BF97">
        <f t="shared" si="79"/>
        <v>73147.75</v>
      </c>
      <c r="BG97">
        <f t="shared" si="80"/>
        <v>73500.25</v>
      </c>
      <c r="BH97">
        <f t="shared" si="81"/>
        <v>73030.25</v>
      </c>
      <c r="BI97">
        <f t="shared" si="82"/>
        <v>73324</v>
      </c>
      <c r="BJ97">
        <f t="shared" si="83"/>
        <v>73206.5</v>
      </c>
      <c r="BK97">
        <f t="shared" si="84"/>
        <v>73735.25</v>
      </c>
      <c r="BL97">
        <f t="shared" si="85"/>
        <v>72795.25</v>
      </c>
      <c r="BM97">
        <f t="shared" si="86"/>
        <v>73304.416666666657</v>
      </c>
      <c r="BN97">
        <f t="shared" si="87"/>
        <v>73226.083333333343</v>
      </c>
      <c r="BO97">
        <f t="shared" si="88"/>
        <v>73970.25</v>
      </c>
      <c r="BP97" s="38">
        <f t="shared" si="89"/>
        <v>72560.25</v>
      </c>
      <c r="BQ97" s="7">
        <f>BP97</f>
        <v>72560.25</v>
      </c>
      <c r="BS97" s="30">
        <f t="shared" si="55"/>
        <v>72440</v>
      </c>
      <c r="BT97" s="4">
        <f t="shared" si="56"/>
        <v>72560.25</v>
      </c>
      <c r="BU97" s="37">
        <f t="shared" si="57"/>
        <v>-120.25</v>
      </c>
      <c r="BV97">
        <f t="shared" si="58"/>
        <v>120.25</v>
      </c>
      <c r="BW97" s="35">
        <f t="shared" si="59"/>
        <v>1.6599944781888459E-3</v>
      </c>
    </row>
    <row r="98" spans="1:75">
      <c r="A98" s="1" t="s">
        <v>99</v>
      </c>
      <c r="B98" s="1">
        <v>72250</v>
      </c>
      <c r="Q98">
        <v>95</v>
      </c>
      <c r="R98" s="27" t="str">
        <f t="shared" si="50"/>
        <v>04/12/2023</v>
      </c>
      <c r="S98" s="27">
        <f t="shared" si="50"/>
        <v>71430</v>
      </c>
      <c r="T98" s="4" t="str">
        <f t="shared" si="51"/>
        <v>A6</v>
      </c>
      <c r="V98">
        <v>95</v>
      </c>
      <c r="W98" s="28" t="str">
        <f t="shared" si="49"/>
        <v>04/12/2023</v>
      </c>
      <c r="X98" s="28">
        <f t="shared" si="49"/>
        <v>71430</v>
      </c>
      <c r="Y98" s="28" t="str">
        <f t="shared" si="49"/>
        <v>A6</v>
      </c>
      <c r="Z98" s="5" t="str">
        <f t="shared" si="60"/>
        <v>A6</v>
      </c>
      <c r="AA98" s="5" t="str">
        <f t="shared" si="61"/>
        <v>A6</v>
      </c>
      <c r="AG98" s="29" t="str">
        <f t="shared" si="52"/>
        <v>04/12/2023</v>
      </c>
      <c r="AH98" s="30">
        <f t="shared" si="52"/>
        <v>71430</v>
      </c>
      <c r="AI98" s="4" t="str">
        <f t="shared" si="53"/>
        <v>A6</v>
      </c>
      <c r="AJ98" s="5" t="str">
        <f t="shared" si="62"/>
        <v>A6</v>
      </c>
      <c r="AK98">
        <f t="shared" si="63"/>
        <v>73860.5</v>
      </c>
      <c r="AL98" t="str">
        <f t="shared" si="64"/>
        <v>A6</v>
      </c>
      <c r="AM98">
        <f t="shared" si="65"/>
        <v>73860.5</v>
      </c>
      <c r="AN98" s="6">
        <f t="shared" si="66"/>
        <v>490</v>
      </c>
      <c r="AO98">
        <f t="shared" si="67"/>
        <v>72685</v>
      </c>
      <c r="AP98">
        <f t="shared" si="90"/>
        <v>72195</v>
      </c>
      <c r="AQ98" s="33">
        <f t="shared" si="68"/>
        <v>72930</v>
      </c>
      <c r="AR98" s="33">
        <f t="shared" si="69"/>
        <v>71950</v>
      </c>
      <c r="AS98">
        <f t="shared" si="70"/>
        <v>72562.5</v>
      </c>
      <c r="AT98" s="5">
        <f t="shared" si="71"/>
        <v>72317.5</v>
      </c>
      <c r="AU98" s="5">
        <f t="shared" si="72"/>
        <v>73420</v>
      </c>
      <c r="AV98" s="5">
        <f t="shared" si="73"/>
        <v>71460</v>
      </c>
      <c r="AW98" s="5">
        <f t="shared" si="74"/>
        <v>72521.666666666672</v>
      </c>
      <c r="AX98" s="5">
        <f t="shared" si="75"/>
        <v>72358.333333333328</v>
      </c>
      <c r="AY98" s="5">
        <f t="shared" si="76"/>
        <v>73910</v>
      </c>
      <c r="AZ98" s="5">
        <f t="shared" si="77"/>
        <v>70970</v>
      </c>
      <c r="BB98" s="32" t="str">
        <f t="shared" si="54"/>
        <v>04/12/2023</v>
      </c>
      <c r="BC98" s="33">
        <f t="shared" si="54"/>
        <v>71430</v>
      </c>
      <c r="BD98" s="4" t="str">
        <f t="shared" si="54"/>
        <v>A6</v>
      </c>
      <c r="BE98">
        <f t="shared" si="78"/>
        <v>73272.75</v>
      </c>
      <c r="BF98">
        <f t="shared" si="79"/>
        <v>73027.75</v>
      </c>
      <c r="BG98">
        <f t="shared" si="80"/>
        <v>73395.25</v>
      </c>
      <c r="BH98">
        <f t="shared" si="81"/>
        <v>72905.25</v>
      </c>
      <c r="BI98">
        <f t="shared" si="82"/>
        <v>73211.5</v>
      </c>
      <c r="BJ98">
        <f t="shared" si="83"/>
        <v>73089</v>
      </c>
      <c r="BK98">
        <f t="shared" si="84"/>
        <v>73640.25</v>
      </c>
      <c r="BL98">
        <f t="shared" si="85"/>
        <v>72660.25</v>
      </c>
      <c r="BM98">
        <f t="shared" si="86"/>
        <v>73191.083333333343</v>
      </c>
      <c r="BN98">
        <f t="shared" si="87"/>
        <v>73109.416666666657</v>
      </c>
      <c r="BO98">
        <f t="shared" si="88"/>
        <v>73885.25</v>
      </c>
      <c r="BP98" s="38">
        <f t="shared" si="89"/>
        <v>72415.25</v>
      </c>
      <c r="BQ98" s="7">
        <f>BP98</f>
        <v>72415.25</v>
      </c>
      <c r="BS98" s="30">
        <f t="shared" si="55"/>
        <v>71430</v>
      </c>
      <c r="BT98" s="4">
        <f t="shared" si="56"/>
        <v>72415.25</v>
      </c>
      <c r="BU98" s="37">
        <f t="shared" si="57"/>
        <v>-985.25</v>
      </c>
      <c r="BV98">
        <f t="shared" si="58"/>
        <v>985.25</v>
      </c>
      <c r="BW98" s="35">
        <f t="shared" si="59"/>
        <v>1.379322413551729E-2</v>
      </c>
    </row>
    <row r="99" spans="1:75">
      <c r="A99" s="1" t="s">
        <v>100</v>
      </c>
      <c r="B99" s="1">
        <v>72750</v>
      </c>
      <c r="Q99">
        <v>96</v>
      </c>
      <c r="R99" s="27" t="str">
        <f t="shared" si="50"/>
        <v>05/12/2023</v>
      </c>
      <c r="S99" s="27">
        <f t="shared" si="50"/>
        <v>72580</v>
      </c>
      <c r="T99" s="4" t="str">
        <f t="shared" si="51"/>
        <v>A6</v>
      </c>
      <c r="V99">
        <v>96</v>
      </c>
      <c r="W99" s="28" t="str">
        <f t="shared" si="49"/>
        <v>05/12/2023</v>
      </c>
      <c r="X99" s="28">
        <f t="shared" si="49"/>
        <v>72580</v>
      </c>
      <c r="Y99" s="28" t="str">
        <f t="shared" si="49"/>
        <v>A6</v>
      </c>
      <c r="Z99" s="5" t="str">
        <f t="shared" si="60"/>
        <v>A6</v>
      </c>
      <c r="AA99" s="5" t="str">
        <f t="shared" si="61"/>
        <v>A6</v>
      </c>
      <c r="AG99" s="29" t="str">
        <f t="shared" si="52"/>
        <v>05/12/2023</v>
      </c>
      <c r="AH99" s="30">
        <f t="shared" si="52"/>
        <v>72580</v>
      </c>
      <c r="AI99" s="4" t="str">
        <f t="shared" si="53"/>
        <v>A6</v>
      </c>
      <c r="AJ99" s="5" t="str">
        <f t="shared" si="62"/>
        <v>A6</v>
      </c>
      <c r="AK99">
        <f t="shared" si="63"/>
        <v>73860.5</v>
      </c>
      <c r="AL99" t="str">
        <f t="shared" si="64"/>
        <v>A6</v>
      </c>
      <c r="AM99">
        <f t="shared" si="65"/>
        <v>73860.5</v>
      </c>
      <c r="AN99" s="6">
        <f t="shared" si="66"/>
        <v>780</v>
      </c>
      <c r="AO99">
        <f t="shared" si="67"/>
        <v>71820</v>
      </c>
      <c r="AP99">
        <f t="shared" si="90"/>
        <v>71040</v>
      </c>
      <c r="AQ99" s="33">
        <f t="shared" si="68"/>
        <v>72210</v>
      </c>
      <c r="AR99" s="33">
        <f t="shared" si="69"/>
        <v>70650</v>
      </c>
      <c r="AS99">
        <f t="shared" si="70"/>
        <v>71625</v>
      </c>
      <c r="AT99" s="5">
        <f t="shared" si="71"/>
        <v>71235</v>
      </c>
      <c r="AU99" s="5">
        <f t="shared" si="72"/>
        <v>72990</v>
      </c>
      <c r="AV99" s="5">
        <f t="shared" si="73"/>
        <v>69870</v>
      </c>
      <c r="AW99" s="5">
        <f t="shared" si="74"/>
        <v>71560</v>
      </c>
      <c r="AX99" s="5">
        <f t="shared" si="75"/>
        <v>71300</v>
      </c>
      <c r="AY99" s="5">
        <f t="shared" si="76"/>
        <v>73770</v>
      </c>
      <c r="AZ99" s="5">
        <f t="shared" si="77"/>
        <v>69090</v>
      </c>
      <c r="BB99" s="32" t="str">
        <f t="shared" si="54"/>
        <v>05/12/2023</v>
      </c>
      <c r="BC99" s="33">
        <f t="shared" si="54"/>
        <v>72580</v>
      </c>
      <c r="BD99" s="4" t="str">
        <f t="shared" si="54"/>
        <v>A6</v>
      </c>
      <c r="BE99">
        <f t="shared" si="78"/>
        <v>72840.25</v>
      </c>
      <c r="BF99">
        <f t="shared" si="79"/>
        <v>72450.25</v>
      </c>
      <c r="BG99">
        <f t="shared" si="80"/>
        <v>73035.25</v>
      </c>
      <c r="BH99">
        <f t="shared" si="81"/>
        <v>72255.25</v>
      </c>
      <c r="BI99">
        <f t="shared" si="82"/>
        <v>72742.75</v>
      </c>
      <c r="BJ99">
        <f t="shared" si="83"/>
        <v>72547.75</v>
      </c>
      <c r="BK99">
        <f t="shared" si="84"/>
        <v>73425.25</v>
      </c>
      <c r="BL99">
        <f t="shared" si="85"/>
        <v>71865.25</v>
      </c>
      <c r="BM99">
        <f t="shared" si="86"/>
        <v>72710.25</v>
      </c>
      <c r="BN99" s="38">
        <f t="shared" si="87"/>
        <v>72580.25</v>
      </c>
      <c r="BO99">
        <f t="shared" si="88"/>
        <v>73815.25</v>
      </c>
      <c r="BP99">
        <f t="shared" si="89"/>
        <v>71475.25</v>
      </c>
      <c r="BQ99" s="7">
        <f>BN99</f>
        <v>72580.25</v>
      </c>
      <c r="BS99" s="30">
        <f t="shared" si="55"/>
        <v>72580</v>
      </c>
      <c r="BT99" s="4">
        <f t="shared" si="56"/>
        <v>72580.25</v>
      </c>
      <c r="BU99" s="37">
        <f t="shared" si="57"/>
        <v>-0.25</v>
      </c>
      <c r="BV99">
        <f t="shared" si="58"/>
        <v>0.25</v>
      </c>
      <c r="BW99" s="35">
        <f t="shared" si="59"/>
        <v>3.4444750620005512E-6</v>
      </c>
    </row>
    <row r="100" spans="1:75">
      <c r="A100" s="1" t="s">
        <v>101</v>
      </c>
      <c r="B100" s="1">
        <v>74530</v>
      </c>
      <c r="Q100">
        <v>97</v>
      </c>
      <c r="R100" s="27" t="str">
        <f t="shared" si="50"/>
        <v>06/12/2023</v>
      </c>
      <c r="S100" s="27">
        <f t="shared" si="50"/>
        <v>72250</v>
      </c>
      <c r="T100" s="4" t="str">
        <f t="shared" si="51"/>
        <v>A6</v>
      </c>
      <c r="V100">
        <v>97</v>
      </c>
      <c r="W100" s="28" t="str">
        <f t="shared" si="49"/>
        <v>06/12/2023</v>
      </c>
      <c r="X100" s="28">
        <f t="shared" si="49"/>
        <v>72250</v>
      </c>
      <c r="Y100" s="28" t="str">
        <f t="shared" si="49"/>
        <v>A6</v>
      </c>
      <c r="Z100" s="5" t="str">
        <f t="shared" si="60"/>
        <v>A6</v>
      </c>
      <c r="AA100" s="5" t="str">
        <f t="shared" si="61"/>
        <v>A6</v>
      </c>
      <c r="AG100" s="29" t="str">
        <f t="shared" si="52"/>
        <v>06/12/2023</v>
      </c>
      <c r="AH100" s="30">
        <f t="shared" si="52"/>
        <v>72250</v>
      </c>
      <c r="AI100" s="4" t="str">
        <f t="shared" si="53"/>
        <v>A6</v>
      </c>
      <c r="AJ100" s="5" t="str">
        <f t="shared" si="62"/>
        <v>A6</v>
      </c>
      <c r="AK100">
        <f t="shared" si="63"/>
        <v>73860.5</v>
      </c>
      <c r="AL100" t="str">
        <f t="shared" si="64"/>
        <v>A6</v>
      </c>
      <c r="AM100">
        <f t="shared" si="65"/>
        <v>73860.5</v>
      </c>
      <c r="AN100" s="6">
        <f t="shared" si="66"/>
        <v>140</v>
      </c>
      <c r="AO100">
        <f t="shared" si="67"/>
        <v>72650</v>
      </c>
      <c r="AP100">
        <f t="shared" si="90"/>
        <v>72510</v>
      </c>
      <c r="AQ100" s="33">
        <f t="shared" si="68"/>
        <v>72720</v>
      </c>
      <c r="AR100" s="33">
        <f t="shared" si="69"/>
        <v>72440</v>
      </c>
      <c r="AS100">
        <f t="shared" si="70"/>
        <v>72615</v>
      </c>
      <c r="AT100" s="5">
        <f t="shared" si="71"/>
        <v>72545</v>
      </c>
      <c r="AU100" s="5">
        <f t="shared" si="72"/>
        <v>72860</v>
      </c>
      <c r="AV100" s="5">
        <f t="shared" si="73"/>
        <v>72300</v>
      </c>
      <c r="AW100" s="5">
        <f t="shared" si="74"/>
        <v>72603.333333333328</v>
      </c>
      <c r="AX100" s="5">
        <f t="shared" si="75"/>
        <v>72556.666666666672</v>
      </c>
      <c r="AY100" s="5">
        <f t="shared" si="76"/>
        <v>73000</v>
      </c>
      <c r="AZ100" s="5">
        <f t="shared" si="77"/>
        <v>72160</v>
      </c>
      <c r="BB100" s="32" t="str">
        <f t="shared" si="54"/>
        <v>06/12/2023</v>
      </c>
      <c r="BC100" s="33">
        <f t="shared" si="54"/>
        <v>72250</v>
      </c>
      <c r="BD100" s="4" t="str">
        <f t="shared" si="54"/>
        <v>A6</v>
      </c>
      <c r="BE100">
        <f t="shared" si="78"/>
        <v>73255.25</v>
      </c>
      <c r="BF100">
        <f t="shared" si="79"/>
        <v>73185.25</v>
      </c>
      <c r="BG100">
        <f t="shared" si="80"/>
        <v>73290.25</v>
      </c>
      <c r="BH100">
        <f t="shared" si="81"/>
        <v>73150.25</v>
      </c>
      <c r="BI100">
        <f t="shared" si="82"/>
        <v>73237.75</v>
      </c>
      <c r="BJ100">
        <f t="shared" si="83"/>
        <v>73202.75</v>
      </c>
      <c r="BK100">
        <f t="shared" si="84"/>
        <v>73360.25</v>
      </c>
      <c r="BL100">
        <f t="shared" si="85"/>
        <v>73080.25</v>
      </c>
      <c r="BM100">
        <f t="shared" si="86"/>
        <v>73231.916666666657</v>
      </c>
      <c r="BN100">
        <f t="shared" si="87"/>
        <v>73208.583333333343</v>
      </c>
      <c r="BO100">
        <f t="shared" si="88"/>
        <v>73430.25</v>
      </c>
      <c r="BP100" s="38">
        <f t="shared" si="89"/>
        <v>73010.25</v>
      </c>
      <c r="BQ100" s="7">
        <f>BP100</f>
        <v>73010.25</v>
      </c>
      <c r="BS100" s="30">
        <f t="shared" si="55"/>
        <v>72250</v>
      </c>
      <c r="BT100" s="4">
        <f t="shared" si="56"/>
        <v>73010.25</v>
      </c>
      <c r="BU100" s="37">
        <f t="shared" si="57"/>
        <v>-760.25</v>
      </c>
      <c r="BV100">
        <f t="shared" si="58"/>
        <v>760.25</v>
      </c>
      <c r="BW100" s="35">
        <f t="shared" si="59"/>
        <v>1.0522491349480969E-2</v>
      </c>
    </row>
    <row r="101" spans="1:75">
      <c r="A101" s="1" t="s">
        <v>102</v>
      </c>
      <c r="B101" s="1">
        <v>74980</v>
      </c>
      <c r="Q101">
        <v>98</v>
      </c>
      <c r="R101" s="27" t="str">
        <f t="shared" si="50"/>
        <v>07/12/2023</v>
      </c>
      <c r="S101" s="27">
        <f t="shared" si="50"/>
        <v>72750</v>
      </c>
      <c r="T101" s="4" t="str">
        <f t="shared" si="51"/>
        <v>A6</v>
      </c>
      <c r="V101">
        <v>98</v>
      </c>
      <c r="W101" s="28" t="str">
        <f t="shared" si="49"/>
        <v>07/12/2023</v>
      </c>
      <c r="X101" s="28">
        <f t="shared" si="49"/>
        <v>72750</v>
      </c>
      <c r="Y101" s="28" t="str">
        <f t="shared" si="49"/>
        <v>A6</v>
      </c>
      <c r="Z101" s="5" t="str">
        <f t="shared" si="60"/>
        <v>A6</v>
      </c>
      <c r="AA101" s="5" t="str">
        <f t="shared" si="61"/>
        <v>A6</v>
      </c>
      <c r="AG101" s="29" t="str">
        <f t="shared" si="52"/>
        <v>07/12/2023</v>
      </c>
      <c r="AH101" s="30">
        <f t="shared" si="52"/>
        <v>72750</v>
      </c>
      <c r="AI101" s="4" t="str">
        <f t="shared" si="53"/>
        <v>A6</v>
      </c>
      <c r="AJ101" s="5" t="str">
        <f t="shared" si="62"/>
        <v>A6</v>
      </c>
      <c r="AK101">
        <f t="shared" si="63"/>
        <v>73860.5</v>
      </c>
      <c r="AL101" t="str">
        <f t="shared" si="64"/>
        <v>A6</v>
      </c>
      <c r="AM101">
        <f t="shared" si="65"/>
        <v>73860.5</v>
      </c>
      <c r="AN101" s="6">
        <f t="shared" si="66"/>
        <v>820</v>
      </c>
      <c r="AO101">
        <f t="shared" si="67"/>
        <v>72660</v>
      </c>
      <c r="AP101">
        <f t="shared" si="90"/>
        <v>71840</v>
      </c>
      <c r="AQ101" s="33">
        <f t="shared" si="68"/>
        <v>73070</v>
      </c>
      <c r="AR101" s="33">
        <f t="shared" si="69"/>
        <v>71430</v>
      </c>
      <c r="AS101">
        <f t="shared" si="70"/>
        <v>72455</v>
      </c>
      <c r="AT101" s="5">
        <f t="shared" si="71"/>
        <v>72045</v>
      </c>
      <c r="AU101" s="5">
        <f t="shared" si="72"/>
        <v>73890</v>
      </c>
      <c r="AV101" s="5">
        <f t="shared" si="73"/>
        <v>70610</v>
      </c>
      <c r="AW101" s="5">
        <f t="shared" si="74"/>
        <v>72386.666666666672</v>
      </c>
      <c r="AX101" s="5">
        <f t="shared" si="75"/>
        <v>72113.333333333328</v>
      </c>
      <c r="AY101" s="5">
        <f t="shared" si="76"/>
        <v>74710</v>
      </c>
      <c r="AZ101" s="5">
        <f t="shared" si="77"/>
        <v>69790</v>
      </c>
      <c r="BB101" s="32" t="str">
        <f t="shared" si="54"/>
        <v>07/12/2023</v>
      </c>
      <c r="BC101" s="33">
        <f t="shared" si="54"/>
        <v>72750</v>
      </c>
      <c r="BD101" s="4" t="str">
        <f t="shared" si="54"/>
        <v>A6</v>
      </c>
      <c r="BE101">
        <f t="shared" si="78"/>
        <v>73260.25</v>
      </c>
      <c r="BF101" s="38">
        <f t="shared" si="79"/>
        <v>72850.25</v>
      </c>
      <c r="BG101">
        <f t="shared" si="80"/>
        <v>73465.25</v>
      </c>
      <c r="BH101">
        <f t="shared" si="81"/>
        <v>72645.25</v>
      </c>
      <c r="BI101">
        <f t="shared" si="82"/>
        <v>73157.75</v>
      </c>
      <c r="BJ101">
        <f t="shared" si="83"/>
        <v>72952.75</v>
      </c>
      <c r="BK101">
        <f t="shared" si="84"/>
        <v>73875.25</v>
      </c>
      <c r="BL101">
        <f t="shared" si="85"/>
        <v>72235.25</v>
      </c>
      <c r="BM101">
        <f t="shared" si="86"/>
        <v>73123.583333333343</v>
      </c>
      <c r="BN101">
        <f t="shared" si="87"/>
        <v>72986.916666666657</v>
      </c>
      <c r="BO101">
        <f t="shared" si="88"/>
        <v>74285.25</v>
      </c>
      <c r="BP101">
        <f t="shared" si="89"/>
        <v>71825.25</v>
      </c>
      <c r="BQ101" s="7">
        <f>BF101</f>
        <v>72850.25</v>
      </c>
      <c r="BS101" s="30">
        <f t="shared" si="55"/>
        <v>72750</v>
      </c>
      <c r="BT101" s="4">
        <f t="shared" si="56"/>
        <v>72850.25</v>
      </c>
      <c r="BU101" s="37">
        <f t="shared" si="57"/>
        <v>-100.25</v>
      </c>
      <c r="BV101">
        <f t="shared" si="58"/>
        <v>100.25</v>
      </c>
      <c r="BW101" s="35">
        <f t="shared" si="59"/>
        <v>1.3780068728522336E-3</v>
      </c>
    </row>
    <row r="102" spans="1:75">
      <c r="A102" s="1" t="s">
        <v>103</v>
      </c>
      <c r="B102" s="1">
        <v>75270</v>
      </c>
      <c r="Q102">
        <v>99</v>
      </c>
      <c r="R102" s="27" t="str">
        <f t="shared" si="50"/>
        <v>08/12/2023</v>
      </c>
      <c r="S102" s="27">
        <f t="shared" si="50"/>
        <v>74530</v>
      </c>
      <c r="T102" s="4" t="str">
        <f t="shared" si="51"/>
        <v>A6</v>
      </c>
      <c r="V102">
        <v>99</v>
      </c>
      <c r="W102" s="28" t="str">
        <f t="shared" si="49"/>
        <v>08/12/2023</v>
      </c>
      <c r="X102" s="28">
        <f t="shared" si="49"/>
        <v>74530</v>
      </c>
      <c r="Y102" s="28" t="str">
        <f t="shared" si="49"/>
        <v>A6</v>
      </c>
      <c r="Z102" s="5" t="str">
        <f t="shared" si="60"/>
        <v>A6</v>
      </c>
      <c r="AA102" s="5" t="str">
        <f t="shared" si="61"/>
        <v>A6</v>
      </c>
      <c r="AG102" s="29" t="str">
        <f t="shared" si="52"/>
        <v>08/12/2023</v>
      </c>
      <c r="AH102" s="30">
        <f t="shared" si="52"/>
        <v>74530</v>
      </c>
      <c r="AI102" s="4" t="str">
        <f t="shared" si="53"/>
        <v>A6</v>
      </c>
      <c r="AJ102" s="5" t="str">
        <f t="shared" si="62"/>
        <v>A6</v>
      </c>
      <c r="AK102">
        <f t="shared" si="63"/>
        <v>73860.5</v>
      </c>
      <c r="AL102" t="str">
        <f t="shared" si="64"/>
        <v>A6</v>
      </c>
      <c r="AM102">
        <f t="shared" si="65"/>
        <v>73860.5</v>
      </c>
      <c r="AN102" s="6">
        <f t="shared" si="66"/>
        <v>170</v>
      </c>
      <c r="AO102">
        <f t="shared" si="67"/>
        <v>72835</v>
      </c>
      <c r="AP102">
        <f t="shared" si="90"/>
        <v>72665</v>
      </c>
      <c r="AQ102" s="33">
        <f t="shared" si="68"/>
        <v>72920</v>
      </c>
      <c r="AR102" s="33">
        <f t="shared" si="69"/>
        <v>72580</v>
      </c>
      <c r="AS102">
        <f t="shared" si="70"/>
        <v>72792.5</v>
      </c>
      <c r="AT102" s="5">
        <f t="shared" si="71"/>
        <v>72707.5</v>
      </c>
      <c r="AU102" s="5">
        <f t="shared" si="72"/>
        <v>73090</v>
      </c>
      <c r="AV102" s="5">
        <f t="shared" si="73"/>
        <v>72410</v>
      </c>
      <c r="AW102" s="5">
        <f t="shared" si="74"/>
        <v>72778.333333333328</v>
      </c>
      <c r="AX102" s="5">
        <f t="shared" si="75"/>
        <v>72721.666666666672</v>
      </c>
      <c r="AY102" s="5">
        <f t="shared" si="76"/>
        <v>73260</v>
      </c>
      <c r="AZ102" s="5">
        <f t="shared" si="77"/>
        <v>72240</v>
      </c>
      <c r="BB102" s="32" t="str">
        <f t="shared" si="54"/>
        <v>08/12/2023</v>
      </c>
      <c r="BC102" s="33">
        <f t="shared" si="54"/>
        <v>74530</v>
      </c>
      <c r="BD102" s="4" t="str">
        <f t="shared" si="54"/>
        <v>A6</v>
      </c>
      <c r="BE102">
        <f t="shared" si="78"/>
        <v>73347.75</v>
      </c>
      <c r="BF102">
        <f t="shared" si="79"/>
        <v>73262.75</v>
      </c>
      <c r="BG102">
        <f t="shared" si="80"/>
        <v>73390.25</v>
      </c>
      <c r="BH102">
        <f t="shared" si="81"/>
        <v>73220.25</v>
      </c>
      <c r="BI102">
        <f t="shared" si="82"/>
        <v>73326.5</v>
      </c>
      <c r="BJ102">
        <f t="shared" si="83"/>
        <v>73284</v>
      </c>
      <c r="BK102">
        <f t="shared" si="84"/>
        <v>73475.25</v>
      </c>
      <c r="BL102">
        <f t="shared" si="85"/>
        <v>73135.25</v>
      </c>
      <c r="BM102">
        <f t="shared" si="86"/>
        <v>73319.416666666657</v>
      </c>
      <c r="BN102">
        <f t="shared" si="87"/>
        <v>73291.083333333343</v>
      </c>
      <c r="BO102" s="38">
        <f t="shared" si="88"/>
        <v>73560.25</v>
      </c>
      <c r="BP102">
        <f t="shared" si="89"/>
        <v>73050.25</v>
      </c>
      <c r="BQ102" s="7">
        <f>BO102</f>
        <v>73560.25</v>
      </c>
      <c r="BS102" s="30">
        <f t="shared" si="55"/>
        <v>74530</v>
      </c>
      <c r="BT102" s="4">
        <f t="shared" si="56"/>
        <v>73560.25</v>
      </c>
      <c r="BU102" s="37">
        <f t="shared" si="57"/>
        <v>969.75</v>
      </c>
      <c r="BV102">
        <f t="shared" si="58"/>
        <v>969.75</v>
      </c>
      <c r="BW102" s="35">
        <f t="shared" si="59"/>
        <v>1.3011538977592916E-2</v>
      </c>
    </row>
    <row r="103" spans="1:75">
      <c r="A103" s="1" t="s">
        <v>104</v>
      </c>
      <c r="B103" s="1">
        <v>71970</v>
      </c>
      <c r="Q103">
        <v>100</v>
      </c>
      <c r="R103" s="27" t="str">
        <f t="shared" si="50"/>
        <v>09/12/2023</v>
      </c>
      <c r="S103" s="27">
        <f t="shared" si="50"/>
        <v>74980</v>
      </c>
      <c r="T103" s="4" t="str">
        <f t="shared" si="51"/>
        <v>A6</v>
      </c>
      <c r="V103">
        <v>100</v>
      </c>
      <c r="W103" s="28" t="str">
        <f t="shared" si="49"/>
        <v>09/12/2023</v>
      </c>
      <c r="X103" s="28">
        <f t="shared" si="49"/>
        <v>74980</v>
      </c>
      <c r="Y103" s="28" t="str">
        <f t="shared" si="49"/>
        <v>A6</v>
      </c>
      <c r="Z103" s="5" t="str">
        <f t="shared" si="60"/>
        <v>A6</v>
      </c>
      <c r="AA103" s="5" t="str">
        <f t="shared" si="61"/>
        <v>A6</v>
      </c>
      <c r="AG103" s="29" t="str">
        <f t="shared" si="52"/>
        <v>09/12/2023</v>
      </c>
      <c r="AH103" s="30">
        <f t="shared" si="52"/>
        <v>74980</v>
      </c>
      <c r="AI103" s="4" t="str">
        <f t="shared" si="53"/>
        <v>A6</v>
      </c>
      <c r="AJ103" s="5" t="str">
        <f t="shared" si="62"/>
        <v>A6</v>
      </c>
      <c r="AK103">
        <f t="shared" si="63"/>
        <v>73860.5</v>
      </c>
      <c r="AL103" t="str">
        <f t="shared" si="64"/>
        <v>A6</v>
      </c>
      <c r="AM103">
        <f t="shared" si="65"/>
        <v>73860.5</v>
      </c>
      <c r="AN103" s="6">
        <f t="shared" si="66"/>
        <v>1280</v>
      </c>
      <c r="AO103">
        <f t="shared" si="67"/>
        <v>75170</v>
      </c>
      <c r="AP103">
        <f t="shared" si="90"/>
        <v>73890</v>
      </c>
      <c r="AQ103" s="33">
        <f t="shared" si="68"/>
        <v>75810</v>
      </c>
      <c r="AR103" s="33">
        <f t="shared" si="69"/>
        <v>73250</v>
      </c>
      <c r="AS103">
        <f t="shared" si="70"/>
        <v>74850</v>
      </c>
      <c r="AT103" s="5">
        <f t="shared" si="71"/>
        <v>74210</v>
      </c>
      <c r="AU103" s="5">
        <f t="shared" si="72"/>
        <v>77090</v>
      </c>
      <c r="AV103" s="5">
        <f t="shared" si="73"/>
        <v>71970</v>
      </c>
      <c r="AW103" s="5">
        <f t="shared" si="74"/>
        <v>74743.333333333328</v>
      </c>
      <c r="AX103" s="5">
        <f t="shared" si="75"/>
        <v>74316.666666666672</v>
      </c>
      <c r="AY103" s="5">
        <f t="shared" si="76"/>
        <v>78370</v>
      </c>
      <c r="AZ103" s="5">
        <f t="shared" si="77"/>
        <v>70690</v>
      </c>
      <c r="BB103" s="32" t="str">
        <f t="shared" si="54"/>
        <v>09/12/2023</v>
      </c>
      <c r="BC103" s="33">
        <f t="shared" si="54"/>
        <v>74980</v>
      </c>
      <c r="BD103" s="4" t="str">
        <f t="shared" si="54"/>
        <v>A6</v>
      </c>
      <c r="BE103">
        <f t="shared" si="78"/>
        <v>74515.25</v>
      </c>
      <c r="BF103">
        <f t="shared" si="79"/>
        <v>73875.25</v>
      </c>
      <c r="BG103" s="38">
        <f t="shared" si="80"/>
        <v>74835.25</v>
      </c>
      <c r="BH103">
        <f t="shared" si="81"/>
        <v>73555.25</v>
      </c>
      <c r="BI103">
        <f t="shared" si="82"/>
        <v>74355.25</v>
      </c>
      <c r="BJ103">
        <f t="shared" si="83"/>
        <v>74035.25</v>
      </c>
      <c r="BK103">
        <f t="shared" si="84"/>
        <v>75475.25</v>
      </c>
      <c r="BL103">
        <f t="shared" si="85"/>
        <v>72915.25</v>
      </c>
      <c r="BM103">
        <f t="shared" si="86"/>
        <v>74301.916666666657</v>
      </c>
      <c r="BN103">
        <f t="shared" si="87"/>
        <v>74088.583333333343</v>
      </c>
      <c r="BO103">
        <f t="shared" si="88"/>
        <v>76115.25</v>
      </c>
      <c r="BP103">
        <f t="shared" si="89"/>
        <v>72275.25</v>
      </c>
      <c r="BQ103" s="7">
        <f>BG103</f>
        <v>74835.25</v>
      </c>
      <c r="BS103" s="30">
        <f t="shared" si="55"/>
        <v>74980</v>
      </c>
      <c r="BT103" s="4">
        <f t="shared" si="56"/>
        <v>74835.25</v>
      </c>
      <c r="BU103" s="37">
        <f t="shared" si="57"/>
        <v>144.75</v>
      </c>
      <c r="BV103">
        <f t="shared" si="58"/>
        <v>144.75</v>
      </c>
      <c r="BW103" s="35">
        <f t="shared" si="59"/>
        <v>1.9305148039477193E-3</v>
      </c>
    </row>
    <row r="104" spans="1:75">
      <c r="A104" s="1" t="s">
        <v>105</v>
      </c>
      <c r="B104" s="1">
        <v>72260</v>
      </c>
      <c r="Q104">
        <v>101</v>
      </c>
      <c r="R104" s="27" t="str">
        <f t="shared" si="50"/>
        <v>10/12/2023</v>
      </c>
      <c r="S104" s="27">
        <f t="shared" si="50"/>
        <v>75270</v>
      </c>
      <c r="T104" s="4" t="str">
        <f t="shared" si="51"/>
        <v>A6</v>
      </c>
      <c r="V104">
        <v>101</v>
      </c>
      <c r="W104" s="28" t="str">
        <f t="shared" si="49"/>
        <v>10/12/2023</v>
      </c>
      <c r="X104" s="28">
        <f t="shared" si="49"/>
        <v>75270</v>
      </c>
      <c r="Y104" s="28" t="str">
        <f t="shared" si="49"/>
        <v>A6</v>
      </c>
      <c r="Z104" s="5" t="str">
        <f t="shared" si="60"/>
        <v>A6</v>
      </c>
      <c r="AA104" s="5" t="str">
        <f t="shared" si="61"/>
        <v>A6</v>
      </c>
      <c r="AG104" s="29" t="str">
        <f t="shared" si="52"/>
        <v>10/12/2023</v>
      </c>
      <c r="AH104" s="30">
        <f t="shared" si="52"/>
        <v>75270</v>
      </c>
      <c r="AI104" s="4" t="str">
        <f t="shared" si="53"/>
        <v>A6</v>
      </c>
      <c r="AJ104" s="5" t="str">
        <f t="shared" si="62"/>
        <v>A6</v>
      </c>
      <c r="AK104">
        <f t="shared" si="63"/>
        <v>73860.5</v>
      </c>
      <c r="AL104" t="str">
        <f t="shared" si="64"/>
        <v>A6</v>
      </c>
      <c r="AM104">
        <f t="shared" si="65"/>
        <v>73860.5</v>
      </c>
      <c r="AN104" s="6">
        <f t="shared" si="66"/>
        <v>1330</v>
      </c>
      <c r="AO104">
        <f t="shared" si="67"/>
        <v>75645</v>
      </c>
      <c r="AP104">
        <f t="shared" si="90"/>
        <v>74315</v>
      </c>
      <c r="AQ104" s="33">
        <f t="shared" si="68"/>
        <v>76310</v>
      </c>
      <c r="AR104" s="33">
        <f t="shared" si="69"/>
        <v>73650</v>
      </c>
      <c r="AS104">
        <f t="shared" si="70"/>
        <v>75312.5</v>
      </c>
      <c r="AT104" s="5">
        <f t="shared" si="71"/>
        <v>74647.5</v>
      </c>
      <c r="AU104" s="5">
        <f t="shared" si="72"/>
        <v>77640</v>
      </c>
      <c r="AV104" s="5">
        <f t="shared" si="73"/>
        <v>72320</v>
      </c>
      <c r="AW104" s="5">
        <f t="shared" si="74"/>
        <v>75201.666666666672</v>
      </c>
      <c r="AX104" s="5">
        <f t="shared" si="75"/>
        <v>74758.333333333328</v>
      </c>
      <c r="AY104" s="5">
        <f t="shared" si="76"/>
        <v>78970</v>
      </c>
      <c r="AZ104" s="5">
        <f t="shared" si="77"/>
        <v>70990</v>
      </c>
      <c r="BB104" s="32" t="str">
        <f t="shared" si="54"/>
        <v>10/12/2023</v>
      </c>
      <c r="BC104" s="33">
        <f t="shared" si="54"/>
        <v>75270</v>
      </c>
      <c r="BD104" s="4" t="str">
        <f t="shared" si="54"/>
        <v>A6</v>
      </c>
      <c r="BE104" s="38">
        <f t="shared" si="78"/>
        <v>74752.75</v>
      </c>
      <c r="BF104">
        <f t="shared" si="79"/>
        <v>74087.75</v>
      </c>
      <c r="BG104">
        <f t="shared" si="80"/>
        <v>75085.25</v>
      </c>
      <c r="BH104">
        <f t="shared" si="81"/>
        <v>73755.25</v>
      </c>
      <c r="BI104">
        <f t="shared" si="82"/>
        <v>74586.5</v>
      </c>
      <c r="BJ104">
        <f t="shared" si="83"/>
        <v>74254</v>
      </c>
      <c r="BK104">
        <f t="shared" si="84"/>
        <v>75750.25</v>
      </c>
      <c r="BL104">
        <f t="shared" si="85"/>
        <v>73090.25</v>
      </c>
      <c r="BM104">
        <f t="shared" si="86"/>
        <v>74531.083333333343</v>
      </c>
      <c r="BN104">
        <f t="shared" si="87"/>
        <v>74309.416666666657</v>
      </c>
      <c r="BO104">
        <f t="shared" si="88"/>
        <v>76415.25</v>
      </c>
      <c r="BP104">
        <f t="shared" si="89"/>
        <v>72425.25</v>
      </c>
      <c r="BQ104" s="7">
        <f>BE104</f>
        <v>74752.75</v>
      </c>
      <c r="BS104" s="30">
        <f t="shared" si="55"/>
        <v>75270</v>
      </c>
      <c r="BT104" s="4">
        <f t="shared" si="56"/>
        <v>74752.75</v>
      </c>
      <c r="BU104" s="37">
        <f t="shared" si="57"/>
        <v>517.25</v>
      </c>
      <c r="BV104">
        <f t="shared" si="58"/>
        <v>517.25</v>
      </c>
      <c r="BW104" s="35">
        <f t="shared" si="59"/>
        <v>6.8719277268500063E-3</v>
      </c>
    </row>
    <row r="105" spans="1:75">
      <c r="A105" s="1" t="s">
        <v>106</v>
      </c>
      <c r="B105" s="1">
        <v>67730</v>
      </c>
      <c r="Q105">
        <v>102</v>
      </c>
      <c r="R105" s="27" t="str">
        <f t="shared" si="50"/>
        <v>11/12/2023</v>
      </c>
      <c r="S105" s="27">
        <f t="shared" si="50"/>
        <v>71970</v>
      </c>
      <c r="T105" s="4" t="str">
        <f t="shared" si="51"/>
        <v>A6</v>
      </c>
      <c r="V105">
        <v>102</v>
      </c>
      <c r="W105" s="28" t="str">
        <f t="shared" si="49"/>
        <v>11/12/2023</v>
      </c>
      <c r="X105" s="28">
        <f t="shared" si="49"/>
        <v>71970</v>
      </c>
      <c r="Y105" s="28" t="str">
        <f t="shared" si="49"/>
        <v>A6</v>
      </c>
      <c r="Z105" s="5" t="str">
        <f t="shared" si="60"/>
        <v>A6</v>
      </c>
      <c r="AA105" s="5" t="str">
        <f t="shared" si="61"/>
        <v>A6</v>
      </c>
      <c r="AG105" s="29" t="str">
        <f t="shared" si="52"/>
        <v>11/12/2023</v>
      </c>
      <c r="AH105" s="30">
        <f t="shared" si="52"/>
        <v>71970</v>
      </c>
      <c r="AI105" s="4" t="str">
        <f t="shared" si="53"/>
        <v>A6</v>
      </c>
      <c r="AJ105" s="5" t="str">
        <f t="shared" si="62"/>
        <v>A6</v>
      </c>
      <c r="AK105">
        <f t="shared" si="63"/>
        <v>73860.5</v>
      </c>
      <c r="AL105" t="str">
        <f t="shared" si="64"/>
        <v>A6</v>
      </c>
      <c r="AM105">
        <f t="shared" si="65"/>
        <v>73860.5</v>
      </c>
      <c r="AN105" s="6">
        <f t="shared" si="66"/>
        <v>160</v>
      </c>
      <c r="AO105">
        <f t="shared" si="67"/>
        <v>75350</v>
      </c>
      <c r="AP105">
        <f t="shared" si="90"/>
        <v>75190</v>
      </c>
      <c r="AQ105" s="33">
        <f t="shared" si="68"/>
        <v>75430</v>
      </c>
      <c r="AR105" s="33">
        <f t="shared" si="69"/>
        <v>75110</v>
      </c>
      <c r="AS105">
        <f t="shared" si="70"/>
        <v>75310</v>
      </c>
      <c r="AT105" s="5">
        <f t="shared" si="71"/>
        <v>75230</v>
      </c>
      <c r="AU105" s="5">
        <f t="shared" si="72"/>
        <v>75590</v>
      </c>
      <c r="AV105" s="5">
        <f t="shared" si="73"/>
        <v>74950</v>
      </c>
      <c r="AW105" s="5">
        <f t="shared" si="74"/>
        <v>75296.666666666672</v>
      </c>
      <c r="AX105" s="5">
        <f t="shared" si="75"/>
        <v>75243.333333333328</v>
      </c>
      <c r="AY105" s="5">
        <f t="shared" si="76"/>
        <v>75750</v>
      </c>
      <c r="AZ105" s="5">
        <f t="shared" si="77"/>
        <v>74790</v>
      </c>
      <c r="BB105" s="32" t="str">
        <f t="shared" si="54"/>
        <v>11/12/2023</v>
      </c>
      <c r="BC105" s="33">
        <f t="shared" si="54"/>
        <v>71970</v>
      </c>
      <c r="BD105" s="4" t="str">
        <f t="shared" si="54"/>
        <v>A6</v>
      </c>
      <c r="BE105">
        <f t="shared" si="78"/>
        <v>74605.25</v>
      </c>
      <c r="BF105">
        <f t="shared" si="79"/>
        <v>74525.25</v>
      </c>
      <c r="BG105">
        <f t="shared" si="80"/>
        <v>74645.25</v>
      </c>
      <c r="BH105">
        <f t="shared" si="81"/>
        <v>74485.25</v>
      </c>
      <c r="BI105">
        <f t="shared" si="82"/>
        <v>74585.25</v>
      </c>
      <c r="BJ105">
        <f t="shared" si="83"/>
        <v>74545.25</v>
      </c>
      <c r="BK105">
        <f t="shared" si="84"/>
        <v>74725.25</v>
      </c>
      <c r="BL105">
        <f t="shared" si="85"/>
        <v>74405.25</v>
      </c>
      <c r="BM105">
        <f t="shared" si="86"/>
        <v>74578.583333333343</v>
      </c>
      <c r="BN105">
        <f t="shared" si="87"/>
        <v>74551.916666666657</v>
      </c>
      <c r="BO105">
        <f t="shared" si="88"/>
        <v>74805.25</v>
      </c>
      <c r="BP105" s="38">
        <f t="shared" si="89"/>
        <v>74325.25</v>
      </c>
      <c r="BQ105" s="7">
        <f>BP105</f>
        <v>74325.25</v>
      </c>
      <c r="BS105" s="30">
        <f t="shared" si="55"/>
        <v>71970</v>
      </c>
      <c r="BT105" s="4">
        <f t="shared" si="56"/>
        <v>74325.25</v>
      </c>
      <c r="BU105" s="37">
        <f t="shared" si="57"/>
        <v>-2355.25</v>
      </c>
      <c r="BV105">
        <f t="shared" si="58"/>
        <v>2355.25</v>
      </c>
      <c r="BW105" s="35">
        <f t="shared" si="59"/>
        <v>3.272544115603724E-2</v>
      </c>
    </row>
    <row r="106" spans="1:75">
      <c r="A106" s="1" t="s">
        <v>107</v>
      </c>
      <c r="B106" s="1">
        <v>69550</v>
      </c>
      <c r="Q106">
        <v>103</v>
      </c>
      <c r="R106" s="27" t="str">
        <f t="shared" si="50"/>
        <v>12/12/2023</v>
      </c>
      <c r="S106" s="27">
        <f t="shared" si="50"/>
        <v>72260</v>
      </c>
      <c r="T106" s="4" t="str">
        <f t="shared" si="51"/>
        <v>A6</v>
      </c>
      <c r="V106">
        <v>103</v>
      </c>
      <c r="W106" s="28" t="str">
        <f t="shared" si="49"/>
        <v>12/12/2023</v>
      </c>
      <c r="X106" s="28">
        <f t="shared" si="49"/>
        <v>72260</v>
      </c>
      <c r="Y106" s="28" t="str">
        <f t="shared" si="49"/>
        <v>A6</v>
      </c>
      <c r="Z106" s="5" t="str">
        <f t="shared" si="60"/>
        <v>A6</v>
      </c>
      <c r="AA106" s="5" t="str">
        <f t="shared" si="61"/>
        <v>A6</v>
      </c>
      <c r="AG106" s="29" t="str">
        <f t="shared" si="52"/>
        <v>12/12/2023</v>
      </c>
      <c r="AH106" s="30">
        <f t="shared" si="52"/>
        <v>72260</v>
      </c>
      <c r="AI106" s="4" t="str">
        <f t="shared" si="53"/>
        <v>A6</v>
      </c>
      <c r="AJ106" s="5" t="str">
        <f t="shared" si="62"/>
        <v>A6</v>
      </c>
      <c r="AK106">
        <f t="shared" si="63"/>
        <v>73860.5</v>
      </c>
      <c r="AL106" t="str">
        <f t="shared" si="64"/>
        <v>A6</v>
      </c>
      <c r="AM106">
        <f t="shared" si="65"/>
        <v>73860.5</v>
      </c>
      <c r="AN106" s="6">
        <f t="shared" si="66"/>
        <v>3010</v>
      </c>
      <c r="AO106">
        <f t="shared" si="67"/>
        <v>73475</v>
      </c>
      <c r="AP106">
        <f t="shared" si="90"/>
        <v>70465</v>
      </c>
      <c r="AQ106" s="33">
        <f t="shared" si="68"/>
        <v>74980</v>
      </c>
      <c r="AR106" s="33">
        <f t="shared" si="69"/>
        <v>68960</v>
      </c>
      <c r="AS106">
        <f t="shared" si="70"/>
        <v>72722.5</v>
      </c>
      <c r="AT106" s="5">
        <f t="shared" si="71"/>
        <v>71217.5</v>
      </c>
      <c r="AU106" s="5">
        <f t="shared" si="72"/>
        <v>77990</v>
      </c>
      <c r="AV106" s="5">
        <f t="shared" si="73"/>
        <v>65950</v>
      </c>
      <c r="AW106" s="5">
        <f t="shared" si="74"/>
        <v>72471.666666666672</v>
      </c>
      <c r="AX106" s="5">
        <f t="shared" si="75"/>
        <v>71468.333333333328</v>
      </c>
      <c r="AY106" s="5">
        <f t="shared" si="76"/>
        <v>81000</v>
      </c>
      <c r="AZ106" s="5">
        <f t="shared" si="77"/>
        <v>62940</v>
      </c>
      <c r="BB106" s="32" t="str">
        <f t="shared" si="54"/>
        <v>12/12/2023</v>
      </c>
      <c r="BC106" s="33">
        <f t="shared" si="54"/>
        <v>72260</v>
      </c>
      <c r="BD106" s="4" t="str">
        <f t="shared" si="54"/>
        <v>A6</v>
      </c>
      <c r="BE106">
        <f t="shared" si="78"/>
        <v>73667.75</v>
      </c>
      <c r="BF106" s="38">
        <f t="shared" si="79"/>
        <v>72162.75</v>
      </c>
      <c r="BG106">
        <f t="shared" si="80"/>
        <v>74420.25</v>
      </c>
      <c r="BH106">
        <f t="shared" si="81"/>
        <v>71410.25</v>
      </c>
      <c r="BI106">
        <f t="shared" si="82"/>
        <v>73291.5</v>
      </c>
      <c r="BJ106" s="40">
        <f t="shared" si="83"/>
        <v>72539</v>
      </c>
      <c r="BK106">
        <f t="shared" si="84"/>
        <v>75925.25</v>
      </c>
      <c r="BL106">
        <f t="shared" si="85"/>
        <v>69905.25</v>
      </c>
      <c r="BM106">
        <f t="shared" si="86"/>
        <v>73166.083333333343</v>
      </c>
      <c r="BN106">
        <f t="shared" si="87"/>
        <v>72664.416666666657</v>
      </c>
      <c r="BO106">
        <f t="shared" si="88"/>
        <v>77430.25</v>
      </c>
      <c r="BP106">
        <f t="shared" si="89"/>
        <v>68400.25</v>
      </c>
      <c r="BQ106" s="7">
        <f>BF106</f>
        <v>72162.75</v>
      </c>
      <c r="BS106" s="30">
        <f t="shared" si="55"/>
        <v>72260</v>
      </c>
      <c r="BT106" s="4">
        <f t="shared" si="56"/>
        <v>72162.75</v>
      </c>
      <c r="BU106" s="37">
        <f t="shared" si="57"/>
        <v>97.25</v>
      </c>
      <c r="BV106">
        <f t="shared" si="58"/>
        <v>97.25</v>
      </c>
      <c r="BW106" s="35">
        <f t="shared" si="59"/>
        <v>1.3458344865762523E-3</v>
      </c>
    </row>
    <row r="107" spans="1:75">
      <c r="A107" s="1" t="s">
        <v>108</v>
      </c>
      <c r="B107" s="1">
        <v>70230</v>
      </c>
      <c r="Q107">
        <v>104</v>
      </c>
      <c r="R107" s="27" t="str">
        <f t="shared" si="50"/>
        <v>13/12/2023</v>
      </c>
      <c r="S107" s="27">
        <f t="shared" si="50"/>
        <v>67730</v>
      </c>
      <c r="T107" s="4" t="str">
        <f t="shared" si="51"/>
        <v>A5</v>
      </c>
      <c r="V107">
        <v>104</v>
      </c>
      <c r="W107" s="28" t="str">
        <f t="shared" si="49"/>
        <v>13/12/2023</v>
      </c>
      <c r="X107" s="28">
        <f t="shared" si="49"/>
        <v>67730</v>
      </c>
      <c r="Y107" s="28" t="str">
        <f t="shared" si="49"/>
        <v>A5</v>
      </c>
      <c r="Z107" s="5" t="str">
        <f t="shared" si="60"/>
        <v>A6</v>
      </c>
      <c r="AA107" s="5" t="str">
        <f t="shared" si="61"/>
        <v>A6</v>
      </c>
      <c r="AG107" s="29" t="str">
        <f t="shared" si="52"/>
        <v>13/12/2023</v>
      </c>
      <c r="AH107" s="30">
        <f t="shared" si="52"/>
        <v>67730</v>
      </c>
      <c r="AI107" s="4" t="str">
        <f t="shared" si="53"/>
        <v>A5</v>
      </c>
      <c r="AJ107" s="5" t="str">
        <f t="shared" si="62"/>
        <v>A6</v>
      </c>
      <c r="AK107">
        <f t="shared" si="63"/>
        <v>73860.5</v>
      </c>
      <c r="AL107" t="str">
        <f t="shared" si="64"/>
        <v>A6</v>
      </c>
      <c r="AM107">
        <f t="shared" si="65"/>
        <v>73860.5</v>
      </c>
      <c r="AN107" s="6">
        <f t="shared" si="66"/>
        <v>3010</v>
      </c>
      <c r="AO107">
        <f t="shared" si="67"/>
        <v>73765</v>
      </c>
      <c r="AP107">
        <f t="shared" si="90"/>
        <v>70755</v>
      </c>
      <c r="AQ107" s="33">
        <f t="shared" si="68"/>
        <v>75270</v>
      </c>
      <c r="AR107" s="33">
        <f t="shared" si="69"/>
        <v>69250</v>
      </c>
      <c r="AS107">
        <f t="shared" si="70"/>
        <v>73012.5</v>
      </c>
      <c r="AT107" s="5">
        <f t="shared" si="71"/>
        <v>71507.5</v>
      </c>
      <c r="AU107" s="5">
        <f t="shared" si="72"/>
        <v>78280</v>
      </c>
      <c r="AV107" s="5">
        <f t="shared" si="73"/>
        <v>66240</v>
      </c>
      <c r="AW107" s="5">
        <f t="shared" si="74"/>
        <v>72761.666666666672</v>
      </c>
      <c r="AX107" s="5">
        <f t="shared" si="75"/>
        <v>71758.333333333328</v>
      </c>
      <c r="AY107" s="5">
        <f t="shared" si="76"/>
        <v>81290</v>
      </c>
      <c r="AZ107" s="5">
        <f t="shared" si="77"/>
        <v>63230</v>
      </c>
      <c r="BB107" s="32" t="str">
        <f t="shared" si="54"/>
        <v>13/12/2023</v>
      </c>
      <c r="BC107" s="33">
        <f t="shared" si="54"/>
        <v>67730</v>
      </c>
      <c r="BD107" s="4" t="str">
        <f t="shared" si="54"/>
        <v>A5</v>
      </c>
      <c r="BE107">
        <f t="shared" si="78"/>
        <v>73812.75</v>
      </c>
      <c r="BF107" s="40">
        <f t="shared" si="79"/>
        <v>72307.75</v>
      </c>
      <c r="BG107">
        <f t="shared" si="80"/>
        <v>74565.25</v>
      </c>
      <c r="BH107">
        <f t="shared" si="81"/>
        <v>71555.25</v>
      </c>
      <c r="BI107">
        <f t="shared" si="82"/>
        <v>73436.5</v>
      </c>
      <c r="BJ107">
        <f t="shared" si="83"/>
        <v>72684</v>
      </c>
      <c r="BK107">
        <f t="shared" si="84"/>
        <v>76070.25</v>
      </c>
      <c r="BL107">
        <f t="shared" si="85"/>
        <v>70050.25</v>
      </c>
      <c r="BM107">
        <f t="shared" si="86"/>
        <v>73311.083333333343</v>
      </c>
      <c r="BN107">
        <f t="shared" si="87"/>
        <v>72809.416666666657</v>
      </c>
      <c r="BO107">
        <f t="shared" si="88"/>
        <v>77575.25</v>
      </c>
      <c r="BP107" s="38">
        <f t="shared" si="89"/>
        <v>68545.25</v>
      </c>
      <c r="BQ107" s="7">
        <f>BP107</f>
        <v>68545.25</v>
      </c>
      <c r="BS107" s="30">
        <f t="shared" si="55"/>
        <v>67730</v>
      </c>
      <c r="BT107" s="4">
        <f t="shared" si="56"/>
        <v>68545.25</v>
      </c>
      <c r="BU107" s="37">
        <f t="shared" si="57"/>
        <v>-815.25</v>
      </c>
      <c r="BV107">
        <f t="shared" si="58"/>
        <v>815.25</v>
      </c>
      <c r="BW107" s="35">
        <f t="shared" si="59"/>
        <v>1.2036763620256902E-2</v>
      </c>
    </row>
    <row r="108" spans="1:75">
      <c r="A108" s="1" t="s">
        <v>109</v>
      </c>
      <c r="B108" s="1">
        <v>69080</v>
      </c>
      <c r="Q108">
        <v>105</v>
      </c>
      <c r="R108" s="27" t="str">
        <f t="shared" si="50"/>
        <v>14/12/2023</v>
      </c>
      <c r="S108" s="27">
        <f t="shared" si="50"/>
        <v>69550</v>
      </c>
      <c r="T108" s="4" t="str">
        <f t="shared" si="51"/>
        <v>A5</v>
      </c>
      <c r="V108">
        <v>105</v>
      </c>
      <c r="W108" s="28" t="str">
        <f t="shared" si="49"/>
        <v>14/12/2023</v>
      </c>
      <c r="X108" s="28">
        <f t="shared" si="49"/>
        <v>69550</v>
      </c>
      <c r="Y108" s="28" t="str">
        <f t="shared" si="49"/>
        <v>A5</v>
      </c>
      <c r="Z108" s="5" t="str">
        <f t="shared" si="60"/>
        <v>A6</v>
      </c>
      <c r="AA108" s="5" t="str">
        <f t="shared" si="61"/>
        <v>A5</v>
      </c>
      <c r="AG108" s="29" t="str">
        <f t="shared" si="52"/>
        <v>14/12/2023</v>
      </c>
      <c r="AH108" s="30">
        <f t="shared" si="52"/>
        <v>69550</v>
      </c>
      <c r="AI108" s="4" t="str">
        <f t="shared" si="53"/>
        <v>A5</v>
      </c>
      <c r="AJ108" s="5" t="str">
        <f t="shared" si="62"/>
        <v>A6</v>
      </c>
      <c r="AK108">
        <f t="shared" si="63"/>
        <v>73860.5</v>
      </c>
      <c r="AL108" t="str">
        <f t="shared" si="64"/>
        <v>A5</v>
      </c>
      <c r="AM108">
        <f t="shared" si="65"/>
        <v>67829.5</v>
      </c>
      <c r="AN108" s="6">
        <f t="shared" si="66"/>
        <v>4240</v>
      </c>
      <c r="AO108">
        <f t="shared" si="67"/>
        <v>69850</v>
      </c>
      <c r="AP108">
        <f t="shared" si="90"/>
        <v>65610</v>
      </c>
      <c r="AQ108" s="33">
        <f t="shared" si="68"/>
        <v>71970</v>
      </c>
      <c r="AR108" s="33">
        <f t="shared" si="69"/>
        <v>63490</v>
      </c>
      <c r="AS108">
        <f t="shared" si="70"/>
        <v>68790</v>
      </c>
      <c r="AT108" s="5">
        <f t="shared" si="71"/>
        <v>66670</v>
      </c>
      <c r="AU108" s="5">
        <f t="shared" si="72"/>
        <v>76210</v>
      </c>
      <c r="AV108" s="5">
        <f t="shared" si="73"/>
        <v>59250</v>
      </c>
      <c r="AW108" s="5">
        <f t="shared" si="74"/>
        <v>68436.666666666672</v>
      </c>
      <c r="AX108" s="5">
        <f t="shared" si="75"/>
        <v>67023.333333333328</v>
      </c>
      <c r="AY108" s="5">
        <f t="shared" si="76"/>
        <v>80450</v>
      </c>
      <c r="AZ108" s="5">
        <f t="shared" si="77"/>
        <v>55010</v>
      </c>
      <c r="BB108" s="32" t="str">
        <f t="shared" si="54"/>
        <v>14/12/2023</v>
      </c>
      <c r="BC108" s="33">
        <f t="shared" si="54"/>
        <v>69550</v>
      </c>
      <c r="BD108" s="4" t="str">
        <f t="shared" si="54"/>
        <v>A5</v>
      </c>
      <c r="BE108">
        <f t="shared" si="78"/>
        <v>68839.75</v>
      </c>
      <c r="BF108">
        <f t="shared" si="79"/>
        <v>66719.75</v>
      </c>
      <c r="BG108" s="38">
        <f t="shared" si="80"/>
        <v>69899.75</v>
      </c>
      <c r="BH108">
        <f t="shared" si="81"/>
        <v>65659.75</v>
      </c>
      <c r="BI108">
        <f t="shared" si="82"/>
        <v>68309.75</v>
      </c>
      <c r="BJ108">
        <f t="shared" si="83"/>
        <v>67249.75</v>
      </c>
      <c r="BK108">
        <f t="shared" si="84"/>
        <v>72019.75</v>
      </c>
      <c r="BL108">
        <f t="shared" si="85"/>
        <v>63539.75</v>
      </c>
      <c r="BM108">
        <f t="shared" si="86"/>
        <v>68133.083333333343</v>
      </c>
      <c r="BN108">
        <f t="shared" si="87"/>
        <v>67426.416666666657</v>
      </c>
      <c r="BO108">
        <f t="shared" si="88"/>
        <v>74139.75</v>
      </c>
      <c r="BP108">
        <f t="shared" si="89"/>
        <v>61419.75</v>
      </c>
      <c r="BQ108" s="7">
        <f>BG108</f>
        <v>69899.75</v>
      </c>
      <c r="BS108" s="30">
        <f t="shared" si="55"/>
        <v>69550</v>
      </c>
      <c r="BT108" s="4">
        <f t="shared" si="56"/>
        <v>69899.75</v>
      </c>
      <c r="BU108" s="37">
        <f t="shared" si="57"/>
        <v>-349.75</v>
      </c>
      <c r="BV108">
        <f t="shared" si="58"/>
        <v>349.75</v>
      </c>
      <c r="BW108" s="35">
        <f t="shared" si="59"/>
        <v>5.0287562904385331E-3</v>
      </c>
    </row>
    <row r="109" spans="1:75">
      <c r="A109" s="1" t="s">
        <v>110</v>
      </c>
      <c r="B109" s="1">
        <v>67830</v>
      </c>
      <c r="Q109">
        <v>106</v>
      </c>
      <c r="R109" s="27" t="str">
        <f t="shared" si="50"/>
        <v>15/12/2023</v>
      </c>
      <c r="S109" s="27">
        <f t="shared" si="50"/>
        <v>70230</v>
      </c>
      <c r="T109" s="4" t="str">
        <f t="shared" si="51"/>
        <v>A5</v>
      </c>
      <c r="V109">
        <v>106</v>
      </c>
      <c r="W109" s="28" t="str">
        <f t="shared" si="49"/>
        <v>15/12/2023</v>
      </c>
      <c r="X109" s="28">
        <f t="shared" si="49"/>
        <v>70230</v>
      </c>
      <c r="Y109" s="28" t="str">
        <f t="shared" si="49"/>
        <v>A5</v>
      </c>
      <c r="Z109" s="5" t="str">
        <f t="shared" si="60"/>
        <v>A5</v>
      </c>
      <c r="AA109" s="5" t="str">
        <f t="shared" si="61"/>
        <v>A5</v>
      </c>
      <c r="AG109" s="29" t="str">
        <f t="shared" si="52"/>
        <v>15/12/2023</v>
      </c>
      <c r="AH109" s="30">
        <f t="shared" si="52"/>
        <v>70230</v>
      </c>
      <c r="AI109" s="4" t="str">
        <f t="shared" si="53"/>
        <v>A5</v>
      </c>
      <c r="AJ109" s="5" t="str">
        <f t="shared" si="62"/>
        <v>A5</v>
      </c>
      <c r="AK109">
        <f t="shared" si="63"/>
        <v>67829.5</v>
      </c>
      <c r="AL109" t="str">
        <f t="shared" si="64"/>
        <v>A5</v>
      </c>
      <c r="AM109">
        <f t="shared" si="65"/>
        <v>67829.5</v>
      </c>
      <c r="AN109" s="6">
        <f t="shared" si="66"/>
        <v>2710</v>
      </c>
      <c r="AO109">
        <f t="shared" si="67"/>
        <v>70905</v>
      </c>
      <c r="AP109">
        <f t="shared" si="90"/>
        <v>68195</v>
      </c>
      <c r="AQ109" s="33">
        <f t="shared" si="68"/>
        <v>72260</v>
      </c>
      <c r="AR109" s="33">
        <f t="shared" si="69"/>
        <v>66840</v>
      </c>
      <c r="AS109">
        <f t="shared" si="70"/>
        <v>70227.5</v>
      </c>
      <c r="AT109" s="5">
        <f t="shared" si="71"/>
        <v>68872.5</v>
      </c>
      <c r="AU109" s="5">
        <f t="shared" si="72"/>
        <v>74970</v>
      </c>
      <c r="AV109" s="5">
        <f t="shared" si="73"/>
        <v>64130</v>
      </c>
      <c r="AW109" s="5">
        <f t="shared" si="74"/>
        <v>70001.666666666672</v>
      </c>
      <c r="AX109" s="5">
        <f t="shared" si="75"/>
        <v>69098.333333333328</v>
      </c>
      <c r="AY109" s="5">
        <f t="shared" si="76"/>
        <v>77680</v>
      </c>
      <c r="AZ109" s="5">
        <f t="shared" si="77"/>
        <v>61420</v>
      </c>
      <c r="BB109" s="32" t="str">
        <f t="shared" si="54"/>
        <v>15/12/2023</v>
      </c>
      <c r="BC109" s="33">
        <f t="shared" si="54"/>
        <v>70230</v>
      </c>
      <c r="BD109" s="4" t="str">
        <f t="shared" si="54"/>
        <v>A5</v>
      </c>
      <c r="BE109">
        <f t="shared" si="78"/>
        <v>69367.25</v>
      </c>
      <c r="BF109">
        <f t="shared" si="79"/>
        <v>68012.25</v>
      </c>
      <c r="BG109" s="38">
        <f t="shared" si="80"/>
        <v>70044.75</v>
      </c>
      <c r="BH109">
        <f t="shared" si="81"/>
        <v>67334.75</v>
      </c>
      <c r="BI109">
        <f t="shared" si="82"/>
        <v>69028.5</v>
      </c>
      <c r="BJ109">
        <f t="shared" si="83"/>
        <v>68351</v>
      </c>
      <c r="BK109">
        <f t="shared" si="84"/>
        <v>71399.75</v>
      </c>
      <c r="BL109">
        <f t="shared" si="85"/>
        <v>65979.75</v>
      </c>
      <c r="BM109">
        <f t="shared" si="86"/>
        <v>68915.583333333343</v>
      </c>
      <c r="BN109">
        <f t="shared" si="87"/>
        <v>68463.916666666657</v>
      </c>
      <c r="BO109">
        <f t="shared" si="88"/>
        <v>72754.75</v>
      </c>
      <c r="BP109">
        <f t="shared" si="89"/>
        <v>64624.75</v>
      </c>
      <c r="BQ109" s="7">
        <f>BG109</f>
        <v>70044.75</v>
      </c>
      <c r="BS109" s="30">
        <f t="shared" si="55"/>
        <v>70230</v>
      </c>
      <c r="BT109" s="4">
        <f t="shared" si="56"/>
        <v>70044.75</v>
      </c>
      <c r="BU109" s="37">
        <f t="shared" si="57"/>
        <v>185.25</v>
      </c>
      <c r="BV109">
        <f t="shared" si="58"/>
        <v>185.25</v>
      </c>
      <c r="BW109" s="35">
        <f t="shared" si="59"/>
        <v>2.6377616403246477E-3</v>
      </c>
    </row>
    <row r="110" spans="1:75">
      <c r="A110" s="1" t="s">
        <v>111</v>
      </c>
      <c r="B110" s="1">
        <v>66110</v>
      </c>
      <c r="Q110">
        <v>107</v>
      </c>
      <c r="R110" s="27" t="str">
        <f t="shared" si="50"/>
        <v>16/12/2023</v>
      </c>
      <c r="S110" s="27">
        <f t="shared" si="50"/>
        <v>69080</v>
      </c>
      <c r="T110" s="4" t="str">
        <f t="shared" si="51"/>
        <v>A5</v>
      </c>
      <c r="V110">
        <v>107</v>
      </c>
      <c r="W110" s="28" t="str">
        <f t="shared" si="49"/>
        <v>16/12/2023</v>
      </c>
      <c r="X110" s="28">
        <f t="shared" si="49"/>
        <v>69080</v>
      </c>
      <c r="Y110" s="28" t="str">
        <f t="shared" si="49"/>
        <v>A5</v>
      </c>
      <c r="Z110" s="5" t="str">
        <f t="shared" si="60"/>
        <v>A5</v>
      </c>
      <c r="AA110" s="5" t="str">
        <f t="shared" si="61"/>
        <v>A5</v>
      </c>
      <c r="AG110" s="29" t="str">
        <f t="shared" si="52"/>
        <v>16/12/2023</v>
      </c>
      <c r="AH110" s="30">
        <f t="shared" si="52"/>
        <v>69080</v>
      </c>
      <c r="AI110" s="4" t="str">
        <f t="shared" si="53"/>
        <v>A5</v>
      </c>
      <c r="AJ110" s="5" t="str">
        <f t="shared" si="62"/>
        <v>A5</v>
      </c>
      <c r="AK110">
        <f t="shared" si="63"/>
        <v>67829.5</v>
      </c>
      <c r="AL110" t="str">
        <f t="shared" si="64"/>
        <v>A5</v>
      </c>
      <c r="AM110">
        <f t="shared" si="65"/>
        <v>67829.5</v>
      </c>
      <c r="AN110" s="6">
        <f t="shared" si="66"/>
        <v>1140</v>
      </c>
      <c r="AO110">
        <f t="shared" si="67"/>
        <v>70800</v>
      </c>
      <c r="AP110">
        <f t="shared" si="90"/>
        <v>69660</v>
      </c>
      <c r="AQ110" s="33">
        <f t="shared" si="68"/>
        <v>71370</v>
      </c>
      <c r="AR110" s="33">
        <f t="shared" si="69"/>
        <v>69090</v>
      </c>
      <c r="AS110">
        <f t="shared" si="70"/>
        <v>70515</v>
      </c>
      <c r="AT110" s="5">
        <f t="shared" si="71"/>
        <v>69945</v>
      </c>
      <c r="AU110" s="5">
        <f t="shared" si="72"/>
        <v>72510</v>
      </c>
      <c r="AV110" s="5">
        <f t="shared" si="73"/>
        <v>67950</v>
      </c>
      <c r="AW110" s="5">
        <f t="shared" si="74"/>
        <v>70420</v>
      </c>
      <c r="AX110" s="5">
        <f t="shared" si="75"/>
        <v>70040</v>
      </c>
      <c r="AY110" s="5">
        <f t="shared" si="76"/>
        <v>73650</v>
      </c>
      <c r="AZ110" s="5">
        <f t="shared" si="77"/>
        <v>66810</v>
      </c>
      <c r="BB110" s="32" t="str">
        <f t="shared" si="54"/>
        <v>16/12/2023</v>
      </c>
      <c r="BC110" s="33">
        <f t="shared" si="54"/>
        <v>69080</v>
      </c>
      <c r="BD110" s="4" t="str">
        <f t="shared" si="54"/>
        <v>A5</v>
      </c>
      <c r="BE110">
        <f t="shared" si="78"/>
        <v>69314.75</v>
      </c>
      <c r="BF110">
        <f t="shared" si="79"/>
        <v>68744.75</v>
      </c>
      <c r="BG110">
        <f t="shared" si="80"/>
        <v>69599.75</v>
      </c>
      <c r="BH110">
        <f t="shared" si="81"/>
        <v>68459.75</v>
      </c>
      <c r="BI110" s="38">
        <f t="shared" si="82"/>
        <v>69172.25</v>
      </c>
      <c r="BJ110">
        <f t="shared" si="83"/>
        <v>68887.25</v>
      </c>
      <c r="BK110">
        <f t="shared" si="84"/>
        <v>70169.75</v>
      </c>
      <c r="BL110">
        <f t="shared" si="85"/>
        <v>67889.75</v>
      </c>
      <c r="BM110">
        <f t="shared" si="86"/>
        <v>69124.75</v>
      </c>
      <c r="BN110">
        <f t="shared" si="87"/>
        <v>68934.75</v>
      </c>
      <c r="BO110">
        <f t="shared" si="88"/>
        <v>70739.75</v>
      </c>
      <c r="BP110">
        <f t="shared" si="89"/>
        <v>67319.75</v>
      </c>
      <c r="BQ110" s="7">
        <f>BI110</f>
        <v>69172.25</v>
      </c>
      <c r="BS110" s="30">
        <f t="shared" si="55"/>
        <v>69080</v>
      </c>
      <c r="BT110" s="4">
        <f t="shared" si="56"/>
        <v>69172.25</v>
      </c>
      <c r="BU110" s="37">
        <f t="shared" si="57"/>
        <v>-92.25</v>
      </c>
      <c r="BV110">
        <f t="shared" si="58"/>
        <v>92.25</v>
      </c>
      <c r="BW110" s="35">
        <f t="shared" si="59"/>
        <v>1.3354082223508974E-3</v>
      </c>
    </row>
    <row r="111" spans="1:75">
      <c r="A111" s="1" t="s">
        <v>112</v>
      </c>
      <c r="B111" s="1">
        <v>65150</v>
      </c>
      <c r="Q111">
        <v>108</v>
      </c>
      <c r="R111" s="27" t="str">
        <f t="shared" si="50"/>
        <v>17/12/2023</v>
      </c>
      <c r="S111" s="27">
        <f t="shared" si="50"/>
        <v>67830</v>
      </c>
      <c r="T111" s="4" t="str">
        <f t="shared" si="51"/>
        <v>A5</v>
      </c>
      <c r="V111">
        <v>108</v>
      </c>
      <c r="W111" s="28" t="str">
        <f t="shared" si="49"/>
        <v>17/12/2023</v>
      </c>
      <c r="X111" s="28">
        <f t="shared" si="49"/>
        <v>67830</v>
      </c>
      <c r="Y111" s="28" t="str">
        <f t="shared" si="49"/>
        <v>A5</v>
      </c>
      <c r="Z111" s="5" t="str">
        <f t="shared" si="60"/>
        <v>A5</v>
      </c>
      <c r="AA111" s="5" t="str">
        <f t="shared" si="61"/>
        <v>A5</v>
      </c>
      <c r="AG111" s="29" t="str">
        <f t="shared" si="52"/>
        <v>17/12/2023</v>
      </c>
      <c r="AH111" s="30">
        <f t="shared" si="52"/>
        <v>67830</v>
      </c>
      <c r="AI111" s="4" t="str">
        <f t="shared" si="53"/>
        <v>A5</v>
      </c>
      <c r="AJ111" s="5" t="str">
        <f t="shared" si="62"/>
        <v>A5</v>
      </c>
      <c r="AK111">
        <f t="shared" si="63"/>
        <v>67829.5</v>
      </c>
      <c r="AL111" t="str">
        <f t="shared" si="64"/>
        <v>A5</v>
      </c>
      <c r="AM111">
        <f t="shared" si="65"/>
        <v>67829.5</v>
      </c>
      <c r="AN111" s="6">
        <f t="shared" si="66"/>
        <v>470</v>
      </c>
      <c r="AO111">
        <f t="shared" si="67"/>
        <v>69315</v>
      </c>
      <c r="AP111">
        <f t="shared" si="90"/>
        <v>68845</v>
      </c>
      <c r="AQ111" s="33">
        <f t="shared" si="68"/>
        <v>69550</v>
      </c>
      <c r="AR111" s="33">
        <f t="shared" si="69"/>
        <v>68610</v>
      </c>
      <c r="AS111">
        <f t="shared" si="70"/>
        <v>69197.5</v>
      </c>
      <c r="AT111" s="5">
        <f t="shared" si="71"/>
        <v>68962.5</v>
      </c>
      <c r="AU111" s="5">
        <f t="shared" si="72"/>
        <v>70020</v>
      </c>
      <c r="AV111" s="5">
        <f t="shared" si="73"/>
        <v>68140</v>
      </c>
      <c r="AW111" s="5">
        <f t="shared" si="74"/>
        <v>69158.333333333328</v>
      </c>
      <c r="AX111" s="5">
        <f t="shared" si="75"/>
        <v>69001.666666666672</v>
      </c>
      <c r="AY111" s="5">
        <f t="shared" si="76"/>
        <v>70490</v>
      </c>
      <c r="AZ111" s="5">
        <f t="shared" si="77"/>
        <v>67670</v>
      </c>
      <c r="BB111" s="32" t="str">
        <f t="shared" si="54"/>
        <v>17/12/2023</v>
      </c>
      <c r="BC111" s="33">
        <f t="shared" si="54"/>
        <v>67830</v>
      </c>
      <c r="BD111" s="4" t="str">
        <f t="shared" si="54"/>
        <v>A5</v>
      </c>
      <c r="BE111">
        <f t="shared" si="78"/>
        <v>68572.25</v>
      </c>
      <c r="BF111">
        <f t="shared" si="79"/>
        <v>68337.25</v>
      </c>
      <c r="BG111">
        <f t="shared" si="80"/>
        <v>68689.75</v>
      </c>
      <c r="BH111">
        <f t="shared" si="81"/>
        <v>68219.75</v>
      </c>
      <c r="BI111">
        <f t="shared" si="82"/>
        <v>68513.5</v>
      </c>
      <c r="BJ111">
        <f t="shared" si="83"/>
        <v>68396</v>
      </c>
      <c r="BK111">
        <f t="shared" si="84"/>
        <v>68924.75</v>
      </c>
      <c r="BL111">
        <f t="shared" si="85"/>
        <v>67984.75</v>
      </c>
      <c r="BM111">
        <f t="shared" si="86"/>
        <v>68493.916666666657</v>
      </c>
      <c r="BN111">
        <f t="shared" si="87"/>
        <v>68415.583333333343</v>
      </c>
      <c r="BO111">
        <f t="shared" si="88"/>
        <v>69159.75</v>
      </c>
      <c r="BP111" s="38">
        <f t="shared" si="89"/>
        <v>67749.75</v>
      </c>
      <c r="BQ111" s="7">
        <f>BP111</f>
        <v>67749.75</v>
      </c>
      <c r="BS111" s="30">
        <f t="shared" si="55"/>
        <v>67830</v>
      </c>
      <c r="BT111" s="4">
        <f t="shared" si="56"/>
        <v>67749.75</v>
      </c>
      <c r="BU111" s="37">
        <f t="shared" si="57"/>
        <v>80.25</v>
      </c>
      <c r="BV111">
        <f t="shared" si="58"/>
        <v>80.25</v>
      </c>
      <c r="BW111" s="35">
        <f t="shared" si="59"/>
        <v>1.1831048208757187E-3</v>
      </c>
    </row>
    <row r="112" spans="1:75">
      <c r="A112" s="1" t="s">
        <v>113</v>
      </c>
      <c r="B112" s="1">
        <v>66660</v>
      </c>
      <c r="Q112">
        <v>109</v>
      </c>
      <c r="R112" s="27" t="str">
        <f t="shared" si="50"/>
        <v>18/12/2023</v>
      </c>
      <c r="S112" s="27">
        <f t="shared" si="50"/>
        <v>66110</v>
      </c>
      <c r="T112" s="4" t="str">
        <f t="shared" si="51"/>
        <v>A5</v>
      </c>
      <c r="V112">
        <v>109</v>
      </c>
      <c r="W112" s="28" t="str">
        <f t="shared" si="49"/>
        <v>18/12/2023</v>
      </c>
      <c r="X112" s="28">
        <f t="shared" si="49"/>
        <v>66110</v>
      </c>
      <c r="Y112" s="28" t="str">
        <f t="shared" si="49"/>
        <v>A5</v>
      </c>
      <c r="Z112" s="5" t="str">
        <f t="shared" si="60"/>
        <v>A5</v>
      </c>
      <c r="AA112" s="5" t="str">
        <f t="shared" si="61"/>
        <v>A5</v>
      </c>
      <c r="AG112" s="29" t="str">
        <f t="shared" si="52"/>
        <v>18/12/2023</v>
      </c>
      <c r="AH112" s="30">
        <f t="shared" si="52"/>
        <v>66110</v>
      </c>
      <c r="AI112" s="4" t="str">
        <f t="shared" si="53"/>
        <v>A5</v>
      </c>
      <c r="AJ112" s="5" t="str">
        <f t="shared" si="62"/>
        <v>A5</v>
      </c>
      <c r="AK112">
        <f t="shared" si="63"/>
        <v>67829.5</v>
      </c>
      <c r="AL112" t="str">
        <f t="shared" si="64"/>
        <v>A5</v>
      </c>
      <c r="AM112">
        <f t="shared" si="65"/>
        <v>67829.5</v>
      </c>
      <c r="AN112" s="6">
        <f t="shared" si="66"/>
        <v>100</v>
      </c>
      <c r="AO112">
        <f t="shared" si="67"/>
        <v>67880</v>
      </c>
      <c r="AP112">
        <f t="shared" si="90"/>
        <v>67780</v>
      </c>
      <c r="AQ112" s="33">
        <f t="shared" si="68"/>
        <v>67930</v>
      </c>
      <c r="AR112" s="33">
        <f t="shared" si="69"/>
        <v>67730</v>
      </c>
      <c r="AS112">
        <f t="shared" si="70"/>
        <v>67855</v>
      </c>
      <c r="AT112" s="5">
        <f t="shared" si="71"/>
        <v>67805</v>
      </c>
      <c r="AU112" s="5">
        <f t="shared" si="72"/>
        <v>68030</v>
      </c>
      <c r="AV112" s="5">
        <f t="shared" si="73"/>
        <v>67630</v>
      </c>
      <c r="AW112" s="5">
        <f t="shared" si="74"/>
        <v>67846.666666666672</v>
      </c>
      <c r="AX112" s="5">
        <f t="shared" si="75"/>
        <v>67813.333333333328</v>
      </c>
      <c r="AY112" s="5">
        <f t="shared" si="76"/>
        <v>68130</v>
      </c>
      <c r="AZ112" s="5">
        <f t="shared" si="77"/>
        <v>67530</v>
      </c>
      <c r="BB112" s="32" t="str">
        <f t="shared" si="54"/>
        <v>18/12/2023</v>
      </c>
      <c r="BC112" s="33">
        <f t="shared" si="54"/>
        <v>66110</v>
      </c>
      <c r="BD112" s="4" t="str">
        <f t="shared" si="54"/>
        <v>A5</v>
      </c>
      <c r="BE112">
        <f t="shared" si="78"/>
        <v>67854.75</v>
      </c>
      <c r="BF112">
        <f t="shared" si="79"/>
        <v>67804.75</v>
      </c>
      <c r="BG112">
        <f t="shared" si="80"/>
        <v>67879.75</v>
      </c>
      <c r="BH112">
        <f t="shared" si="81"/>
        <v>67779.75</v>
      </c>
      <c r="BI112">
        <f t="shared" si="82"/>
        <v>67842.25</v>
      </c>
      <c r="BJ112">
        <f t="shared" si="83"/>
        <v>67817.25</v>
      </c>
      <c r="BK112">
        <f t="shared" si="84"/>
        <v>67929.75</v>
      </c>
      <c r="BL112">
        <f t="shared" si="85"/>
        <v>67729.75</v>
      </c>
      <c r="BM112">
        <f t="shared" si="86"/>
        <v>67838.083333333343</v>
      </c>
      <c r="BN112">
        <f t="shared" si="87"/>
        <v>67821.416666666657</v>
      </c>
      <c r="BO112">
        <f t="shared" si="88"/>
        <v>67979.75</v>
      </c>
      <c r="BP112" s="38">
        <f t="shared" si="89"/>
        <v>67679.75</v>
      </c>
      <c r="BQ112" s="7">
        <f>BP112</f>
        <v>67679.75</v>
      </c>
      <c r="BS112" s="30">
        <f t="shared" si="55"/>
        <v>66110</v>
      </c>
      <c r="BT112" s="4">
        <f t="shared" si="56"/>
        <v>67679.75</v>
      </c>
      <c r="BU112" s="37">
        <f t="shared" si="57"/>
        <v>-1569.75</v>
      </c>
      <c r="BV112">
        <f t="shared" si="58"/>
        <v>1569.75</v>
      </c>
      <c r="BW112" s="35">
        <f t="shared" si="59"/>
        <v>2.3744516714566632E-2</v>
      </c>
    </row>
    <row r="113" spans="1:75">
      <c r="A113" s="1" t="s">
        <v>114</v>
      </c>
      <c r="B113" s="1">
        <v>63750</v>
      </c>
      <c r="Q113">
        <v>110</v>
      </c>
      <c r="R113" s="27" t="str">
        <f t="shared" si="50"/>
        <v>19/12/2023</v>
      </c>
      <c r="S113" s="27">
        <f t="shared" si="50"/>
        <v>65150</v>
      </c>
      <c r="T113" s="4" t="str">
        <f t="shared" si="51"/>
        <v>A5</v>
      </c>
      <c r="V113">
        <v>110</v>
      </c>
      <c r="W113" s="28" t="str">
        <f t="shared" si="49"/>
        <v>19/12/2023</v>
      </c>
      <c r="X113" s="28">
        <f t="shared" si="49"/>
        <v>65150</v>
      </c>
      <c r="Y113" s="28" t="str">
        <f t="shared" si="49"/>
        <v>A5</v>
      </c>
      <c r="Z113" s="5" t="str">
        <f t="shared" si="60"/>
        <v>A5</v>
      </c>
      <c r="AA113" s="5" t="str">
        <f t="shared" si="61"/>
        <v>A5</v>
      </c>
      <c r="AG113" s="29" t="str">
        <f t="shared" si="52"/>
        <v>19/12/2023</v>
      </c>
      <c r="AH113" s="30">
        <f t="shared" si="52"/>
        <v>65150</v>
      </c>
      <c r="AI113" s="4" t="str">
        <f t="shared" si="53"/>
        <v>A5</v>
      </c>
      <c r="AJ113" s="5" t="str">
        <f t="shared" si="62"/>
        <v>A5</v>
      </c>
      <c r="AK113">
        <f t="shared" si="63"/>
        <v>67829.5</v>
      </c>
      <c r="AL113" t="str">
        <f t="shared" si="64"/>
        <v>A5</v>
      </c>
      <c r="AM113">
        <f t="shared" si="65"/>
        <v>67829.5</v>
      </c>
      <c r="AN113" s="6">
        <f t="shared" si="66"/>
        <v>470</v>
      </c>
      <c r="AO113">
        <f t="shared" si="67"/>
        <v>66345</v>
      </c>
      <c r="AP113">
        <f t="shared" si="90"/>
        <v>65875</v>
      </c>
      <c r="AQ113" s="33">
        <f t="shared" si="68"/>
        <v>66580</v>
      </c>
      <c r="AR113" s="33">
        <f t="shared" si="69"/>
        <v>65640</v>
      </c>
      <c r="AS113">
        <f t="shared" si="70"/>
        <v>66227.5</v>
      </c>
      <c r="AT113" s="5">
        <f t="shared" si="71"/>
        <v>65992.5</v>
      </c>
      <c r="AU113" s="5">
        <f t="shared" si="72"/>
        <v>67050</v>
      </c>
      <c r="AV113" s="5">
        <f t="shared" si="73"/>
        <v>65170</v>
      </c>
      <c r="AW113" s="5">
        <f t="shared" si="74"/>
        <v>66188.333333333328</v>
      </c>
      <c r="AX113" s="5">
        <f t="shared" si="75"/>
        <v>66031.666666666672</v>
      </c>
      <c r="AY113" s="5">
        <f t="shared" si="76"/>
        <v>67520</v>
      </c>
      <c r="AZ113" s="5">
        <f t="shared" si="77"/>
        <v>64700</v>
      </c>
      <c r="BB113" s="32" t="str">
        <f t="shared" si="54"/>
        <v>19/12/2023</v>
      </c>
      <c r="BC113" s="33">
        <f t="shared" si="54"/>
        <v>65150</v>
      </c>
      <c r="BD113" s="4" t="str">
        <f t="shared" si="54"/>
        <v>A5</v>
      </c>
      <c r="BE113">
        <f t="shared" si="78"/>
        <v>67087.25</v>
      </c>
      <c r="BF113">
        <f t="shared" si="79"/>
        <v>66852.25</v>
      </c>
      <c r="BG113">
        <f t="shared" si="80"/>
        <v>67204.75</v>
      </c>
      <c r="BH113">
        <f t="shared" si="81"/>
        <v>66734.75</v>
      </c>
      <c r="BI113">
        <f t="shared" si="82"/>
        <v>67028.5</v>
      </c>
      <c r="BJ113">
        <f t="shared" si="83"/>
        <v>66911</v>
      </c>
      <c r="BK113">
        <f t="shared" si="84"/>
        <v>67439.75</v>
      </c>
      <c r="BL113">
        <f t="shared" si="85"/>
        <v>66499.75</v>
      </c>
      <c r="BM113">
        <f t="shared" si="86"/>
        <v>67008.916666666657</v>
      </c>
      <c r="BN113">
        <f t="shared" si="87"/>
        <v>66930.583333333343</v>
      </c>
      <c r="BO113">
        <f t="shared" si="88"/>
        <v>67674.75</v>
      </c>
      <c r="BP113" s="38">
        <f t="shared" si="89"/>
        <v>66264.75</v>
      </c>
      <c r="BQ113" s="7">
        <f>BP113</f>
        <v>66264.75</v>
      </c>
      <c r="BS113" s="30">
        <f t="shared" si="55"/>
        <v>65150</v>
      </c>
      <c r="BT113" s="4">
        <f t="shared" si="56"/>
        <v>66264.75</v>
      </c>
      <c r="BU113" s="37">
        <f t="shared" si="57"/>
        <v>-1114.75</v>
      </c>
      <c r="BV113">
        <f t="shared" si="58"/>
        <v>1114.75</v>
      </c>
      <c r="BW113" s="35">
        <f t="shared" si="59"/>
        <v>1.7110514198004606E-2</v>
      </c>
    </row>
    <row r="114" spans="1:75">
      <c r="A114" s="1" t="s">
        <v>115</v>
      </c>
      <c r="B114" s="1">
        <v>62890</v>
      </c>
      <c r="Q114">
        <v>111</v>
      </c>
      <c r="R114" s="27" t="str">
        <f t="shared" si="50"/>
        <v>20/12/2023</v>
      </c>
      <c r="S114" s="27">
        <f t="shared" si="50"/>
        <v>66660</v>
      </c>
      <c r="T114" s="4" t="str">
        <f t="shared" si="51"/>
        <v>A5</v>
      </c>
      <c r="V114">
        <v>111</v>
      </c>
      <c r="W114" s="28" t="str">
        <f t="shared" si="49"/>
        <v>20/12/2023</v>
      </c>
      <c r="X114" s="28">
        <f t="shared" si="49"/>
        <v>66660</v>
      </c>
      <c r="Y114" s="28" t="str">
        <f t="shared" si="49"/>
        <v>A5</v>
      </c>
      <c r="Z114" s="5" t="str">
        <f t="shared" si="60"/>
        <v>A5</v>
      </c>
      <c r="AA114" s="5" t="str">
        <f t="shared" si="61"/>
        <v>A5</v>
      </c>
      <c r="AG114" s="29" t="str">
        <f t="shared" si="52"/>
        <v>20/12/2023</v>
      </c>
      <c r="AH114" s="30">
        <f t="shared" si="52"/>
        <v>66660</v>
      </c>
      <c r="AI114" s="4" t="str">
        <f t="shared" si="53"/>
        <v>A5</v>
      </c>
      <c r="AJ114" s="5" t="str">
        <f t="shared" si="62"/>
        <v>A5</v>
      </c>
      <c r="AK114">
        <f t="shared" si="63"/>
        <v>67829.5</v>
      </c>
      <c r="AL114" t="str">
        <f t="shared" si="64"/>
        <v>A5</v>
      </c>
      <c r="AM114">
        <f t="shared" si="65"/>
        <v>67829.5</v>
      </c>
      <c r="AN114" s="6">
        <f t="shared" si="66"/>
        <v>760</v>
      </c>
      <c r="AO114">
        <f t="shared" si="67"/>
        <v>65530</v>
      </c>
      <c r="AP114">
        <f t="shared" si="90"/>
        <v>64770</v>
      </c>
      <c r="AQ114" s="33">
        <f t="shared" si="68"/>
        <v>65910</v>
      </c>
      <c r="AR114" s="33">
        <f t="shared" si="69"/>
        <v>64390</v>
      </c>
      <c r="AS114">
        <f t="shared" si="70"/>
        <v>65340</v>
      </c>
      <c r="AT114" s="5">
        <f t="shared" si="71"/>
        <v>64960</v>
      </c>
      <c r="AU114" s="5">
        <f t="shared" si="72"/>
        <v>66670</v>
      </c>
      <c r="AV114" s="5">
        <f t="shared" si="73"/>
        <v>63630</v>
      </c>
      <c r="AW114" s="5">
        <f t="shared" si="74"/>
        <v>65276.666666666664</v>
      </c>
      <c r="AX114" s="5">
        <f t="shared" si="75"/>
        <v>65023.333333333336</v>
      </c>
      <c r="AY114" s="5">
        <f t="shared" si="76"/>
        <v>67430</v>
      </c>
      <c r="AZ114" s="5">
        <f t="shared" si="77"/>
        <v>62870</v>
      </c>
      <c r="BB114" s="32" t="str">
        <f t="shared" si="54"/>
        <v>20/12/2023</v>
      </c>
      <c r="BC114" s="33">
        <f t="shared" si="54"/>
        <v>66660</v>
      </c>
      <c r="BD114" s="4" t="str">
        <f t="shared" si="54"/>
        <v>A5</v>
      </c>
      <c r="BE114" s="38">
        <f t="shared" si="78"/>
        <v>66679.75</v>
      </c>
      <c r="BF114">
        <f t="shared" si="79"/>
        <v>66299.75</v>
      </c>
      <c r="BG114">
        <f t="shared" si="80"/>
        <v>66869.75</v>
      </c>
      <c r="BH114">
        <f t="shared" si="81"/>
        <v>66109.75</v>
      </c>
      <c r="BI114">
        <f t="shared" si="82"/>
        <v>66584.75</v>
      </c>
      <c r="BJ114">
        <f t="shared" si="83"/>
        <v>66394.75</v>
      </c>
      <c r="BK114">
        <f t="shared" si="84"/>
        <v>67249.75</v>
      </c>
      <c r="BL114">
        <f t="shared" si="85"/>
        <v>65729.75</v>
      </c>
      <c r="BM114">
        <f t="shared" si="86"/>
        <v>66553.083333333328</v>
      </c>
      <c r="BN114">
        <f t="shared" si="87"/>
        <v>66426.416666666672</v>
      </c>
      <c r="BO114">
        <f t="shared" si="88"/>
        <v>67629.75</v>
      </c>
      <c r="BP114">
        <f t="shared" si="89"/>
        <v>65349.75</v>
      </c>
      <c r="BQ114" s="7">
        <f>BE114</f>
        <v>66679.75</v>
      </c>
      <c r="BS114" s="30">
        <f t="shared" si="55"/>
        <v>66660</v>
      </c>
      <c r="BT114" s="4">
        <f t="shared" si="56"/>
        <v>66679.75</v>
      </c>
      <c r="BU114" s="37">
        <f t="shared" si="57"/>
        <v>-19.75</v>
      </c>
      <c r="BV114">
        <f t="shared" si="58"/>
        <v>19.75</v>
      </c>
      <c r="BW114" s="35">
        <f t="shared" si="59"/>
        <v>2.9627962796279628E-4</v>
      </c>
    </row>
    <row r="115" spans="1:75">
      <c r="A115" s="1" t="s">
        <v>116</v>
      </c>
      <c r="B115" s="1">
        <v>58530</v>
      </c>
      <c r="Q115">
        <v>112</v>
      </c>
      <c r="R115" s="27" t="str">
        <f t="shared" si="50"/>
        <v>21/12/2023</v>
      </c>
      <c r="S115" s="27">
        <f t="shared" si="50"/>
        <v>63750</v>
      </c>
      <c r="T115" s="4" t="str">
        <f t="shared" si="51"/>
        <v>A4</v>
      </c>
      <c r="V115">
        <v>112</v>
      </c>
      <c r="W115" s="28" t="str">
        <f t="shared" si="49"/>
        <v>21/12/2023</v>
      </c>
      <c r="X115" s="28">
        <f t="shared" si="49"/>
        <v>63750</v>
      </c>
      <c r="Y115" s="28" t="str">
        <f t="shared" si="49"/>
        <v>A4</v>
      </c>
      <c r="Z115" s="5" t="str">
        <f t="shared" si="60"/>
        <v>A5</v>
      </c>
      <c r="AA115" s="5" t="str">
        <f t="shared" si="61"/>
        <v>A5</v>
      </c>
      <c r="AG115" s="29" t="str">
        <f t="shared" si="52"/>
        <v>21/12/2023</v>
      </c>
      <c r="AH115" s="30">
        <f t="shared" si="52"/>
        <v>63750</v>
      </c>
      <c r="AI115" s="4" t="str">
        <f t="shared" si="53"/>
        <v>A4</v>
      </c>
      <c r="AJ115" s="5" t="str">
        <f t="shared" si="62"/>
        <v>A5</v>
      </c>
      <c r="AK115">
        <f t="shared" si="63"/>
        <v>67829.5</v>
      </c>
      <c r="AL115" t="str">
        <f t="shared" si="64"/>
        <v>A5</v>
      </c>
      <c r="AM115">
        <f t="shared" si="65"/>
        <v>67829.5</v>
      </c>
      <c r="AN115" s="6">
        <f t="shared" si="66"/>
        <v>550</v>
      </c>
      <c r="AO115">
        <f t="shared" si="67"/>
        <v>66935</v>
      </c>
      <c r="AP115">
        <f t="shared" si="90"/>
        <v>66385</v>
      </c>
      <c r="AQ115" s="33">
        <f t="shared" si="68"/>
        <v>67210</v>
      </c>
      <c r="AR115" s="33">
        <f t="shared" si="69"/>
        <v>66110</v>
      </c>
      <c r="AS115">
        <f t="shared" si="70"/>
        <v>66797.5</v>
      </c>
      <c r="AT115" s="5">
        <f t="shared" si="71"/>
        <v>66522.5</v>
      </c>
      <c r="AU115" s="5">
        <f t="shared" si="72"/>
        <v>67760</v>
      </c>
      <c r="AV115" s="5">
        <f t="shared" si="73"/>
        <v>65560</v>
      </c>
      <c r="AW115" s="5">
        <f t="shared" si="74"/>
        <v>66751.666666666672</v>
      </c>
      <c r="AX115" s="5">
        <f t="shared" si="75"/>
        <v>66568.333333333328</v>
      </c>
      <c r="AY115" s="5">
        <f t="shared" si="76"/>
        <v>68310</v>
      </c>
      <c r="AZ115" s="5">
        <f t="shared" si="77"/>
        <v>65010</v>
      </c>
      <c r="BB115" s="32" t="str">
        <f t="shared" si="54"/>
        <v>21/12/2023</v>
      </c>
      <c r="BC115" s="33">
        <f t="shared" si="54"/>
        <v>63750</v>
      </c>
      <c r="BD115" s="4" t="str">
        <f t="shared" si="54"/>
        <v>A4</v>
      </c>
      <c r="BE115">
        <f t="shared" si="78"/>
        <v>67382.25</v>
      </c>
      <c r="BF115">
        <f t="shared" si="79"/>
        <v>67107.25</v>
      </c>
      <c r="BG115">
        <f t="shared" si="80"/>
        <v>67519.75</v>
      </c>
      <c r="BH115">
        <f t="shared" si="81"/>
        <v>66969.75</v>
      </c>
      <c r="BI115">
        <f t="shared" si="82"/>
        <v>67313.5</v>
      </c>
      <c r="BJ115">
        <f t="shared" si="83"/>
        <v>67176</v>
      </c>
      <c r="BK115">
        <f t="shared" si="84"/>
        <v>67794.75</v>
      </c>
      <c r="BL115">
        <f t="shared" si="85"/>
        <v>66694.75</v>
      </c>
      <c r="BM115">
        <f t="shared" si="86"/>
        <v>67290.583333333343</v>
      </c>
      <c r="BN115">
        <f t="shared" si="87"/>
        <v>67198.916666666657</v>
      </c>
      <c r="BO115">
        <f t="shared" si="88"/>
        <v>68069.75</v>
      </c>
      <c r="BP115" s="38">
        <f t="shared" si="89"/>
        <v>66419.75</v>
      </c>
      <c r="BQ115" s="7">
        <f>BP115</f>
        <v>66419.75</v>
      </c>
      <c r="BS115" s="30">
        <f t="shared" si="55"/>
        <v>63750</v>
      </c>
      <c r="BT115" s="4">
        <f t="shared" si="56"/>
        <v>66419.75</v>
      </c>
      <c r="BU115" s="37">
        <f t="shared" si="57"/>
        <v>-2669.75</v>
      </c>
      <c r="BV115">
        <f t="shared" si="58"/>
        <v>2669.75</v>
      </c>
      <c r="BW115" s="35">
        <f t="shared" si="59"/>
        <v>4.187843137254902E-2</v>
      </c>
    </row>
    <row r="116" spans="1:75">
      <c r="A116" s="1" t="s">
        <v>117</v>
      </c>
      <c r="B116" s="1">
        <v>59070</v>
      </c>
      <c r="Q116">
        <v>113</v>
      </c>
      <c r="R116" s="27" t="str">
        <f t="shared" si="50"/>
        <v>22/12/2023</v>
      </c>
      <c r="S116" s="27">
        <f t="shared" si="50"/>
        <v>62890</v>
      </c>
      <c r="T116" s="4" t="str">
        <f t="shared" si="51"/>
        <v>A4</v>
      </c>
      <c r="V116">
        <v>113</v>
      </c>
      <c r="W116" s="28" t="str">
        <f t="shared" si="49"/>
        <v>22/12/2023</v>
      </c>
      <c r="X116" s="28">
        <f t="shared" si="49"/>
        <v>62890</v>
      </c>
      <c r="Y116" s="28" t="str">
        <f t="shared" si="49"/>
        <v>A4</v>
      </c>
      <c r="Z116" s="5" t="str">
        <f t="shared" si="60"/>
        <v>A5</v>
      </c>
      <c r="AA116" s="5" t="str">
        <f t="shared" si="61"/>
        <v>A4</v>
      </c>
      <c r="AG116" s="29" t="str">
        <f t="shared" si="52"/>
        <v>22/12/2023</v>
      </c>
      <c r="AH116" s="30">
        <f t="shared" si="52"/>
        <v>62890</v>
      </c>
      <c r="AI116" s="4" t="str">
        <f t="shared" si="53"/>
        <v>A4</v>
      </c>
      <c r="AJ116" s="5" t="str">
        <f t="shared" si="62"/>
        <v>A5</v>
      </c>
      <c r="AK116">
        <f t="shared" si="63"/>
        <v>67829.5</v>
      </c>
      <c r="AL116" t="str">
        <f t="shared" si="64"/>
        <v>A4</v>
      </c>
      <c r="AM116">
        <f t="shared" si="65"/>
        <v>61798.5</v>
      </c>
      <c r="AN116" s="6">
        <f t="shared" si="66"/>
        <v>1400</v>
      </c>
      <c r="AO116">
        <f t="shared" si="67"/>
        <v>64450</v>
      </c>
      <c r="AP116">
        <f t="shared" si="90"/>
        <v>63050</v>
      </c>
      <c r="AQ116" s="33">
        <f t="shared" si="68"/>
        <v>65150</v>
      </c>
      <c r="AR116" s="33">
        <f t="shared" si="69"/>
        <v>62350</v>
      </c>
      <c r="AS116">
        <f t="shared" si="70"/>
        <v>64100</v>
      </c>
      <c r="AT116" s="5">
        <f t="shared" si="71"/>
        <v>63400</v>
      </c>
      <c r="AU116" s="5">
        <f t="shared" si="72"/>
        <v>66550</v>
      </c>
      <c r="AV116" s="5">
        <f t="shared" si="73"/>
        <v>60950</v>
      </c>
      <c r="AW116" s="5">
        <f t="shared" si="74"/>
        <v>63983.333333333336</v>
      </c>
      <c r="AX116" s="5">
        <f t="shared" si="75"/>
        <v>63516.666666666664</v>
      </c>
      <c r="AY116" s="5">
        <f t="shared" si="76"/>
        <v>67950</v>
      </c>
      <c r="AZ116" s="5">
        <f t="shared" si="77"/>
        <v>59550</v>
      </c>
      <c r="BB116" s="32" t="str">
        <f t="shared" si="54"/>
        <v>22/12/2023</v>
      </c>
      <c r="BC116" s="33">
        <f t="shared" si="54"/>
        <v>62890</v>
      </c>
      <c r="BD116" s="4" t="str">
        <f t="shared" si="54"/>
        <v>A4</v>
      </c>
      <c r="BE116">
        <f t="shared" si="78"/>
        <v>63124.25</v>
      </c>
      <c r="BF116">
        <f t="shared" si="79"/>
        <v>62424.25</v>
      </c>
      <c r="BG116">
        <f t="shared" si="80"/>
        <v>63474.25</v>
      </c>
      <c r="BH116">
        <f t="shared" si="81"/>
        <v>62074.25</v>
      </c>
      <c r="BI116">
        <f t="shared" si="82"/>
        <v>62949.25</v>
      </c>
      <c r="BJ116">
        <f t="shared" si="83"/>
        <v>62599.25</v>
      </c>
      <c r="BK116">
        <f t="shared" si="84"/>
        <v>64174.25</v>
      </c>
      <c r="BL116">
        <f t="shared" si="85"/>
        <v>61374.25</v>
      </c>
      <c r="BM116" s="38">
        <f t="shared" si="86"/>
        <v>62890.916666666672</v>
      </c>
      <c r="BN116">
        <f t="shared" si="87"/>
        <v>62657.583333333328</v>
      </c>
      <c r="BO116">
        <f t="shared" si="88"/>
        <v>64874.25</v>
      </c>
      <c r="BP116">
        <f t="shared" si="89"/>
        <v>60674.25</v>
      </c>
      <c r="BQ116" s="7">
        <f>BM116</f>
        <v>62890.916666666672</v>
      </c>
      <c r="BS116" s="30">
        <f t="shared" si="55"/>
        <v>62890</v>
      </c>
      <c r="BT116" s="4">
        <f t="shared" si="56"/>
        <v>62890.916666666672</v>
      </c>
      <c r="BU116" s="37">
        <f t="shared" si="57"/>
        <v>-0.91666666667151731</v>
      </c>
      <c r="BV116">
        <f t="shared" si="58"/>
        <v>0.91666666667151731</v>
      </c>
      <c r="BW116" s="35">
        <f t="shared" si="59"/>
        <v>1.4575714210073419E-5</v>
      </c>
    </row>
    <row r="117" spans="1:75">
      <c r="A117" s="1" t="s">
        <v>118</v>
      </c>
      <c r="B117" s="1">
        <v>59810</v>
      </c>
      <c r="Q117">
        <v>114</v>
      </c>
      <c r="R117" s="27" t="str">
        <f t="shared" si="50"/>
        <v>23/12/2023</v>
      </c>
      <c r="S117" s="27">
        <f t="shared" si="50"/>
        <v>58530</v>
      </c>
      <c r="T117" s="4" t="str">
        <f t="shared" si="51"/>
        <v>A3</v>
      </c>
      <c r="V117">
        <v>114</v>
      </c>
      <c r="W117" s="28" t="str">
        <f t="shared" si="49"/>
        <v>23/12/2023</v>
      </c>
      <c r="X117" s="28">
        <f t="shared" si="49"/>
        <v>58530</v>
      </c>
      <c r="Y117" s="28" t="str">
        <f t="shared" si="49"/>
        <v>A3</v>
      </c>
      <c r="Z117" s="5" t="str">
        <f t="shared" si="60"/>
        <v>A4</v>
      </c>
      <c r="AA117" s="5" t="str">
        <f t="shared" si="61"/>
        <v>A4</v>
      </c>
      <c r="AG117" s="29" t="str">
        <f t="shared" si="52"/>
        <v>23/12/2023</v>
      </c>
      <c r="AH117" s="30">
        <f t="shared" si="52"/>
        <v>58530</v>
      </c>
      <c r="AI117" s="4" t="str">
        <f t="shared" si="53"/>
        <v>A3</v>
      </c>
      <c r="AJ117" s="5" t="str">
        <f t="shared" si="62"/>
        <v>A4</v>
      </c>
      <c r="AK117">
        <f t="shared" si="63"/>
        <v>61798.5</v>
      </c>
      <c r="AL117" t="str">
        <f t="shared" si="64"/>
        <v>A4</v>
      </c>
      <c r="AM117">
        <f t="shared" si="65"/>
        <v>61798.5</v>
      </c>
      <c r="AN117" s="6">
        <f t="shared" si="66"/>
        <v>2050</v>
      </c>
      <c r="AO117">
        <f t="shared" si="67"/>
        <v>63915</v>
      </c>
      <c r="AP117">
        <f t="shared" si="90"/>
        <v>61865</v>
      </c>
      <c r="AQ117" s="33">
        <f t="shared" si="68"/>
        <v>64940</v>
      </c>
      <c r="AR117" s="33">
        <f t="shared" si="69"/>
        <v>60840</v>
      </c>
      <c r="AS117">
        <f t="shared" si="70"/>
        <v>63402.5</v>
      </c>
      <c r="AT117" s="5">
        <f t="shared" si="71"/>
        <v>62377.5</v>
      </c>
      <c r="AU117" s="5">
        <f t="shared" si="72"/>
        <v>66990</v>
      </c>
      <c r="AV117" s="5">
        <f t="shared" si="73"/>
        <v>58790</v>
      </c>
      <c r="AW117" s="5">
        <f t="shared" si="74"/>
        <v>63231.666666666664</v>
      </c>
      <c r="AX117" s="5">
        <f t="shared" si="75"/>
        <v>62548.333333333336</v>
      </c>
      <c r="AY117" s="5">
        <f t="shared" si="76"/>
        <v>69040</v>
      </c>
      <c r="AZ117" s="5">
        <f t="shared" si="77"/>
        <v>56740</v>
      </c>
      <c r="BB117" s="32" t="str">
        <f t="shared" si="54"/>
        <v>23/12/2023</v>
      </c>
      <c r="BC117" s="33">
        <f t="shared" si="54"/>
        <v>58530</v>
      </c>
      <c r="BD117" s="4" t="str">
        <f t="shared" si="54"/>
        <v>A3</v>
      </c>
      <c r="BE117">
        <f t="shared" si="78"/>
        <v>62856.75</v>
      </c>
      <c r="BF117">
        <f t="shared" si="79"/>
        <v>61831.75</v>
      </c>
      <c r="BG117">
        <f t="shared" si="80"/>
        <v>63369.25</v>
      </c>
      <c r="BH117">
        <f t="shared" si="81"/>
        <v>61319.25</v>
      </c>
      <c r="BI117">
        <f t="shared" si="82"/>
        <v>62600.5</v>
      </c>
      <c r="BJ117">
        <f t="shared" si="83"/>
        <v>62088</v>
      </c>
      <c r="BK117">
        <f t="shared" si="84"/>
        <v>64394.25</v>
      </c>
      <c r="BL117">
        <f t="shared" si="85"/>
        <v>60294.25</v>
      </c>
      <c r="BM117">
        <f t="shared" si="86"/>
        <v>62515.083333333328</v>
      </c>
      <c r="BN117">
        <f t="shared" si="87"/>
        <v>62173.416666666672</v>
      </c>
      <c r="BO117">
        <f t="shared" si="88"/>
        <v>65419.25</v>
      </c>
      <c r="BP117" s="38">
        <f t="shared" si="89"/>
        <v>59269.25</v>
      </c>
      <c r="BQ117" s="7">
        <f>BP117</f>
        <v>59269.25</v>
      </c>
      <c r="BS117" s="30">
        <f t="shared" si="55"/>
        <v>58530</v>
      </c>
      <c r="BT117" s="4">
        <f t="shared" si="56"/>
        <v>59269.25</v>
      </c>
      <c r="BU117" s="37">
        <f t="shared" si="57"/>
        <v>-739.25</v>
      </c>
      <c r="BV117">
        <f t="shared" si="58"/>
        <v>739.25</v>
      </c>
      <c r="BW117" s="35">
        <f t="shared" si="59"/>
        <v>1.2630275072612336E-2</v>
      </c>
    </row>
    <row r="118" spans="1:75">
      <c r="A118" s="1" t="s">
        <v>119</v>
      </c>
      <c r="B118" s="1">
        <v>61730</v>
      </c>
      <c r="Q118">
        <v>115</v>
      </c>
      <c r="R118" s="27" t="str">
        <f t="shared" si="50"/>
        <v>24/12/2023</v>
      </c>
      <c r="S118" s="27">
        <f t="shared" si="50"/>
        <v>59070</v>
      </c>
      <c r="T118" s="4" t="str">
        <f t="shared" si="51"/>
        <v>A4</v>
      </c>
      <c r="V118">
        <v>115</v>
      </c>
      <c r="W118" s="28" t="str">
        <f t="shared" si="49"/>
        <v>24/12/2023</v>
      </c>
      <c r="X118" s="28">
        <f t="shared" si="49"/>
        <v>59070</v>
      </c>
      <c r="Y118" s="28" t="str">
        <f t="shared" si="49"/>
        <v>A4</v>
      </c>
      <c r="Z118" s="5" t="str">
        <f t="shared" si="60"/>
        <v>A4</v>
      </c>
      <c r="AA118" s="5" t="str">
        <f t="shared" si="61"/>
        <v>A3</v>
      </c>
      <c r="AG118" s="29" t="str">
        <f t="shared" si="52"/>
        <v>24/12/2023</v>
      </c>
      <c r="AH118" s="30">
        <f t="shared" si="52"/>
        <v>59070</v>
      </c>
      <c r="AI118" s="4" t="str">
        <f t="shared" si="53"/>
        <v>A4</v>
      </c>
      <c r="AJ118" s="5" t="str">
        <f t="shared" si="62"/>
        <v>A4</v>
      </c>
      <c r="AK118">
        <f t="shared" si="63"/>
        <v>61798.5</v>
      </c>
      <c r="AL118" t="str">
        <f t="shared" si="64"/>
        <v>A3</v>
      </c>
      <c r="AM118">
        <f t="shared" si="65"/>
        <v>55767.5</v>
      </c>
      <c r="AN118" s="6">
        <f t="shared" si="66"/>
        <v>3500</v>
      </c>
      <c r="AO118">
        <f t="shared" si="67"/>
        <v>60280</v>
      </c>
      <c r="AP118">
        <f t="shared" si="90"/>
        <v>56780</v>
      </c>
      <c r="AQ118" s="33">
        <f t="shared" si="68"/>
        <v>62030</v>
      </c>
      <c r="AR118" s="33">
        <f t="shared" si="69"/>
        <v>55030</v>
      </c>
      <c r="AS118">
        <f t="shared" si="70"/>
        <v>59405</v>
      </c>
      <c r="AT118" s="5">
        <f t="shared" si="71"/>
        <v>57655</v>
      </c>
      <c r="AU118" s="5">
        <f t="shared" si="72"/>
        <v>65530</v>
      </c>
      <c r="AV118" s="5">
        <f t="shared" si="73"/>
        <v>51530</v>
      </c>
      <c r="AW118" s="5">
        <f t="shared" si="74"/>
        <v>59113.333333333336</v>
      </c>
      <c r="AX118" s="5">
        <f t="shared" si="75"/>
        <v>57946.666666666664</v>
      </c>
      <c r="AY118" s="5">
        <f t="shared" si="76"/>
        <v>69030</v>
      </c>
      <c r="AZ118" s="5">
        <f t="shared" si="77"/>
        <v>48030</v>
      </c>
      <c r="BB118" s="32" t="str">
        <f t="shared" si="54"/>
        <v>24/12/2023</v>
      </c>
      <c r="BC118" s="33">
        <f t="shared" si="54"/>
        <v>59070</v>
      </c>
      <c r="BD118" s="4" t="str">
        <f t="shared" si="54"/>
        <v>A4</v>
      </c>
      <c r="BE118">
        <f t="shared" si="78"/>
        <v>58023.75</v>
      </c>
      <c r="BF118">
        <f t="shared" si="79"/>
        <v>56273.75</v>
      </c>
      <c r="BG118" s="38">
        <f t="shared" si="80"/>
        <v>58898.75</v>
      </c>
      <c r="BH118">
        <f t="shared" si="81"/>
        <v>55398.75</v>
      </c>
      <c r="BI118">
        <f t="shared" si="82"/>
        <v>57586.25</v>
      </c>
      <c r="BJ118">
        <f t="shared" si="83"/>
        <v>56711.25</v>
      </c>
      <c r="BK118">
        <f t="shared" si="84"/>
        <v>60648.75</v>
      </c>
      <c r="BL118">
        <f t="shared" si="85"/>
        <v>53648.75</v>
      </c>
      <c r="BM118">
        <f t="shared" si="86"/>
        <v>57440.416666666672</v>
      </c>
      <c r="BN118">
        <f t="shared" si="87"/>
        <v>56857.083333333328</v>
      </c>
      <c r="BO118">
        <f t="shared" si="88"/>
        <v>62398.75</v>
      </c>
      <c r="BP118">
        <f t="shared" si="89"/>
        <v>51898.75</v>
      </c>
      <c r="BQ118" s="7">
        <f>BG118</f>
        <v>58898.75</v>
      </c>
      <c r="BS118" s="30">
        <f t="shared" si="55"/>
        <v>59070</v>
      </c>
      <c r="BT118" s="4">
        <f t="shared" si="56"/>
        <v>58898.75</v>
      </c>
      <c r="BU118" s="37">
        <f t="shared" si="57"/>
        <v>171.25</v>
      </c>
      <c r="BV118">
        <f t="shared" si="58"/>
        <v>171.25</v>
      </c>
      <c r="BW118" s="35">
        <f t="shared" si="59"/>
        <v>2.899102759437955E-3</v>
      </c>
    </row>
    <row r="119" spans="1:75">
      <c r="A119" s="1" t="s">
        <v>120</v>
      </c>
      <c r="B119" s="1">
        <v>61530</v>
      </c>
      <c r="Q119">
        <v>116</v>
      </c>
      <c r="R119" s="27" t="str">
        <f t="shared" si="50"/>
        <v>25/12/2023</v>
      </c>
      <c r="S119" s="27">
        <f t="shared" si="50"/>
        <v>59810</v>
      </c>
      <c r="T119" s="4" t="str">
        <f t="shared" si="51"/>
        <v>A4</v>
      </c>
      <c r="V119">
        <v>116</v>
      </c>
      <c r="W119" s="28" t="str">
        <f t="shared" si="49"/>
        <v>25/12/2023</v>
      </c>
      <c r="X119" s="28">
        <f t="shared" si="49"/>
        <v>59810</v>
      </c>
      <c r="Y119" s="28" t="str">
        <f t="shared" si="49"/>
        <v>A4</v>
      </c>
      <c r="Z119" s="5" t="str">
        <f t="shared" si="60"/>
        <v>A3</v>
      </c>
      <c r="AA119" s="5" t="str">
        <f t="shared" si="61"/>
        <v>A4</v>
      </c>
      <c r="AG119" s="29" t="str">
        <f t="shared" si="52"/>
        <v>25/12/2023</v>
      </c>
      <c r="AH119" s="30">
        <f t="shared" si="52"/>
        <v>59810</v>
      </c>
      <c r="AI119" s="4" t="str">
        <f t="shared" si="53"/>
        <v>A4</v>
      </c>
      <c r="AJ119" s="5" t="str">
        <f t="shared" si="62"/>
        <v>A3</v>
      </c>
      <c r="AK119">
        <f t="shared" si="63"/>
        <v>55767.5</v>
      </c>
      <c r="AL119" t="str">
        <f t="shared" si="64"/>
        <v>A4</v>
      </c>
      <c r="AM119">
        <f t="shared" si="65"/>
        <v>61798.5</v>
      </c>
      <c r="AN119" s="6">
        <f t="shared" si="66"/>
        <v>3820</v>
      </c>
      <c r="AO119">
        <f t="shared" si="67"/>
        <v>60980</v>
      </c>
      <c r="AP119">
        <f t="shared" si="90"/>
        <v>57160</v>
      </c>
      <c r="AQ119" s="33">
        <f t="shared" si="68"/>
        <v>62890</v>
      </c>
      <c r="AR119" s="33">
        <f t="shared" si="69"/>
        <v>55250</v>
      </c>
      <c r="AS119">
        <f t="shared" si="70"/>
        <v>60025</v>
      </c>
      <c r="AT119" s="5">
        <f t="shared" si="71"/>
        <v>58115</v>
      </c>
      <c r="AU119" s="5">
        <f t="shared" si="72"/>
        <v>66710</v>
      </c>
      <c r="AV119" s="5">
        <f t="shared" si="73"/>
        <v>51430</v>
      </c>
      <c r="AW119" s="5">
        <f t="shared" si="74"/>
        <v>59706.666666666664</v>
      </c>
      <c r="AX119" s="5">
        <f t="shared" si="75"/>
        <v>58433.333333333336</v>
      </c>
      <c r="AY119" s="5">
        <f t="shared" si="76"/>
        <v>70530</v>
      </c>
      <c r="AZ119" s="5">
        <f t="shared" si="77"/>
        <v>47610</v>
      </c>
      <c r="BB119" s="32" t="str">
        <f t="shared" si="54"/>
        <v>25/12/2023</v>
      </c>
      <c r="BC119" s="33">
        <f t="shared" si="54"/>
        <v>59810</v>
      </c>
      <c r="BD119" s="4" t="str">
        <f t="shared" si="54"/>
        <v>A4</v>
      </c>
      <c r="BE119">
        <f t="shared" si="78"/>
        <v>61389.25</v>
      </c>
      <c r="BF119">
        <f t="shared" si="79"/>
        <v>59479.25</v>
      </c>
      <c r="BG119">
        <f t="shared" si="80"/>
        <v>62344.25</v>
      </c>
      <c r="BH119">
        <f t="shared" si="81"/>
        <v>58524.25</v>
      </c>
      <c r="BI119">
        <f t="shared" si="82"/>
        <v>60911.75</v>
      </c>
      <c r="BJ119" s="38">
        <f t="shared" si="83"/>
        <v>59956.75</v>
      </c>
      <c r="BK119">
        <f t="shared" si="84"/>
        <v>64254.25</v>
      </c>
      <c r="BL119">
        <f t="shared" si="85"/>
        <v>56614.25</v>
      </c>
      <c r="BM119">
        <f t="shared" si="86"/>
        <v>60752.583333333328</v>
      </c>
      <c r="BN119">
        <f t="shared" si="87"/>
        <v>60115.916666666672</v>
      </c>
      <c r="BO119">
        <f t="shared" si="88"/>
        <v>66164.25</v>
      </c>
      <c r="BP119">
        <f t="shared" si="89"/>
        <v>54704.25</v>
      </c>
      <c r="BQ119" s="7">
        <f>BJ119</f>
        <v>59956.75</v>
      </c>
      <c r="BS119" s="30">
        <f t="shared" si="55"/>
        <v>59810</v>
      </c>
      <c r="BT119" s="4">
        <f t="shared" si="56"/>
        <v>59956.75</v>
      </c>
      <c r="BU119" s="37">
        <f t="shared" si="57"/>
        <v>-146.75</v>
      </c>
      <c r="BV119">
        <f t="shared" si="58"/>
        <v>146.75</v>
      </c>
      <c r="BW119" s="35">
        <f t="shared" si="59"/>
        <v>2.4536030764086272E-3</v>
      </c>
    </row>
    <row r="120" spans="1:75">
      <c r="A120" s="1" t="s">
        <v>121</v>
      </c>
      <c r="B120" s="1">
        <v>59510</v>
      </c>
      <c r="Q120">
        <v>117</v>
      </c>
      <c r="R120" s="27" t="str">
        <f t="shared" si="50"/>
        <v>26/12/2023</v>
      </c>
      <c r="S120" s="27">
        <f t="shared" si="50"/>
        <v>61730</v>
      </c>
      <c r="T120" s="4" t="str">
        <f t="shared" si="51"/>
        <v>A4</v>
      </c>
      <c r="V120">
        <v>117</v>
      </c>
      <c r="W120" s="28" t="str">
        <f t="shared" si="49"/>
        <v>26/12/2023</v>
      </c>
      <c r="X120" s="28">
        <f t="shared" si="49"/>
        <v>61730</v>
      </c>
      <c r="Y120" s="28" t="str">
        <f t="shared" si="49"/>
        <v>A4</v>
      </c>
      <c r="Z120" s="5" t="str">
        <f t="shared" si="60"/>
        <v>A4</v>
      </c>
      <c r="AA120" s="5" t="str">
        <f t="shared" si="61"/>
        <v>A4</v>
      </c>
      <c r="AG120" s="29" t="str">
        <f t="shared" si="52"/>
        <v>26/12/2023</v>
      </c>
      <c r="AH120" s="30">
        <f t="shared" si="52"/>
        <v>61730</v>
      </c>
      <c r="AI120" s="4" t="str">
        <f t="shared" si="53"/>
        <v>A4</v>
      </c>
      <c r="AJ120" s="5" t="str">
        <f t="shared" si="62"/>
        <v>A4</v>
      </c>
      <c r="AK120">
        <f t="shared" si="63"/>
        <v>61798.5</v>
      </c>
      <c r="AL120" t="str">
        <f t="shared" si="64"/>
        <v>A4</v>
      </c>
      <c r="AM120">
        <f t="shared" si="65"/>
        <v>61798.5</v>
      </c>
      <c r="AN120" s="6">
        <f t="shared" si="66"/>
        <v>200</v>
      </c>
      <c r="AO120">
        <f t="shared" si="67"/>
        <v>59910</v>
      </c>
      <c r="AP120">
        <f t="shared" si="90"/>
        <v>59710</v>
      </c>
      <c r="AQ120" s="33">
        <f t="shared" si="68"/>
        <v>60010</v>
      </c>
      <c r="AR120" s="33">
        <f t="shared" si="69"/>
        <v>59610</v>
      </c>
      <c r="AS120">
        <f t="shared" si="70"/>
        <v>59860</v>
      </c>
      <c r="AT120" s="5">
        <f t="shared" si="71"/>
        <v>59760</v>
      </c>
      <c r="AU120" s="5">
        <f t="shared" si="72"/>
        <v>60210</v>
      </c>
      <c r="AV120" s="5">
        <f t="shared" si="73"/>
        <v>59410</v>
      </c>
      <c r="AW120" s="5">
        <f t="shared" si="74"/>
        <v>59843.333333333336</v>
      </c>
      <c r="AX120" s="5">
        <f t="shared" si="75"/>
        <v>59776.666666666664</v>
      </c>
      <c r="AY120" s="5">
        <f t="shared" si="76"/>
        <v>60410</v>
      </c>
      <c r="AZ120" s="5">
        <f t="shared" si="77"/>
        <v>59210</v>
      </c>
      <c r="BB120" s="32" t="str">
        <f t="shared" si="54"/>
        <v>26/12/2023</v>
      </c>
      <c r="BC120" s="33">
        <f t="shared" si="54"/>
        <v>61730</v>
      </c>
      <c r="BD120" s="4" t="str">
        <f t="shared" si="54"/>
        <v>A4</v>
      </c>
      <c r="BE120">
        <f t="shared" si="78"/>
        <v>60854.25</v>
      </c>
      <c r="BF120">
        <f t="shared" si="79"/>
        <v>60754.25</v>
      </c>
      <c r="BG120">
        <f t="shared" si="80"/>
        <v>60904.25</v>
      </c>
      <c r="BH120">
        <f t="shared" si="81"/>
        <v>60704.25</v>
      </c>
      <c r="BI120">
        <f t="shared" si="82"/>
        <v>60829.25</v>
      </c>
      <c r="BJ120">
        <f t="shared" si="83"/>
        <v>60779.25</v>
      </c>
      <c r="BK120">
        <f t="shared" si="84"/>
        <v>61004.25</v>
      </c>
      <c r="BL120">
        <f t="shared" si="85"/>
        <v>60604.25</v>
      </c>
      <c r="BM120">
        <f t="shared" si="86"/>
        <v>60820.916666666672</v>
      </c>
      <c r="BN120">
        <f t="shared" si="87"/>
        <v>60787.583333333328</v>
      </c>
      <c r="BO120" s="38">
        <f t="shared" si="88"/>
        <v>61104.25</v>
      </c>
      <c r="BP120">
        <f t="shared" si="89"/>
        <v>60504.25</v>
      </c>
      <c r="BQ120" s="7">
        <f>BO120</f>
        <v>61104.25</v>
      </c>
      <c r="BS120" s="30">
        <f t="shared" si="55"/>
        <v>61730</v>
      </c>
      <c r="BT120" s="4">
        <f t="shared" si="56"/>
        <v>61104.25</v>
      </c>
      <c r="BU120" s="37">
        <f t="shared" si="57"/>
        <v>625.75</v>
      </c>
      <c r="BV120">
        <f t="shared" si="58"/>
        <v>625.75</v>
      </c>
      <c r="BW120" s="35">
        <f t="shared" si="59"/>
        <v>1.0136886440952534E-2</v>
      </c>
    </row>
    <row r="121" spans="1:75">
      <c r="A121" s="1" t="s">
        <v>122</v>
      </c>
      <c r="B121" s="1">
        <v>59530</v>
      </c>
      <c r="Q121">
        <v>118</v>
      </c>
      <c r="R121" s="27" t="str">
        <f t="shared" si="50"/>
        <v>27/12/2023</v>
      </c>
      <c r="S121" s="27">
        <f t="shared" si="50"/>
        <v>61530</v>
      </c>
      <c r="T121" s="4" t="str">
        <f t="shared" si="51"/>
        <v>A4</v>
      </c>
      <c r="V121">
        <v>118</v>
      </c>
      <c r="W121" s="28" t="str">
        <f t="shared" si="49"/>
        <v>27/12/2023</v>
      </c>
      <c r="X121" s="28">
        <f t="shared" si="49"/>
        <v>61530</v>
      </c>
      <c r="Y121" s="28" t="str">
        <f t="shared" si="49"/>
        <v>A4</v>
      </c>
      <c r="Z121" s="5" t="str">
        <f t="shared" si="60"/>
        <v>A4</v>
      </c>
      <c r="AA121" s="5" t="str">
        <f t="shared" si="61"/>
        <v>A4</v>
      </c>
      <c r="AG121" s="29" t="str">
        <f t="shared" si="52"/>
        <v>27/12/2023</v>
      </c>
      <c r="AH121" s="30">
        <f t="shared" si="52"/>
        <v>61530</v>
      </c>
      <c r="AI121" s="4" t="str">
        <f t="shared" si="53"/>
        <v>A4</v>
      </c>
      <c r="AJ121" s="5" t="str">
        <f t="shared" si="62"/>
        <v>A4</v>
      </c>
      <c r="AK121">
        <f t="shared" si="63"/>
        <v>61798.5</v>
      </c>
      <c r="AL121" t="str">
        <f t="shared" si="64"/>
        <v>A4</v>
      </c>
      <c r="AM121">
        <f t="shared" si="65"/>
        <v>61798.5</v>
      </c>
      <c r="AN121" s="6">
        <f t="shared" si="66"/>
        <v>1180</v>
      </c>
      <c r="AO121">
        <f t="shared" si="67"/>
        <v>62320</v>
      </c>
      <c r="AP121">
        <f t="shared" si="90"/>
        <v>61140</v>
      </c>
      <c r="AQ121" s="33">
        <f t="shared" si="68"/>
        <v>62910</v>
      </c>
      <c r="AR121" s="33">
        <f t="shared" si="69"/>
        <v>60550</v>
      </c>
      <c r="AS121">
        <f t="shared" si="70"/>
        <v>62025</v>
      </c>
      <c r="AT121" s="5">
        <f t="shared" si="71"/>
        <v>61435</v>
      </c>
      <c r="AU121" s="5">
        <f t="shared" si="72"/>
        <v>64090</v>
      </c>
      <c r="AV121" s="5">
        <f t="shared" si="73"/>
        <v>59370</v>
      </c>
      <c r="AW121" s="5">
        <f t="shared" si="74"/>
        <v>61926.666666666664</v>
      </c>
      <c r="AX121" s="5">
        <f t="shared" si="75"/>
        <v>61533.333333333336</v>
      </c>
      <c r="AY121" s="5">
        <f t="shared" si="76"/>
        <v>65270</v>
      </c>
      <c r="AZ121" s="5">
        <f t="shared" si="77"/>
        <v>58190</v>
      </c>
      <c r="BB121" s="32" t="str">
        <f t="shared" si="54"/>
        <v>27/12/2023</v>
      </c>
      <c r="BC121" s="33">
        <f t="shared" si="54"/>
        <v>61530</v>
      </c>
      <c r="BD121" s="4" t="str">
        <f t="shared" si="54"/>
        <v>A4</v>
      </c>
      <c r="BE121">
        <f t="shared" si="78"/>
        <v>62059.25</v>
      </c>
      <c r="BF121" s="38">
        <f t="shared" si="79"/>
        <v>61469.25</v>
      </c>
      <c r="BG121">
        <f t="shared" si="80"/>
        <v>62354.25</v>
      </c>
      <c r="BH121">
        <f t="shared" si="81"/>
        <v>61174.25</v>
      </c>
      <c r="BI121">
        <f t="shared" si="82"/>
        <v>61911.75</v>
      </c>
      <c r="BJ121">
        <f t="shared" si="83"/>
        <v>61616.75</v>
      </c>
      <c r="BK121">
        <f t="shared" si="84"/>
        <v>62944.25</v>
      </c>
      <c r="BL121">
        <f t="shared" si="85"/>
        <v>60584.25</v>
      </c>
      <c r="BM121">
        <f t="shared" si="86"/>
        <v>61862.583333333328</v>
      </c>
      <c r="BN121">
        <f t="shared" si="87"/>
        <v>61665.916666666672</v>
      </c>
      <c r="BO121">
        <f t="shared" si="88"/>
        <v>63534.25</v>
      </c>
      <c r="BP121">
        <f t="shared" si="89"/>
        <v>59994.25</v>
      </c>
      <c r="BQ121" s="7">
        <f>BF121</f>
        <v>61469.25</v>
      </c>
      <c r="BS121" s="30">
        <f t="shared" si="55"/>
        <v>61530</v>
      </c>
      <c r="BT121" s="4">
        <f t="shared" si="56"/>
        <v>61469.25</v>
      </c>
      <c r="BU121" s="37">
        <f t="shared" si="57"/>
        <v>60.75</v>
      </c>
      <c r="BV121">
        <f t="shared" si="58"/>
        <v>60.75</v>
      </c>
      <c r="BW121" s="35">
        <f t="shared" si="59"/>
        <v>9.8732325694783022E-4</v>
      </c>
    </row>
    <row r="122" spans="1:75">
      <c r="A122" s="1" t="s">
        <v>123</v>
      </c>
      <c r="B122" s="1">
        <v>60580</v>
      </c>
      <c r="Q122">
        <v>119</v>
      </c>
      <c r="R122" s="27" t="str">
        <f t="shared" si="50"/>
        <v>28/12/2023</v>
      </c>
      <c r="S122" s="27">
        <f t="shared" si="50"/>
        <v>59510</v>
      </c>
      <c r="T122" s="4" t="str">
        <f t="shared" si="51"/>
        <v>A4</v>
      </c>
      <c r="V122">
        <v>119</v>
      </c>
      <c r="W122" s="28" t="str">
        <f t="shared" si="49"/>
        <v>28/12/2023</v>
      </c>
      <c r="X122" s="28">
        <f t="shared" si="49"/>
        <v>59510</v>
      </c>
      <c r="Y122" s="28" t="str">
        <f t="shared" si="49"/>
        <v>A4</v>
      </c>
      <c r="Z122" s="5" t="str">
        <f t="shared" si="60"/>
        <v>A4</v>
      </c>
      <c r="AA122" s="5" t="str">
        <f t="shared" si="61"/>
        <v>A4</v>
      </c>
      <c r="AG122" s="29" t="str">
        <f t="shared" si="52"/>
        <v>28/12/2023</v>
      </c>
      <c r="AH122" s="30">
        <f t="shared" si="52"/>
        <v>59510</v>
      </c>
      <c r="AI122" s="4" t="str">
        <f t="shared" si="53"/>
        <v>A4</v>
      </c>
      <c r="AJ122" s="5" t="str">
        <f t="shared" si="62"/>
        <v>A4</v>
      </c>
      <c r="AK122">
        <f t="shared" si="63"/>
        <v>61798.5</v>
      </c>
      <c r="AL122" t="str">
        <f t="shared" si="64"/>
        <v>A4</v>
      </c>
      <c r="AM122">
        <f t="shared" si="65"/>
        <v>61798.5</v>
      </c>
      <c r="AN122" s="6">
        <f t="shared" si="66"/>
        <v>1720</v>
      </c>
      <c r="AO122">
        <f t="shared" si="67"/>
        <v>62390</v>
      </c>
      <c r="AP122">
        <f t="shared" si="90"/>
        <v>60670</v>
      </c>
      <c r="AQ122" s="33">
        <f t="shared" si="68"/>
        <v>63250</v>
      </c>
      <c r="AR122" s="33">
        <f t="shared" si="69"/>
        <v>59810</v>
      </c>
      <c r="AS122">
        <f t="shared" si="70"/>
        <v>61960</v>
      </c>
      <c r="AT122" s="5">
        <f t="shared" si="71"/>
        <v>61100</v>
      </c>
      <c r="AU122" s="5">
        <f t="shared" si="72"/>
        <v>64970</v>
      </c>
      <c r="AV122" s="5">
        <f t="shared" si="73"/>
        <v>58090</v>
      </c>
      <c r="AW122" s="5">
        <f t="shared" si="74"/>
        <v>61816.666666666664</v>
      </c>
      <c r="AX122" s="5">
        <f t="shared" si="75"/>
        <v>61243.333333333336</v>
      </c>
      <c r="AY122" s="5">
        <f t="shared" si="76"/>
        <v>66690</v>
      </c>
      <c r="AZ122" s="5">
        <f t="shared" si="77"/>
        <v>56370</v>
      </c>
      <c r="BB122" s="32" t="str">
        <f t="shared" si="54"/>
        <v>28/12/2023</v>
      </c>
      <c r="BC122" s="33">
        <f t="shared" si="54"/>
        <v>59510</v>
      </c>
      <c r="BD122" s="4" t="str">
        <f t="shared" si="54"/>
        <v>A4</v>
      </c>
      <c r="BE122">
        <f t="shared" si="78"/>
        <v>62094.25</v>
      </c>
      <c r="BF122">
        <f t="shared" si="79"/>
        <v>61234.25</v>
      </c>
      <c r="BG122">
        <f t="shared" si="80"/>
        <v>62524.25</v>
      </c>
      <c r="BH122">
        <f t="shared" si="81"/>
        <v>60804.25</v>
      </c>
      <c r="BI122">
        <f t="shared" si="82"/>
        <v>61879.25</v>
      </c>
      <c r="BJ122">
        <f t="shared" si="83"/>
        <v>61449.25</v>
      </c>
      <c r="BK122">
        <f t="shared" si="84"/>
        <v>63384.25</v>
      </c>
      <c r="BL122">
        <f t="shared" si="85"/>
        <v>59944.25</v>
      </c>
      <c r="BM122">
        <f t="shared" si="86"/>
        <v>61807.583333333328</v>
      </c>
      <c r="BN122">
        <f t="shared" si="87"/>
        <v>61520.916666666672</v>
      </c>
      <c r="BO122">
        <f t="shared" si="88"/>
        <v>64244.25</v>
      </c>
      <c r="BP122" s="38">
        <f t="shared" si="89"/>
        <v>59084.25</v>
      </c>
      <c r="BQ122" s="7">
        <f>BP122</f>
        <v>59084.25</v>
      </c>
      <c r="BS122" s="30">
        <f t="shared" si="55"/>
        <v>59510</v>
      </c>
      <c r="BT122" s="4">
        <f t="shared" si="56"/>
        <v>59084.25</v>
      </c>
      <c r="BU122" s="37">
        <f t="shared" si="57"/>
        <v>425.75</v>
      </c>
      <c r="BV122">
        <f t="shared" si="58"/>
        <v>425.75</v>
      </c>
      <c r="BW122" s="35">
        <f t="shared" si="59"/>
        <v>7.1542597882708787E-3</v>
      </c>
    </row>
    <row r="123" spans="1:75">
      <c r="A123" s="1" t="s">
        <v>124</v>
      </c>
      <c r="B123" s="1">
        <v>54950</v>
      </c>
      <c r="Q123">
        <v>120</v>
      </c>
      <c r="R123" s="27" t="str">
        <f t="shared" si="50"/>
        <v>29/12/2023</v>
      </c>
      <c r="S123" s="27">
        <f t="shared" si="50"/>
        <v>59530</v>
      </c>
      <c r="T123" s="4" t="str">
        <f t="shared" si="51"/>
        <v>A4</v>
      </c>
      <c r="V123">
        <v>120</v>
      </c>
      <c r="W123" s="28" t="str">
        <f t="shared" si="49"/>
        <v>29/12/2023</v>
      </c>
      <c r="X123" s="28">
        <f t="shared" si="49"/>
        <v>59530</v>
      </c>
      <c r="Y123" s="28" t="str">
        <f t="shared" si="49"/>
        <v>A4</v>
      </c>
      <c r="Z123" s="5" t="str">
        <f t="shared" si="60"/>
        <v>A4</v>
      </c>
      <c r="AA123" s="5" t="str">
        <f t="shared" si="61"/>
        <v>A4</v>
      </c>
      <c r="AG123" s="29" t="str">
        <f t="shared" si="52"/>
        <v>29/12/2023</v>
      </c>
      <c r="AH123" s="30">
        <f t="shared" si="52"/>
        <v>59530</v>
      </c>
      <c r="AI123" s="4" t="str">
        <f t="shared" si="53"/>
        <v>A4</v>
      </c>
      <c r="AJ123" s="5" t="str">
        <f t="shared" si="62"/>
        <v>A4</v>
      </c>
      <c r="AK123">
        <f t="shared" si="63"/>
        <v>61798.5</v>
      </c>
      <c r="AL123" t="str">
        <f t="shared" si="64"/>
        <v>A4</v>
      </c>
      <c r="AM123">
        <f t="shared" si="65"/>
        <v>61798.5</v>
      </c>
      <c r="AN123" s="6">
        <f t="shared" si="66"/>
        <v>1820</v>
      </c>
      <c r="AO123">
        <f t="shared" si="67"/>
        <v>60420</v>
      </c>
      <c r="AP123">
        <f t="shared" si="90"/>
        <v>58600</v>
      </c>
      <c r="AQ123" s="33">
        <f t="shared" si="68"/>
        <v>61330</v>
      </c>
      <c r="AR123" s="33">
        <f t="shared" si="69"/>
        <v>57690</v>
      </c>
      <c r="AS123">
        <f t="shared" si="70"/>
        <v>59965</v>
      </c>
      <c r="AT123" s="5">
        <f t="shared" si="71"/>
        <v>59055</v>
      </c>
      <c r="AU123" s="5">
        <f t="shared" si="72"/>
        <v>63150</v>
      </c>
      <c r="AV123" s="5">
        <f t="shared" si="73"/>
        <v>55870</v>
      </c>
      <c r="AW123" s="5">
        <f t="shared" si="74"/>
        <v>59813.333333333336</v>
      </c>
      <c r="AX123" s="5">
        <f t="shared" si="75"/>
        <v>59206.666666666664</v>
      </c>
      <c r="AY123" s="5">
        <f t="shared" si="76"/>
        <v>64970</v>
      </c>
      <c r="AZ123" s="5">
        <f t="shared" si="77"/>
        <v>54050</v>
      </c>
      <c r="BB123" s="32" t="str">
        <f t="shared" si="54"/>
        <v>29/12/2023</v>
      </c>
      <c r="BC123" s="33">
        <f t="shared" si="54"/>
        <v>59530</v>
      </c>
      <c r="BD123" s="4" t="str">
        <f t="shared" si="54"/>
        <v>A4</v>
      </c>
      <c r="BE123">
        <f t="shared" si="78"/>
        <v>61109.25</v>
      </c>
      <c r="BF123" s="38">
        <f t="shared" si="79"/>
        <v>60199.25</v>
      </c>
      <c r="BG123">
        <f t="shared" si="80"/>
        <v>61564.25</v>
      </c>
      <c r="BH123">
        <f t="shared" si="81"/>
        <v>59744.25</v>
      </c>
      <c r="BI123">
        <f t="shared" si="82"/>
        <v>60881.75</v>
      </c>
      <c r="BJ123">
        <f t="shared" si="83"/>
        <v>60426.75</v>
      </c>
      <c r="BK123">
        <f t="shared" si="84"/>
        <v>62474.25</v>
      </c>
      <c r="BL123">
        <f t="shared" si="85"/>
        <v>58834.25</v>
      </c>
      <c r="BM123">
        <f t="shared" si="86"/>
        <v>60805.916666666672</v>
      </c>
      <c r="BN123">
        <f t="shared" si="87"/>
        <v>60502.583333333328</v>
      </c>
      <c r="BO123">
        <f t="shared" si="88"/>
        <v>63384.25</v>
      </c>
      <c r="BP123">
        <f t="shared" si="89"/>
        <v>57924.25</v>
      </c>
      <c r="BQ123" s="7">
        <f>BF123</f>
        <v>60199.25</v>
      </c>
      <c r="BS123" s="30">
        <f t="shared" si="55"/>
        <v>59530</v>
      </c>
      <c r="BT123" s="4">
        <f t="shared" si="56"/>
        <v>60199.25</v>
      </c>
      <c r="BU123" s="37">
        <f t="shared" si="57"/>
        <v>-669.25</v>
      </c>
      <c r="BV123">
        <f t="shared" si="58"/>
        <v>669.25</v>
      </c>
      <c r="BW123" s="35">
        <f t="shared" si="59"/>
        <v>1.1242230807995968E-2</v>
      </c>
    </row>
    <row r="124" spans="1:75">
      <c r="A124" s="1" t="s">
        <v>125</v>
      </c>
      <c r="B124" s="1">
        <v>62750</v>
      </c>
      <c r="Q124">
        <v>121</v>
      </c>
      <c r="R124" s="27" t="str">
        <f t="shared" si="50"/>
        <v>30/12/2023</v>
      </c>
      <c r="S124" s="27">
        <f t="shared" si="50"/>
        <v>60580</v>
      </c>
      <c r="T124" s="4" t="str">
        <f t="shared" si="51"/>
        <v>A4</v>
      </c>
      <c r="V124">
        <v>121</v>
      </c>
      <c r="W124" s="28" t="str">
        <f t="shared" si="49"/>
        <v>30/12/2023</v>
      </c>
      <c r="X124" s="28">
        <f t="shared" si="49"/>
        <v>60580</v>
      </c>
      <c r="Y124" s="28" t="str">
        <f t="shared" si="49"/>
        <v>A4</v>
      </c>
      <c r="Z124" s="5" t="str">
        <f t="shared" si="60"/>
        <v>A4</v>
      </c>
      <c r="AA124" s="5" t="str">
        <f t="shared" si="61"/>
        <v>A4</v>
      </c>
      <c r="AG124" s="29" t="str">
        <f t="shared" si="52"/>
        <v>30/12/2023</v>
      </c>
      <c r="AH124" s="30">
        <f t="shared" si="52"/>
        <v>60580</v>
      </c>
      <c r="AI124" s="4" t="str">
        <f t="shared" si="53"/>
        <v>A4</v>
      </c>
      <c r="AJ124" s="5" t="str">
        <f t="shared" si="62"/>
        <v>A4</v>
      </c>
      <c r="AK124">
        <f t="shared" si="63"/>
        <v>61798.5</v>
      </c>
      <c r="AL124" t="str">
        <f t="shared" si="64"/>
        <v>A4</v>
      </c>
      <c r="AM124">
        <f t="shared" si="65"/>
        <v>61798.5</v>
      </c>
      <c r="AN124" s="6">
        <f t="shared" si="66"/>
        <v>2000</v>
      </c>
      <c r="AO124">
        <f t="shared" si="67"/>
        <v>60530</v>
      </c>
      <c r="AP124">
        <f t="shared" si="90"/>
        <v>58530</v>
      </c>
      <c r="AQ124" s="33">
        <f t="shared" si="68"/>
        <v>61530</v>
      </c>
      <c r="AR124" s="33">
        <f t="shared" si="69"/>
        <v>57530</v>
      </c>
      <c r="AS124">
        <f t="shared" si="70"/>
        <v>60030</v>
      </c>
      <c r="AT124" s="5">
        <f t="shared" si="71"/>
        <v>59030</v>
      </c>
      <c r="AU124" s="5">
        <f t="shared" si="72"/>
        <v>63530</v>
      </c>
      <c r="AV124" s="5">
        <f t="shared" si="73"/>
        <v>55530</v>
      </c>
      <c r="AW124" s="5">
        <f t="shared" si="74"/>
        <v>59863.333333333336</v>
      </c>
      <c r="AX124" s="5">
        <f t="shared" si="75"/>
        <v>59196.666666666664</v>
      </c>
      <c r="AY124" s="5">
        <f t="shared" si="76"/>
        <v>65530</v>
      </c>
      <c r="AZ124" s="5">
        <f t="shared" si="77"/>
        <v>53530</v>
      </c>
      <c r="BB124" s="32" t="str">
        <f t="shared" si="54"/>
        <v>30/12/2023</v>
      </c>
      <c r="BC124" s="33">
        <f t="shared" si="54"/>
        <v>60580</v>
      </c>
      <c r="BD124" s="4" t="str">
        <f t="shared" si="54"/>
        <v>A4</v>
      </c>
      <c r="BE124">
        <f t="shared" si="78"/>
        <v>61164.25</v>
      </c>
      <c r="BF124">
        <f t="shared" si="79"/>
        <v>60164.25</v>
      </c>
      <c r="BG124">
        <f t="shared" si="80"/>
        <v>61664.25</v>
      </c>
      <c r="BH124">
        <f t="shared" si="81"/>
        <v>59664.25</v>
      </c>
      <c r="BI124">
        <f t="shared" si="82"/>
        <v>60914.25</v>
      </c>
      <c r="BJ124">
        <f t="shared" si="83"/>
        <v>60414.25</v>
      </c>
      <c r="BK124">
        <f t="shared" si="84"/>
        <v>62664.25</v>
      </c>
      <c r="BL124">
        <f t="shared" si="85"/>
        <v>58664.25</v>
      </c>
      <c r="BM124">
        <f t="shared" si="86"/>
        <v>60830.916666666672</v>
      </c>
      <c r="BN124" s="38">
        <f t="shared" si="87"/>
        <v>60497.583333333328</v>
      </c>
      <c r="BO124">
        <f t="shared" si="88"/>
        <v>63664.25</v>
      </c>
      <c r="BP124">
        <f t="shared" si="89"/>
        <v>57664.25</v>
      </c>
      <c r="BQ124" s="7">
        <f>BN124</f>
        <v>60497.583333333328</v>
      </c>
      <c r="BS124" s="30">
        <f t="shared" si="55"/>
        <v>60580</v>
      </c>
      <c r="BT124" s="4">
        <f t="shared" si="56"/>
        <v>60497.583333333328</v>
      </c>
      <c r="BU124" s="37">
        <f t="shared" si="57"/>
        <v>82.416666666671517</v>
      </c>
      <c r="BV124">
        <f t="shared" si="58"/>
        <v>82.416666666671517</v>
      </c>
      <c r="BW124" s="35">
        <f t="shared" si="59"/>
        <v>1.3604599977991337E-3</v>
      </c>
    </row>
    <row r="125" spans="1:75">
      <c r="A125" s="1" t="s">
        <v>126</v>
      </c>
      <c r="B125" s="1">
        <v>57010</v>
      </c>
      <c r="Q125">
        <v>122</v>
      </c>
      <c r="R125" s="27" t="str">
        <f t="shared" si="50"/>
        <v>31/12/2023</v>
      </c>
      <c r="S125" s="27">
        <f t="shared" si="50"/>
        <v>54950</v>
      </c>
      <c r="T125" s="4" t="str">
        <f t="shared" si="51"/>
        <v>A3</v>
      </c>
      <c r="V125">
        <v>122</v>
      </c>
      <c r="W125" s="28" t="str">
        <f t="shared" si="49"/>
        <v>31/12/2023</v>
      </c>
      <c r="X125" s="28">
        <f t="shared" si="49"/>
        <v>54950</v>
      </c>
      <c r="Y125" s="28" t="str">
        <f t="shared" si="49"/>
        <v>A3</v>
      </c>
      <c r="Z125" s="5" t="str">
        <f t="shared" si="60"/>
        <v>A4</v>
      </c>
      <c r="AA125" s="5" t="str">
        <f t="shared" si="61"/>
        <v>A4</v>
      </c>
      <c r="AG125" s="29" t="str">
        <f t="shared" si="52"/>
        <v>31/12/2023</v>
      </c>
      <c r="AH125" s="30">
        <f t="shared" si="52"/>
        <v>54950</v>
      </c>
      <c r="AI125" s="4" t="str">
        <f t="shared" si="53"/>
        <v>A3</v>
      </c>
      <c r="AJ125" s="5" t="str">
        <f t="shared" si="62"/>
        <v>A4</v>
      </c>
      <c r="AK125">
        <f t="shared" si="63"/>
        <v>61798.5</v>
      </c>
      <c r="AL125" t="str">
        <f t="shared" si="64"/>
        <v>A4</v>
      </c>
      <c r="AM125">
        <f t="shared" si="65"/>
        <v>61798.5</v>
      </c>
      <c r="AN125" s="6">
        <f t="shared" si="66"/>
        <v>1030</v>
      </c>
      <c r="AO125">
        <f t="shared" si="67"/>
        <v>61095</v>
      </c>
      <c r="AP125">
        <f t="shared" si="90"/>
        <v>60065</v>
      </c>
      <c r="AQ125" s="33">
        <f t="shared" si="68"/>
        <v>61610</v>
      </c>
      <c r="AR125" s="33">
        <f t="shared" si="69"/>
        <v>59550</v>
      </c>
      <c r="AS125">
        <f t="shared" si="70"/>
        <v>60837.5</v>
      </c>
      <c r="AT125" s="5">
        <f t="shared" si="71"/>
        <v>60322.5</v>
      </c>
      <c r="AU125" s="5">
        <f t="shared" si="72"/>
        <v>62640</v>
      </c>
      <c r="AV125" s="5">
        <f t="shared" si="73"/>
        <v>58520</v>
      </c>
      <c r="AW125" s="5">
        <f t="shared" si="74"/>
        <v>60751.666666666664</v>
      </c>
      <c r="AX125" s="5">
        <f t="shared" si="75"/>
        <v>60408.333333333336</v>
      </c>
      <c r="AY125" s="5">
        <f t="shared" si="76"/>
        <v>63670</v>
      </c>
      <c r="AZ125" s="5">
        <f t="shared" si="77"/>
        <v>57490</v>
      </c>
      <c r="BB125" s="32" t="str">
        <f t="shared" si="54"/>
        <v>31/12/2023</v>
      </c>
      <c r="BC125" s="33">
        <f t="shared" si="54"/>
        <v>54950</v>
      </c>
      <c r="BD125" s="4" t="str">
        <f t="shared" si="54"/>
        <v>A3</v>
      </c>
      <c r="BE125">
        <f t="shared" si="78"/>
        <v>61446.75</v>
      </c>
      <c r="BF125">
        <f t="shared" si="79"/>
        <v>60931.75</v>
      </c>
      <c r="BG125">
        <f t="shared" si="80"/>
        <v>61704.25</v>
      </c>
      <c r="BH125">
        <f t="shared" si="81"/>
        <v>60674.25</v>
      </c>
      <c r="BI125">
        <f t="shared" si="82"/>
        <v>61318</v>
      </c>
      <c r="BJ125">
        <f t="shared" si="83"/>
        <v>61060.5</v>
      </c>
      <c r="BK125">
        <f t="shared" si="84"/>
        <v>62219.25</v>
      </c>
      <c r="BL125">
        <f t="shared" si="85"/>
        <v>60159.25</v>
      </c>
      <c r="BM125">
        <f t="shared" si="86"/>
        <v>61275.083333333328</v>
      </c>
      <c r="BN125">
        <f t="shared" si="87"/>
        <v>61103.416666666672</v>
      </c>
      <c r="BO125">
        <f t="shared" si="88"/>
        <v>62734.25</v>
      </c>
      <c r="BP125" s="38">
        <f t="shared" si="89"/>
        <v>59644.25</v>
      </c>
      <c r="BQ125" s="7">
        <f>BP125</f>
        <v>59644.25</v>
      </c>
      <c r="BS125" s="30">
        <f t="shared" si="55"/>
        <v>54950</v>
      </c>
      <c r="BT125" s="4">
        <f t="shared" si="56"/>
        <v>59644.25</v>
      </c>
      <c r="BU125" s="37">
        <f t="shared" si="57"/>
        <v>-4694.25</v>
      </c>
      <c r="BV125">
        <f t="shared" si="58"/>
        <v>4694.25</v>
      </c>
      <c r="BW125" s="35">
        <f t="shared" si="59"/>
        <v>8.5427661510464062E-2</v>
      </c>
    </row>
    <row r="126" spans="1:75">
      <c r="A126" s="1" t="s">
        <v>127</v>
      </c>
      <c r="B126" s="1">
        <v>57380</v>
      </c>
      <c r="Q126">
        <v>123</v>
      </c>
      <c r="R126" s="27" t="str">
        <f t="shared" si="50"/>
        <v>01/01/2024</v>
      </c>
      <c r="S126" s="27">
        <f t="shared" si="50"/>
        <v>62750</v>
      </c>
      <c r="T126" s="4" t="str">
        <f t="shared" si="51"/>
        <v>A4</v>
      </c>
      <c r="V126">
        <v>123</v>
      </c>
      <c r="W126" s="28" t="str">
        <f t="shared" si="49"/>
        <v>01/01/2024</v>
      </c>
      <c r="X126" s="28">
        <f t="shared" si="49"/>
        <v>62750</v>
      </c>
      <c r="Y126" s="28" t="str">
        <f t="shared" si="49"/>
        <v>A4</v>
      </c>
      <c r="Z126" s="5" t="str">
        <f t="shared" si="60"/>
        <v>A4</v>
      </c>
      <c r="AA126" s="5" t="str">
        <f t="shared" si="61"/>
        <v>A3</v>
      </c>
      <c r="AG126" s="29" t="str">
        <f t="shared" si="52"/>
        <v>01/01/2024</v>
      </c>
      <c r="AH126" s="30">
        <f t="shared" si="52"/>
        <v>62750</v>
      </c>
      <c r="AI126" s="4" t="str">
        <f t="shared" si="53"/>
        <v>A4</v>
      </c>
      <c r="AJ126" s="5" t="str">
        <f t="shared" si="62"/>
        <v>A4</v>
      </c>
      <c r="AK126">
        <f t="shared" si="63"/>
        <v>61798.5</v>
      </c>
      <c r="AL126" t="str">
        <f t="shared" si="64"/>
        <v>A3</v>
      </c>
      <c r="AM126">
        <f t="shared" si="65"/>
        <v>55767.5</v>
      </c>
      <c r="AN126" s="6">
        <f t="shared" si="66"/>
        <v>4580</v>
      </c>
      <c r="AO126">
        <f t="shared" si="67"/>
        <v>57240</v>
      </c>
      <c r="AP126">
        <f t="shared" si="90"/>
        <v>52660</v>
      </c>
      <c r="AQ126" s="33">
        <f t="shared" si="68"/>
        <v>59530</v>
      </c>
      <c r="AR126" s="33">
        <f t="shared" si="69"/>
        <v>50370</v>
      </c>
      <c r="AS126">
        <f t="shared" si="70"/>
        <v>56095</v>
      </c>
      <c r="AT126" s="5">
        <f t="shared" si="71"/>
        <v>53805</v>
      </c>
      <c r="AU126" s="5">
        <f t="shared" si="72"/>
        <v>64110</v>
      </c>
      <c r="AV126" s="5">
        <f t="shared" si="73"/>
        <v>45790</v>
      </c>
      <c r="AW126" s="5">
        <f t="shared" si="74"/>
        <v>55713.333333333336</v>
      </c>
      <c r="AX126" s="5">
        <f t="shared" si="75"/>
        <v>54186.666666666664</v>
      </c>
      <c r="AY126" s="5">
        <f t="shared" si="76"/>
        <v>68690</v>
      </c>
      <c r="AZ126" s="5">
        <f t="shared" si="77"/>
        <v>41210</v>
      </c>
      <c r="BB126" s="32" t="str">
        <f t="shared" si="54"/>
        <v>01/01/2024</v>
      </c>
      <c r="BC126" s="33">
        <f t="shared" si="54"/>
        <v>62750</v>
      </c>
      <c r="BD126" s="4" t="str">
        <f t="shared" si="54"/>
        <v>A4</v>
      </c>
      <c r="BE126">
        <f t="shared" si="78"/>
        <v>56503.75</v>
      </c>
      <c r="BF126">
        <f t="shared" si="79"/>
        <v>54213.75</v>
      </c>
      <c r="BG126">
        <f t="shared" si="80"/>
        <v>57648.75</v>
      </c>
      <c r="BH126">
        <f t="shared" si="81"/>
        <v>53068.75</v>
      </c>
      <c r="BI126">
        <f t="shared" si="82"/>
        <v>55931.25</v>
      </c>
      <c r="BJ126">
        <f t="shared" si="83"/>
        <v>54786.25</v>
      </c>
      <c r="BK126">
        <f t="shared" si="84"/>
        <v>59938.75</v>
      </c>
      <c r="BL126">
        <f t="shared" si="85"/>
        <v>50778.75</v>
      </c>
      <c r="BM126">
        <f t="shared" si="86"/>
        <v>55740.416666666672</v>
      </c>
      <c r="BN126">
        <f t="shared" si="87"/>
        <v>54977.083333333328</v>
      </c>
      <c r="BO126" s="38">
        <f t="shared" si="88"/>
        <v>62228.75</v>
      </c>
      <c r="BP126">
        <f t="shared" si="89"/>
        <v>48488.75</v>
      </c>
      <c r="BQ126" s="7">
        <f>BO126</f>
        <v>62228.75</v>
      </c>
      <c r="BS126" s="30">
        <f t="shared" si="55"/>
        <v>62750</v>
      </c>
      <c r="BT126" s="4">
        <f t="shared" si="56"/>
        <v>62228.75</v>
      </c>
      <c r="BU126" s="37">
        <f t="shared" si="57"/>
        <v>521.25</v>
      </c>
      <c r="BV126">
        <f t="shared" si="58"/>
        <v>521.25</v>
      </c>
      <c r="BW126" s="35">
        <f t="shared" si="59"/>
        <v>8.3067729083665335E-3</v>
      </c>
    </row>
    <row r="127" spans="1:75">
      <c r="A127" s="1" t="s">
        <v>128</v>
      </c>
      <c r="B127" s="1">
        <v>53210</v>
      </c>
      <c r="Q127">
        <v>124</v>
      </c>
      <c r="R127" s="27" t="str">
        <f t="shared" si="50"/>
        <v>02/01/2024</v>
      </c>
      <c r="S127" s="27">
        <f t="shared" si="50"/>
        <v>57010</v>
      </c>
      <c r="T127" s="4" t="str">
        <f t="shared" si="51"/>
        <v>A3</v>
      </c>
      <c r="V127">
        <v>124</v>
      </c>
      <c r="W127" s="28" t="str">
        <f t="shared" si="49"/>
        <v>02/01/2024</v>
      </c>
      <c r="X127" s="28">
        <f t="shared" si="49"/>
        <v>57010</v>
      </c>
      <c r="Y127" s="28" t="str">
        <f t="shared" si="49"/>
        <v>A3</v>
      </c>
      <c r="Z127" s="5" t="str">
        <f t="shared" si="60"/>
        <v>A3</v>
      </c>
      <c r="AA127" s="5" t="str">
        <f t="shared" si="61"/>
        <v>A4</v>
      </c>
      <c r="AG127" s="29" t="str">
        <f t="shared" si="52"/>
        <v>02/01/2024</v>
      </c>
      <c r="AH127" s="30">
        <f t="shared" si="52"/>
        <v>57010</v>
      </c>
      <c r="AI127" s="4" t="str">
        <f t="shared" si="53"/>
        <v>A3</v>
      </c>
      <c r="AJ127" s="5" t="str">
        <f t="shared" si="62"/>
        <v>A3</v>
      </c>
      <c r="AK127">
        <f t="shared" si="63"/>
        <v>55767.5</v>
      </c>
      <c r="AL127" t="str">
        <f t="shared" si="64"/>
        <v>A4</v>
      </c>
      <c r="AM127">
        <f t="shared" si="65"/>
        <v>61798.5</v>
      </c>
      <c r="AN127" s="6">
        <f t="shared" si="66"/>
        <v>2170</v>
      </c>
      <c r="AO127">
        <f t="shared" si="67"/>
        <v>63835</v>
      </c>
      <c r="AP127">
        <f t="shared" si="90"/>
        <v>61665</v>
      </c>
      <c r="AQ127" s="33">
        <f t="shared" si="68"/>
        <v>64920</v>
      </c>
      <c r="AR127" s="33">
        <f t="shared" si="69"/>
        <v>60580</v>
      </c>
      <c r="AS127">
        <f t="shared" si="70"/>
        <v>63292.5</v>
      </c>
      <c r="AT127" s="5">
        <f t="shared" si="71"/>
        <v>62207.5</v>
      </c>
      <c r="AU127" s="5">
        <f t="shared" si="72"/>
        <v>67090</v>
      </c>
      <c r="AV127" s="5">
        <f t="shared" si="73"/>
        <v>58410</v>
      </c>
      <c r="AW127" s="5">
        <f t="shared" si="74"/>
        <v>63111.666666666664</v>
      </c>
      <c r="AX127" s="5">
        <f t="shared" si="75"/>
        <v>62388.333333333336</v>
      </c>
      <c r="AY127" s="5">
        <f t="shared" si="76"/>
        <v>69260</v>
      </c>
      <c r="AZ127" s="5">
        <f t="shared" si="77"/>
        <v>56240</v>
      </c>
      <c r="BB127" s="32" t="str">
        <f t="shared" si="54"/>
        <v>02/01/2024</v>
      </c>
      <c r="BC127" s="33">
        <f t="shared" si="54"/>
        <v>57010</v>
      </c>
      <c r="BD127" s="4" t="str">
        <f t="shared" si="54"/>
        <v>A3</v>
      </c>
      <c r="BE127">
        <f t="shared" si="78"/>
        <v>62816.75</v>
      </c>
      <c r="BF127">
        <f t="shared" si="79"/>
        <v>61731.75</v>
      </c>
      <c r="BG127">
        <f t="shared" si="80"/>
        <v>63359.25</v>
      </c>
      <c r="BH127">
        <f t="shared" si="81"/>
        <v>61189.25</v>
      </c>
      <c r="BI127">
        <f t="shared" si="82"/>
        <v>62545.5</v>
      </c>
      <c r="BJ127">
        <f t="shared" si="83"/>
        <v>62003</v>
      </c>
      <c r="BK127">
        <f t="shared" si="84"/>
        <v>64444.25</v>
      </c>
      <c r="BL127">
        <f t="shared" si="85"/>
        <v>60104.25</v>
      </c>
      <c r="BM127">
        <f t="shared" si="86"/>
        <v>62455.083333333328</v>
      </c>
      <c r="BN127">
        <f t="shared" si="87"/>
        <v>62093.416666666672</v>
      </c>
      <c r="BO127">
        <f t="shared" si="88"/>
        <v>65529.25</v>
      </c>
      <c r="BP127" s="38">
        <f t="shared" si="89"/>
        <v>59019.25</v>
      </c>
      <c r="BQ127" s="7">
        <f>BP127</f>
        <v>59019.25</v>
      </c>
      <c r="BS127" s="30">
        <f t="shared" si="55"/>
        <v>57010</v>
      </c>
      <c r="BT127" s="4">
        <f t="shared" si="56"/>
        <v>59019.25</v>
      </c>
      <c r="BU127" s="37">
        <f t="shared" si="57"/>
        <v>-2009.25</v>
      </c>
      <c r="BV127">
        <f t="shared" si="58"/>
        <v>2009.25</v>
      </c>
      <c r="BW127" s="35">
        <f t="shared" si="59"/>
        <v>3.5243816874232593E-2</v>
      </c>
    </row>
    <row r="128" spans="1:75">
      <c r="A128" s="1" t="s">
        <v>129</v>
      </c>
      <c r="B128" s="1">
        <v>51760</v>
      </c>
      <c r="Q128">
        <v>125</v>
      </c>
      <c r="R128" s="27" t="str">
        <f t="shared" si="50"/>
        <v>03/01/2024</v>
      </c>
      <c r="S128" s="27">
        <f t="shared" si="50"/>
        <v>57380</v>
      </c>
      <c r="T128" s="4" t="str">
        <f t="shared" si="51"/>
        <v>A3</v>
      </c>
      <c r="V128">
        <v>125</v>
      </c>
      <c r="W128" s="28" t="str">
        <f t="shared" si="49"/>
        <v>03/01/2024</v>
      </c>
      <c r="X128" s="28">
        <f t="shared" si="49"/>
        <v>57380</v>
      </c>
      <c r="Y128" s="28" t="str">
        <f t="shared" si="49"/>
        <v>A3</v>
      </c>
      <c r="Z128" s="5" t="str">
        <f t="shared" si="60"/>
        <v>A4</v>
      </c>
      <c r="AA128" s="5" t="str">
        <f t="shared" si="61"/>
        <v>A3</v>
      </c>
      <c r="AG128" s="29" t="str">
        <f t="shared" si="52"/>
        <v>03/01/2024</v>
      </c>
      <c r="AH128" s="30">
        <f t="shared" si="52"/>
        <v>57380</v>
      </c>
      <c r="AI128" s="4" t="str">
        <f t="shared" si="53"/>
        <v>A3</v>
      </c>
      <c r="AJ128" s="5" t="str">
        <f t="shared" si="62"/>
        <v>A4</v>
      </c>
      <c r="AK128">
        <f t="shared" si="63"/>
        <v>61798.5</v>
      </c>
      <c r="AL128" t="str">
        <f t="shared" si="64"/>
        <v>A3</v>
      </c>
      <c r="AM128">
        <f t="shared" si="65"/>
        <v>55767.5</v>
      </c>
      <c r="AN128" s="6">
        <f t="shared" si="66"/>
        <v>2060</v>
      </c>
      <c r="AO128">
        <f t="shared" si="67"/>
        <v>58040</v>
      </c>
      <c r="AP128">
        <f t="shared" si="90"/>
        <v>55980</v>
      </c>
      <c r="AQ128" s="33">
        <f t="shared" si="68"/>
        <v>59070</v>
      </c>
      <c r="AR128" s="33">
        <f t="shared" si="69"/>
        <v>54950</v>
      </c>
      <c r="AS128">
        <f t="shared" si="70"/>
        <v>57525</v>
      </c>
      <c r="AT128" s="5">
        <f t="shared" si="71"/>
        <v>56495</v>
      </c>
      <c r="AU128" s="5">
        <f t="shared" si="72"/>
        <v>61130</v>
      </c>
      <c r="AV128" s="5">
        <f t="shared" si="73"/>
        <v>52890</v>
      </c>
      <c r="AW128" s="5">
        <f t="shared" si="74"/>
        <v>57353.333333333336</v>
      </c>
      <c r="AX128" s="5">
        <f t="shared" si="75"/>
        <v>56666.666666666664</v>
      </c>
      <c r="AY128" s="5">
        <f t="shared" si="76"/>
        <v>63190</v>
      </c>
      <c r="AZ128" s="5">
        <f t="shared" si="77"/>
        <v>50830</v>
      </c>
      <c r="BB128" s="32" t="str">
        <f t="shared" si="54"/>
        <v>03/01/2024</v>
      </c>
      <c r="BC128" s="33">
        <f t="shared" si="54"/>
        <v>57380</v>
      </c>
      <c r="BD128" s="4" t="str">
        <f t="shared" si="54"/>
        <v>A3</v>
      </c>
      <c r="BE128" s="38">
        <f t="shared" si="78"/>
        <v>56903.75</v>
      </c>
      <c r="BF128">
        <f t="shared" si="79"/>
        <v>55873.75</v>
      </c>
      <c r="BG128">
        <f t="shared" si="80"/>
        <v>57418.75</v>
      </c>
      <c r="BH128">
        <f t="shared" si="81"/>
        <v>55358.75</v>
      </c>
      <c r="BI128">
        <f t="shared" si="82"/>
        <v>56646.25</v>
      </c>
      <c r="BJ128">
        <f t="shared" si="83"/>
        <v>56131.25</v>
      </c>
      <c r="BK128">
        <f t="shared" si="84"/>
        <v>58448.75</v>
      </c>
      <c r="BL128">
        <f t="shared" si="85"/>
        <v>54328.75</v>
      </c>
      <c r="BM128">
        <f t="shared" si="86"/>
        <v>56560.416666666672</v>
      </c>
      <c r="BN128">
        <f t="shared" si="87"/>
        <v>56217.083333333328</v>
      </c>
      <c r="BO128">
        <f t="shared" si="88"/>
        <v>59478.75</v>
      </c>
      <c r="BP128">
        <f t="shared" si="89"/>
        <v>53298.75</v>
      </c>
      <c r="BQ128" s="7">
        <f>BE128</f>
        <v>56903.75</v>
      </c>
      <c r="BS128" s="30">
        <f t="shared" si="55"/>
        <v>57380</v>
      </c>
      <c r="BT128" s="4">
        <f t="shared" si="56"/>
        <v>56903.75</v>
      </c>
      <c r="BU128" s="37">
        <f t="shared" si="57"/>
        <v>476.25</v>
      </c>
      <c r="BV128">
        <f t="shared" si="58"/>
        <v>476.25</v>
      </c>
      <c r="BW128" s="35">
        <f t="shared" si="59"/>
        <v>8.2999302892994078E-3</v>
      </c>
    </row>
    <row r="129" spans="1:75">
      <c r="A129" s="1" t="s">
        <v>130</v>
      </c>
      <c r="B129" s="1">
        <v>52480</v>
      </c>
      <c r="Q129">
        <v>126</v>
      </c>
      <c r="R129" s="27" t="str">
        <f t="shared" si="50"/>
        <v>04/01/2024</v>
      </c>
      <c r="S129" s="27">
        <f t="shared" si="50"/>
        <v>53210</v>
      </c>
      <c r="T129" s="4" t="str">
        <f t="shared" si="51"/>
        <v>A3</v>
      </c>
      <c r="V129">
        <v>126</v>
      </c>
      <c r="W129" s="28" t="str">
        <f t="shared" si="49"/>
        <v>04/01/2024</v>
      </c>
      <c r="X129" s="28">
        <f t="shared" si="49"/>
        <v>53210</v>
      </c>
      <c r="Y129" s="28" t="str">
        <f t="shared" si="49"/>
        <v>A3</v>
      </c>
      <c r="Z129" s="5" t="str">
        <f t="shared" si="60"/>
        <v>A3</v>
      </c>
      <c r="AA129" s="5" t="str">
        <f t="shared" si="61"/>
        <v>A3</v>
      </c>
      <c r="AG129" s="29" t="str">
        <f t="shared" si="52"/>
        <v>04/01/2024</v>
      </c>
      <c r="AH129" s="30">
        <f t="shared" si="52"/>
        <v>53210</v>
      </c>
      <c r="AI129" s="4" t="str">
        <f t="shared" si="53"/>
        <v>A3</v>
      </c>
      <c r="AJ129" s="5" t="str">
        <f t="shared" si="62"/>
        <v>A3</v>
      </c>
      <c r="AK129">
        <f t="shared" si="63"/>
        <v>55767.5</v>
      </c>
      <c r="AL129" t="str">
        <f t="shared" si="64"/>
        <v>A3</v>
      </c>
      <c r="AM129">
        <f t="shared" si="65"/>
        <v>55767.5</v>
      </c>
      <c r="AN129" s="6">
        <f t="shared" si="66"/>
        <v>5370</v>
      </c>
      <c r="AO129">
        <f t="shared" si="67"/>
        <v>60065</v>
      </c>
      <c r="AP129">
        <f t="shared" si="90"/>
        <v>54695</v>
      </c>
      <c r="AQ129" s="33">
        <f t="shared" si="68"/>
        <v>62750</v>
      </c>
      <c r="AR129" s="33">
        <f t="shared" si="69"/>
        <v>52010</v>
      </c>
      <c r="AS129">
        <f t="shared" si="70"/>
        <v>58722.5</v>
      </c>
      <c r="AT129" s="5">
        <f t="shared" si="71"/>
        <v>56037.5</v>
      </c>
      <c r="AU129" s="5">
        <f t="shared" si="72"/>
        <v>68120</v>
      </c>
      <c r="AV129" s="5">
        <f t="shared" si="73"/>
        <v>46640</v>
      </c>
      <c r="AW129" s="5">
        <f t="shared" si="74"/>
        <v>58275</v>
      </c>
      <c r="AX129" s="5">
        <f t="shared" si="75"/>
        <v>56485</v>
      </c>
      <c r="AY129" s="5">
        <f t="shared" si="76"/>
        <v>73490</v>
      </c>
      <c r="AZ129" s="5">
        <f t="shared" si="77"/>
        <v>41270</v>
      </c>
      <c r="BB129" s="32" t="str">
        <f t="shared" si="54"/>
        <v>04/01/2024</v>
      </c>
      <c r="BC129" s="33">
        <f t="shared" si="54"/>
        <v>53210</v>
      </c>
      <c r="BD129" s="4" t="str">
        <f t="shared" si="54"/>
        <v>A3</v>
      </c>
      <c r="BE129">
        <f t="shared" si="78"/>
        <v>57916.25</v>
      </c>
      <c r="BF129">
        <f t="shared" si="79"/>
        <v>55231.25</v>
      </c>
      <c r="BG129">
        <f t="shared" si="80"/>
        <v>59258.75</v>
      </c>
      <c r="BH129" s="38">
        <f t="shared" si="81"/>
        <v>53888.75</v>
      </c>
      <c r="BI129">
        <f t="shared" si="82"/>
        <v>57245</v>
      </c>
      <c r="BJ129">
        <f t="shared" si="83"/>
        <v>55902.5</v>
      </c>
      <c r="BK129">
        <f t="shared" si="84"/>
        <v>61943.75</v>
      </c>
      <c r="BL129">
        <f t="shared" si="85"/>
        <v>51203.75</v>
      </c>
      <c r="BM129">
        <f t="shared" si="86"/>
        <v>57021.25</v>
      </c>
      <c r="BN129">
        <f t="shared" si="87"/>
        <v>56126.25</v>
      </c>
      <c r="BO129">
        <f t="shared" si="88"/>
        <v>64628.75</v>
      </c>
      <c r="BP129">
        <f t="shared" si="89"/>
        <v>48518.75</v>
      </c>
      <c r="BQ129" s="7">
        <f>BH129</f>
        <v>53888.75</v>
      </c>
      <c r="BS129" s="30">
        <f t="shared" si="55"/>
        <v>53210</v>
      </c>
      <c r="BT129" s="4">
        <f t="shared" si="56"/>
        <v>53888.75</v>
      </c>
      <c r="BU129" s="37">
        <f t="shared" si="57"/>
        <v>-678.75</v>
      </c>
      <c r="BV129">
        <f t="shared" si="58"/>
        <v>678.75</v>
      </c>
      <c r="BW129" s="35">
        <f t="shared" si="59"/>
        <v>1.2756060890809998E-2</v>
      </c>
    </row>
    <row r="130" spans="1:75">
      <c r="A130" s="1" t="s">
        <v>131</v>
      </c>
      <c r="B130" s="1">
        <v>50460</v>
      </c>
      <c r="Q130">
        <v>127</v>
      </c>
      <c r="R130" s="27" t="str">
        <f t="shared" si="50"/>
        <v>05/01/2024</v>
      </c>
      <c r="S130" s="27">
        <f t="shared" si="50"/>
        <v>51760</v>
      </c>
      <c r="T130" s="4" t="str">
        <f t="shared" si="51"/>
        <v>A2</v>
      </c>
      <c r="V130">
        <v>127</v>
      </c>
      <c r="W130" s="28" t="str">
        <f t="shared" si="49"/>
        <v>05/01/2024</v>
      </c>
      <c r="X130" s="28">
        <f t="shared" si="49"/>
        <v>51760</v>
      </c>
      <c r="Y130" s="28" t="str">
        <f t="shared" si="49"/>
        <v>A2</v>
      </c>
      <c r="Z130" s="5" t="str">
        <f t="shared" si="60"/>
        <v>A3</v>
      </c>
      <c r="AA130" s="5" t="str">
        <f t="shared" si="61"/>
        <v>A3</v>
      </c>
      <c r="AG130" s="29" t="str">
        <f t="shared" si="52"/>
        <v>05/01/2024</v>
      </c>
      <c r="AH130" s="30">
        <f t="shared" si="52"/>
        <v>51760</v>
      </c>
      <c r="AI130" s="4" t="str">
        <f t="shared" si="53"/>
        <v>A2</v>
      </c>
      <c r="AJ130" s="5" t="str">
        <f t="shared" si="62"/>
        <v>A3</v>
      </c>
      <c r="AK130">
        <f t="shared" si="63"/>
        <v>55767.5</v>
      </c>
      <c r="AL130" t="str">
        <f t="shared" si="64"/>
        <v>A3</v>
      </c>
      <c r="AM130">
        <f t="shared" si="65"/>
        <v>55767.5</v>
      </c>
      <c r="AN130" s="6">
        <f t="shared" si="66"/>
        <v>3800</v>
      </c>
      <c r="AO130">
        <f t="shared" si="67"/>
        <v>55110</v>
      </c>
      <c r="AP130">
        <f t="shared" si="90"/>
        <v>51310</v>
      </c>
      <c r="AQ130" s="33">
        <f t="shared" si="68"/>
        <v>57010</v>
      </c>
      <c r="AR130" s="33">
        <f t="shared" si="69"/>
        <v>49410</v>
      </c>
      <c r="AS130">
        <f t="shared" si="70"/>
        <v>54160</v>
      </c>
      <c r="AT130" s="5">
        <f t="shared" si="71"/>
        <v>52260</v>
      </c>
      <c r="AU130" s="5">
        <f t="shared" si="72"/>
        <v>60810</v>
      </c>
      <c r="AV130" s="5">
        <f t="shared" si="73"/>
        <v>45610</v>
      </c>
      <c r="AW130" s="5">
        <f t="shared" si="74"/>
        <v>53843.333333333336</v>
      </c>
      <c r="AX130" s="5">
        <f t="shared" si="75"/>
        <v>52576.666666666664</v>
      </c>
      <c r="AY130" s="5">
        <f t="shared" si="76"/>
        <v>64610</v>
      </c>
      <c r="AZ130" s="5">
        <f t="shared" si="77"/>
        <v>41810</v>
      </c>
      <c r="BB130" s="32" t="str">
        <f t="shared" si="54"/>
        <v>05/01/2024</v>
      </c>
      <c r="BC130" s="33">
        <f t="shared" si="54"/>
        <v>51760</v>
      </c>
      <c r="BD130" s="4" t="str">
        <f t="shared" si="54"/>
        <v>A2</v>
      </c>
      <c r="BE130">
        <f t="shared" si="78"/>
        <v>55438.75</v>
      </c>
      <c r="BF130">
        <f t="shared" si="79"/>
        <v>53538.75</v>
      </c>
      <c r="BG130">
        <f t="shared" si="80"/>
        <v>56388.75</v>
      </c>
      <c r="BH130" s="38">
        <f t="shared" si="81"/>
        <v>52588.75</v>
      </c>
      <c r="BI130">
        <f t="shared" si="82"/>
        <v>54963.75</v>
      </c>
      <c r="BJ130">
        <f t="shared" si="83"/>
        <v>54013.75</v>
      </c>
      <c r="BK130">
        <f t="shared" si="84"/>
        <v>58288.75</v>
      </c>
      <c r="BL130">
        <f t="shared" si="85"/>
        <v>50688.75</v>
      </c>
      <c r="BM130">
        <f t="shared" si="86"/>
        <v>54805.416666666672</v>
      </c>
      <c r="BN130">
        <f t="shared" si="87"/>
        <v>54172.083333333328</v>
      </c>
      <c r="BO130">
        <f t="shared" si="88"/>
        <v>60188.75</v>
      </c>
      <c r="BP130">
        <f t="shared" si="89"/>
        <v>48788.75</v>
      </c>
      <c r="BQ130" s="7">
        <f>BH130</f>
        <v>52588.75</v>
      </c>
      <c r="BS130" s="30">
        <f t="shared" si="55"/>
        <v>51760</v>
      </c>
      <c r="BT130" s="4">
        <f t="shared" si="56"/>
        <v>52588.75</v>
      </c>
      <c r="BU130" s="37">
        <f t="shared" si="57"/>
        <v>-828.75</v>
      </c>
      <c r="BV130">
        <f t="shared" si="58"/>
        <v>828.75</v>
      </c>
      <c r="BW130" s="35">
        <f t="shared" si="59"/>
        <v>1.6011398763523955E-2</v>
      </c>
    </row>
    <row r="131" spans="1:75">
      <c r="A131" s="1" t="s">
        <v>132</v>
      </c>
      <c r="B131" s="1">
        <v>52260</v>
      </c>
      <c r="Q131">
        <v>128</v>
      </c>
      <c r="R131" s="27" t="str">
        <f t="shared" si="50"/>
        <v>06/01/2024</v>
      </c>
      <c r="S131" s="27">
        <f t="shared" si="50"/>
        <v>52480</v>
      </c>
      <c r="T131" s="4" t="str">
        <f t="shared" si="51"/>
        <v>A2</v>
      </c>
      <c r="V131">
        <v>128</v>
      </c>
      <c r="W131" s="28" t="str">
        <f t="shared" si="49"/>
        <v>06/01/2024</v>
      </c>
      <c r="X131" s="28">
        <f t="shared" si="49"/>
        <v>52480</v>
      </c>
      <c r="Y131" s="28" t="str">
        <f t="shared" si="49"/>
        <v>A2</v>
      </c>
      <c r="Z131" s="5" t="str">
        <f t="shared" si="60"/>
        <v>A3</v>
      </c>
      <c r="AA131" s="5" t="str">
        <f t="shared" si="61"/>
        <v>A2</v>
      </c>
      <c r="AG131" s="29" t="str">
        <f t="shared" si="52"/>
        <v>06/01/2024</v>
      </c>
      <c r="AH131" s="30">
        <f t="shared" si="52"/>
        <v>52480</v>
      </c>
      <c r="AI131" s="4" t="str">
        <f t="shared" si="53"/>
        <v>A2</v>
      </c>
      <c r="AJ131" s="5" t="str">
        <f t="shared" si="62"/>
        <v>A3</v>
      </c>
      <c r="AK131">
        <f t="shared" si="63"/>
        <v>55767.5</v>
      </c>
      <c r="AL131" t="str">
        <f t="shared" si="64"/>
        <v>A2</v>
      </c>
      <c r="AM131">
        <f t="shared" si="65"/>
        <v>49736.5</v>
      </c>
      <c r="AN131" s="6">
        <f t="shared" si="66"/>
        <v>2720</v>
      </c>
      <c r="AO131">
        <f t="shared" si="67"/>
        <v>53120</v>
      </c>
      <c r="AP131">
        <f t="shared" si="90"/>
        <v>50400</v>
      </c>
      <c r="AQ131" s="33">
        <f t="shared" si="68"/>
        <v>54480</v>
      </c>
      <c r="AR131" s="33">
        <f t="shared" si="69"/>
        <v>49040</v>
      </c>
      <c r="AS131">
        <f t="shared" si="70"/>
        <v>52440</v>
      </c>
      <c r="AT131" s="5">
        <f t="shared" si="71"/>
        <v>51080</v>
      </c>
      <c r="AU131" s="5">
        <f t="shared" si="72"/>
        <v>57200</v>
      </c>
      <c r="AV131" s="5">
        <f t="shared" si="73"/>
        <v>46320</v>
      </c>
      <c r="AW131" s="5">
        <f t="shared" si="74"/>
        <v>52213.333333333336</v>
      </c>
      <c r="AX131" s="5">
        <f t="shared" si="75"/>
        <v>51306.666666666664</v>
      </c>
      <c r="AY131" s="5">
        <f t="shared" si="76"/>
        <v>59920</v>
      </c>
      <c r="AZ131" s="5">
        <f t="shared" si="77"/>
        <v>43600</v>
      </c>
      <c r="BB131" s="32" t="str">
        <f t="shared" si="54"/>
        <v>06/01/2024</v>
      </c>
      <c r="BC131" s="33">
        <f t="shared" si="54"/>
        <v>52480</v>
      </c>
      <c r="BD131" s="4" t="str">
        <f t="shared" si="54"/>
        <v>A2</v>
      </c>
      <c r="BE131">
        <f t="shared" si="78"/>
        <v>51428.25</v>
      </c>
      <c r="BF131">
        <f t="shared" si="79"/>
        <v>50068.25</v>
      </c>
      <c r="BG131">
        <f t="shared" si="80"/>
        <v>52108.25</v>
      </c>
      <c r="BH131">
        <f t="shared" si="81"/>
        <v>49388.25</v>
      </c>
      <c r="BI131">
        <f t="shared" si="82"/>
        <v>51088.25</v>
      </c>
      <c r="BJ131">
        <f t="shared" si="83"/>
        <v>50408.25</v>
      </c>
      <c r="BK131" s="38">
        <f t="shared" si="84"/>
        <v>53468.25</v>
      </c>
      <c r="BL131">
        <f t="shared" si="85"/>
        <v>48028.25</v>
      </c>
      <c r="BM131">
        <f t="shared" si="86"/>
        <v>50974.916666666672</v>
      </c>
      <c r="BN131">
        <f t="shared" si="87"/>
        <v>50521.583333333328</v>
      </c>
      <c r="BO131">
        <f t="shared" si="88"/>
        <v>54828.25</v>
      </c>
      <c r="BP131">
        <f t="shared" si="89"/>
        <v>46668.25</v>
      </c>
      <c r="BQ131" s="7">
        <f>BK131</f>
        <v>53468.25</v>
      </c>
      <c r="BS131" s="30">
        <f t="shared" si="55"/>
        <v>52480</v>
      </c>
      <c r="BT131" s="4">
        <f t="shared" si="56"/>
        <v>53468.25</v>
      </c>
      <c r="BU131" s="37">
        <f t="shared" si="57"/>
        <v>-988.25</v>
      </c>
      <c r="BV131">
        <f t="shared" si="58"/>
        <v>988.25</v>
      </c>
      <c r="BW131" s="35">
        <f t="shared" si="59"/>
        <v>1.8830983231707316E-2</v>
      </c>
    </row>
    <row r="132" spans="1:75">
      <c r="A132" s="1" t="s">
        <v>133</v>
      </c>
      <c r="B132" s="1">
        <v>50290</v>
      </c>
      <c r="Q132">
        <v>129</v>
      </c>
      <c r="R132" s="27" t="str">
        <f t="shared" si="50"/>
        <v>07/01/2024</v>
      </c>
      <c r="S132" s="27">
        <f t="shared" si="50"/>
        <v>50460</v>
      </c>
      <c r="T132" s="4" t="str">
        <f t="shared" si="51"/>
        <v>A2</v>
      </c>
      <c r="V132">
        <v>129</v>
      </c>
      <c r="W132" s="28" t="str">
        <f t="shared" ref="W132:Y195" si="91">R132</f>
        <v>07/01/2024</v>
      </c>
      <c r="X132" s="28">
        <f t="shared" si="91"/>
        <v>50460</v>
      </c>
      <c r="Y132" s="28" t="str">
        <f t="shared" si="91"/>
        <v>A2</v>
      </c>
      <c r="Z132" s="5" t="str">
        <f t="shared" si="60"/>
        <v>A2</v>
      </c>
      <c r="AA132" s="5" t="str">
        <f t="shared" si="61"/>
        <v>A2</v>
      </c>
      <c r="AG132" s="29" t="str">
        <f t="shared" si="52"/>
        <v>07/01/2024</v>
      </c>
      <c r="AH132" s="30">
        <f t="shared" si="52"/>
        <v>50460</v>
      </c>
      <c r="AI132" s="4" t="str">
        <f t="shared" si="53"/>
        <v>A2</v>
      </c>
      <c r="AJ132" s="5" t="str">
        <f t="shared" si="62"/>
        <v>A2</v>
      </c>
      <c r="AK132">
        <f t="shared" si="63"/>
        <v>49736.5</v>
      </c>
      <c r="AL132" t="str">
        <f t="shared" si="64"/>
        <v>A2</v>
      </c>
      <c r="AM132">
        <f t="shared" si="65"/>
        <v>49736.5</v>
      </c>
      <c r="AN132" s="6">
        <f t="shared" si="66"/>
        <v>730</v>
      </c>
      <c r="AO132">
        <f t="shared" si="67"/>
        <v>52845</v>
      </c>
      <c r="AP132">
        <f t="shared" si="90"/>
        <v>52115</v>
      </c>
      <c r="AQ132" s="33">
        <f t="shared" si="68"/>
        <v>53210</v>
      </c>
      <c r="AR132" s="33">
        <f t="shared" si="69"/>
        <v>51750</v>
      </c>
      <c r="AS132">
        <f t="shared" si="70"/>
        <v>52662.5</v>
      </c>
      <c r="AT132" s="5">
        <f t="shared" si="71"/>
        <v>52297.5</v>
      </c>
      <c r="AU132" s="5">
        <f t="shared" si="72"/>
        <v>53940</v>
      </c>
      <c r="AV132" s="5">
        <f t="shared" si="73"/>
        <v>51020</v>
      </c>
      <c r="AW132" s="5">
        <f t="shared" si="74"/>
        <v>52601.666666666664</v>
      </c>
      <c r="AX132" s="5">
        <f t="shared" si="75"/>
        <v>52358.333333333336</v>
      </c>
      <c r="AY132" s="5">
        <f t="shared" si="76"/>
        <v>54670</v>
      </c>
      <c r="AZ132" s="5">
        <f t="shared" si="77"/>
        <v>50290</v>
      </c>
      <c r="BB132" s="32" t="str">
        <f t="shared" si="54"/>
        <v>07/01/2024</v>
      </c>
      <c r="BC132" s="33">
        <f t="shared" si="54"/>
        <v>50460</v>
      </c>
      <c r="BD132" s="4" t="str">
        <f t="shared" si="54"/>
        <v>A2</v>
      </c>
      <c r="BE132">
        <f t="shared" si="78"/>
        <v>51290.75</v>
      </c>
      <c r="BF132">
        <f t="shared" si="79"/>
        <v>50925.75</v>
      </c>
      <c r="BG132">
        <f t="shared" si="80"/>
        <v>51473.25</v>
      </c>
      <c r="BH132">
        <f t="shared" si="81"/>
        <v>50743.25</v>
      </c>
      <c r="BI132">
        <f t="shared" si="82"/>
        <v>51199.5</v>
      </c>
      <c r="BJ132">
        <f t="shared" si="83"/>
        <v>51017</v>
      </c>
      <c r="BK132">
        <f t="shared" si="84"/>
        <v>51838.25</v>
      </c>
      <c r="BL132" s="38">
        <f t="shared" si="85"/>
        <v>50378.25</v>
      </c>
      <c r="BM132">
        <f t="shared" si="86"/>
        <v>51169.083333333328</v>
      </c>
      <c r="BN132">
        <f t="shared" si="87"/>
        <v>51047.416666666672</v>
      </c>
      <c r="BO132">
        <f t="shared" si="88"/>
        <v>52203.25</v>
      </c>
      <c r="BP132">
        <f t="shared" si="89"/>
        <v>50013.25</v>
      </c>
      <c r="BQ132" s="7">
        <f>BL132</f>
        <v>50378.25</v>
      </c>
      <c r="BS132" s="30">
        <f t="shared" si="55"/>
        <v>50460</v>
      </c>
      <c r="BT132" s="4">
        <f t="shared" si="56"/>
        <v>50378.25</v>
      </c>
      <c r="BU132" s="37">
        <f t="shared" si="57"/>
        <v>81.75</v>
      </c>
      <c r="BV132">
        <f t="shared" si="58"/>
        <v>81.75</v>
      </c>
      <c r="BW132" s="35">
        <f t="shared" si="59"/>
        <v>1.6200951248513675E-3</v>
      </c>
    </row>
    <row r="133" spans="1:75">
      <c r="A133" s="1" t="s">
        <v>134</v>
      </c>
      <c r="B133" s="1">
        <v>50020</v>
      </c>
      <c r="Q133">
        <v>130</v>
      </c>
      <c r="R133" s="27" t="str">
        <f t="shared" ref="R133:S196" si="92">A131</f>
        <v>08/01/2024</v>
      </c>
      <c r="S133" s="27">
        <f t="shared" si="92"/>
        <v>52260</v>
      </c>
      <c r="T133" s="4" t="str">
        <f t="shared" ref="T133:T196" si="93">VLOOKUP(S133,$N$5:$O$14,2,TRUE)</f>
        <v>A2</v>
      </c>
      <c r="V133">
        <v>130</v>
      </c>
      <c r="W133" s="28" t="str">
        <f t="shared" si="91"/>
        <v>08/01/2024</v>
      </c>
      <c r="X133" s="28">
        <f t="shared" si="91"/>
        <v>52260</v>
      </c>
      <c r="Y133" s="28" t="str">
        <f t="shared" si="91"/>
        <v>A2</v>
      </c>
      <c r="Z133" s="5" t="str">
        <f t="shared" si="60"/>
        <v>A2</v>
      </c>
      <c r="AA133" s="5" t="str">
        <f t="shared" si="61"/>
        <v>A2</v>
      </c>
      <c r="AG133" s="29" t="str">
        <f t="shared" ref="AG133:AH196" si="94">W133</f>
        <v>08/01/2024</v>
      </c>
      <c r="AH133" s="30">
        <f t="shared" si="94"/>
        <v>52260</v>
      </c>
      <c r="AI133" s="4" t="str">
        <f t="shared" ref="AI133:AI196" si="95">VLOOKUP(AH133,$N$5:$O$14,2,TRUE)</f>
        <v>A2</v>
      </c>
      <c r="AJ133" s="5" t="str">
        <f t="shared" si="62"/>
        <v>A2</v>
      </c>
      <c r="AK133">
        <f t="shared" si="63"/>
        <v>49736.5</v>
      </c>
      <c r="AL133" t="str">
        <f t="shared" si="64"/>
        <v>A2</v>
      </c>
      <c r="AM133">
        <f t="shared" si="65"/>
        <v>49736.5</v>
      </c>
      <c r="AN133" s="6">
        <f t="shared" si="66"/>
        <v>1300</v>
      </c>
      <c r="AO133">
        <f t="shared" si="67"/>
        <v>51110</v>
      </c>
      <c r="AP133">
        <f t="shared" si="90"/>
        <v>49810</v>
      </c>
      <c r="AQ133" s="33">
        <f t="shared" si="68"/>
        <v>51760</v>
      </c>
      <c r="AR133" s="33">
        <f t="shared" si="69"/>
        <v>49160</v>
      </c>
      <c r="AS133">
        <f t="shared" si="70"/>
        <v>50785</v>
      </c>
      <c r="AT133" s="5">
        <f t="shared" si="71"/>
        <v>50135</v>
      </c>
      <c r="AU133" s="5">
        <f t="shared" si="72"/>
        <v>53060</v>
      </c>
      <c r="AV133" s="5">
        <f t="shared" si="73"/>
        <v>47860</v>
      </c>
      <c r="AW133" s="5">
        <f t="shared" si="74"/>
        <v>50676.666666666664</v>
      </c>
      <c r="AX133" s="5">
        <f t="shared" si="75"/>
        <v>50243.333333333336</v>
      </c>
      <c r="AY133" s="5">
        <f t="shared" si="76"/>
        <v>54360</v>
      </c>
      <c r="AZ133" s="5">
        <f t="shared" si="77"/>
        <v>46560</v>
      </c>
      <c r="BB133" s="32" t="str">
        <f t="shared" ref="BB133:BD196" si="96">AG133</f>
        <v>08/01/2024</v>
      </c>
      <c r="BC133" s="33">
        <f t="shared" si="96"/>
        <v>52260</v>
      </c>
      <c r="BD133" s="4" t="str">
        <f t="shared" si="96"/>
        <v>A2</v>
      </c>
      <c r="BE133">
        <f t="shared" si="78"/>
        <v>50423.25</v>
      </c>
      <c r="BF133">
        <f t="shared" si="79"/>
        <v>49773.25</v>
      </c>
      <c r="BG133">
        <f t="shared" si="80"/>
        <v>50748.25</v>
      </c>
      <c r="BH133">
        <f t="shared" si="81"/>
        <v>49448.25</v>
      </c>
      <c r="BI133">
        <f t="shared" si="82"/>
        <v>50260.75</v>
      </c>
      <c r="BJ133">
        <f t="shared" si="83"/>
        <v>49935.75</v>
      </c>
      <c r="BK133">
        <f t="shared" si="84"/>
        <v>51398.25</v>
      </c>
      <c r="BL133">
        <f t="shared" si="85"/>
        <v>48798.25</v>
      </c>
      <c r="BM133">
        <f t="shared" si="86"/>
        <v>50206.583333333328</v>
      </c>
      <c r="BN133">
        <f t="shared" si="87"/>
        <v>49989.916666666672</v>
      </c>
      <c r="BO133" s="38">
        <f t="shared" si="88"/>
        <v>52048.25</v>
      </c>
      <c r="BP133">
        <f t="shared" si="89"/>
        <v>48148.25</v>
      </c>
      <c r="BQ133" s="7">
        <f>BO133</f>
        <v>52048.25</v>
      </c>
      <c r="BS133" s="30">
        <f t="shared" ref="BS133:BS196" si="97">BC133</f>
        <v>52260</v>
      </c>
      <c r="BT133" s="4">
        <f t="shared" ref="BT133:BT196" si="98">BQ133</f>
        <v>52048.25</v>
      </c>
      <c r="BU133" s="37">
        <f t="shared" si="57"/>
        <v>211.75</v>
      </c>
      <c r="BV133">
        <f t="shared" si="58"/>
        <v>211.75</v>
      </c>
      <c r="BW133" s="35">
        <f t="shared" si="59"/>
        <v>4.0518561040949102E-3</v>
      </c>
    </row>
    <row r="134" spans="1:75">
      <c r="A134" s="1" t="s">
        <v>135</v>
      </c>
      <c r="B134" s="1">
        <v>48820</v>
      </c>
      <c r="Q134">
        <v>131</v>
      </c>
      <c r="R134" s="27" t="str">
        <f t="shared" si="92"/>
        <v>09/01/2024</v>
      </c>
      <c r="S134" s="27">
        <f t="shared" si="92"/>
        <v>50290</v>
      </c>
      <c r="T134" s="4" t="str">
        <f t="shared" si="93"/>
        <v>A2</v>
      </c>
      <c r="V134">
        <v>131</v>
      </c>
      <c r="W134" s="28" t="str">
        <f t="shared" si="91"/>
        <v>09/01/2024</v>
      </c>
      <c r="X134" s="28">
        <f t="shared" si="91"/>
        <v>50290</v>
      </c>
      <c r="Y134" s="28" t="str">
        <f t="shared" si="91"/>
        <v>A2</v>
      </c>
      <c r="Z134" s="5" t="str">
        <f t="shared" si="60"/>
        <v>A2</v>
      </c>
      <c r="AA134" s="5" t="str">
        <f t="shared" si="61"/>
        <v>A2</v>
      </c>
      <c r="AG134" s="29" t="str">
        <f t="shared" si="94"/>
        <v>09/01/2024</v>
      </c>
      <c r="AH134" s="30">
        <f t="shared" si="94"/>
        <v>50290</v>
      </c>
      <c r="AI134" s="4" t="str">
        <f t="shared" si="95"/>
        <v>A2</v>
      </c>
      <c r="AJ134" s="5" t="str">
        <f t="shared" si="62"/>
        <v>A2</v>
      </c>
      <c r="AK134">
        <f t="shared" si="63"/>
        <v>49736.5</v>
      </c>
      <c r="AL134" t="str">
        <f t="shared" si="64"/>
        <v>A2</v>
      </c>
      <c r="AM134">
        <f t="shared" si="65"/>
        <v>49736.5</v>
      </c>
      <c r="AN134" s="6">
        <f t="shared" si="66"/>
        <v>220</v>
      </c>
      <c r="AO134">
        <f t="shared" si="67"/>
        <v>52370</v>
      </c>
      <c r="AP134">
        <f t="shared" si="90"/>
        <v>52150</v>
      </c>
      <c r="AQ134" s="33">
        <f t="shared" si="68"/>
        <v>52480</v>
      </c>
      <c r="AR134" s="33">
        <f t="shared" si="69"/>
        <v>52040</v>
      </c>
      <c r="AS134">
        <f t="shared" si="70"/>
        <v>52315</v>
      </c>
      <c r="AT134" s="5">
        <f t="shared" si="71"/>
        <v>52205</v>
      </c>
      <c r="AU134" s="5">
        <f t="shared" si="72"/>
        <v>52700</v>
      </c>
      <c r="AV134" s="5">
        <f t="shared" si="73"/>
        <v>51820</v>
      </c>
      <c r="AW134" s="5">
        <f t="shared" si="74"/>
        <v>52296.666666666664</v>
      </c>
      <c r="AX134" s="5">
        <f t="shared" si="75"/>
        <v>52223.333333333336</v>
      </c>
      <c r="AY134" s="5">
        <f t="shared" si="76"/>
        <v>52920</v>
      </c>
      <c r="AZ134" s="5">
        <f t="shared" si="77"/>
        <v>51600</v>
      </c>
      <c r="BB134" s="32" t="str">
        <f t="shared" si="96"/>
        <v>09/01/2024</v>
      </c>
      <c r="BC134" s="33">
        <f t="shared" si="96"/>
        <v>50290</v>
      </c>
      <c r="BD134" s="4" t="str">
        <f t="shared" si="96"/>
        <v>A2</v>
      </c>
      <c r="BE134">
        <f t="shared" si="78"/>
        <v>51053.25</v>
      </c>
      <c r="BF134">
        <f t="shared" si="79"/>
        <v>50943.25</v>
      </c>
      <c r="BG134">
        <f t="shared" si="80"/>
        <v>51108.25</v>
      </c>
      <c r="BH134">
        <f t="shared" si="81"/>
        <v>50888.25</v>
      </c>
      <c r="BI134">
        <f t="shared" si="82"/>
        <v>51025.75</v>
      </c>
      <c r="BJ134">
        <f t="shared" si="83"/>
        <v>50970.75</v>
      </c>
      <c r="BK134">
        <f t="shared" si="84"/>
        <v>51218.25</v>
      </c>
      <c r="BL134">
        <f t="shared" si="85"/>
        <v>50778.25</v>
      </c>
      <c r="BM134">
        <f t="shared" si="86"/>
        <v>51016.583333333328</v>
      </c>
      <c r="BN134">
        <f t="shared" si="87"/>
        <v>50979.916666666672</v>
      </c>
      <c r="BO134">
        <f t="shared" si="88"/>
        <v>51328.25</v>
      </c>
      <c r="BP134" s="38">
        <f t="shared" si="89"/>
        <v>50668.25</v>
      </c>
      <c r="BQ134" s="7">
        <f>BP134</f>
        <v>50668.25</v>
      </c>
      <c r="BS134" s="30">
        <f t="shared" si="97"/>
        <v>50290</v>
      </c>
      <c r="BT134" s="4">
        <f t="shared" si="98"/>
        <v>50668.25</v>
      </c>
      <c r="BU134" s="37">
        <f t="shared" si="57"/>
        <v>-378.25</v>
      </c>
      <c r="BV134">
        <f t="shared" si="58"/>
        <v>378.25</v>
      </c>
      <c r="BW134" s="35">
        <f t="shared" si="59"/>
        <v>7.521376019089282E-3</v>
      </c>
    </row>
    <row r="135" spans="1:75">
      <c r="A135" s="1" t="s">
        <v>136</v>
      </c>
      <c r="B135" s="1">
        <v>49970</v>
      </c>
      <c r="Q135">
        <v>132</v>
      </c>
      <c r="R135" s="27" t="str">
        <f t="shared" si="92"/>
        <v>10/01/2024</v>
      </c>
      <c r="S135" s="27">
        <f t="shared" si="92"/>
        <v>50020</v>
      </c>
      <c r="T135" s="4" t="str">
        <f t="shared" si="93"/>
        <v>A2</v>
      </c>
      <c r="V135">
        <v>132</v>
      </c>
      <c r="W135" s="28" t="str">
        <f t="shared" si="91"/>
        <v>10/01/2024</v>
      </c>
      <c r="X135" s="28">
        <f t="shared" si="91"/>
        <v>50020</v>
      </c>
      <c r="Y135" s="28" t="str">
        <f t="shared" si="91"/>
        <v>A2</v>
      </c>
      <c r="Z135" s="5" t="str">
        <f t="shared" si="60"/>
        <v>A2</v>
      </c>
      <c r="AA135" s="5" t="str">
        <f t="shared" si="61"/>
        <v>A2</v>
      </c>
      <c r="AG135" s="29" t="str">
        <f t="shared" si="94"/>
        <v>10/01/2024</v>
      </c>
      <c r="AH135" s="30">
        <f t="shared" si="94"/>
        <v>50020</v>
      </c>
      <c r="AI135" s="4" t="str">
        <f t="shared" si="95"/>
        <v>A2</v>
      </c>
      <c r="AJ135" s="5" t="str">
        <f t="shared" si="62"/>
        <v>A2</v>
      </c>
      <c r="AK135">
        <f t="shared" si="63"/>
        <v>49736.5</v>
      </c>
      <c r="AL135" t="str">
        <f t="shared" si="64"/>
        <v>A2</v>
      </c>
      <c r="AM135">
        <f t="shared" si="65"/>
        <v>49736.5</v>
      </c>
      <c r="AN135" s="6">
        <f t="shared" si="66"/>
        <v>170</v>
      </c>
      <c r="AO135">
        <f t="shared" si="67"/>
        <v>50375</v>
      </c>
      <c r="AP135">
        <f t="shared" si="90"/>
        <v>50205</v>
      </c>
      <c r="AQ135" s="33">
        <f t="shared" si="68"/>
        <v>50460</v>
      </c>
      <c r="AR135" s="33">
        <f t="shared" si="69"/>
        <v>50120</v>
      </c>
      <c r="AS135">
        <f t="shared" si="70"/>
        <v>50332.5</v>
      </c>
      <c r="AT135" s="5">
        <f t="shared" si="71"/>
        <v>50247.5</v>
      </c>
      <c r="AU135" s="5">
        <f t="shared" si="72"/>
        <v>50630</v>
      </c>
      <c r="AV135" s="5">
        <f t="shared" si="73"/>
        <v>49950</v>
      </c>
      <c r="AW135" s="5">
        <f t="shared" si="74"/>
        <v>50318.333333333336</v>
      </c>
      <c r="AX135" s="5">
        <f t="shared" si="75"/>
        <v>50261.666666666664</v>
      </c>
      <c r="AY135" s="5">
        <f t="shared" si="76"/>
        <v>50800</v>
      </c>
      <c r="AZ135" s="5">
        <f t="shared" si="77"/>
        <v>49780</v>
      </c>
      <c r="BB135" s="32" t="str">
        <f t="shared" si="96"/>
        <v>10/01/2024</v>
      </c>
      <c r="BC135" s="33">
        <f t="shared" si="96"/>
        <v>50020</v>
      </c>
      <c r="BD135" s="4" t="str">
        <f t="shared" si="96"/>
        <v>A2</v>
      </c>
      <c r="BE135">
        <f t="shared" si="78"/>
        <v>50055.75</v>
      </c>
      <c r="BF135">
        <f t="shared" si="79"/>
        <v>49970.75</v>
      </c>
      <c r="BG135">
        <f t="shared" si="80"/>
        <v>50098.25</v>
      </c>
      <c r="BH135">
        <f t="shared" si="81"/>
        <v>49928.25</v>
      </c>
      <c r="BI135">
        <f t="shared" si="82"/>
        <v>50034.5</v>
      </c>
      <c r="BJ135">
        <f t="shared" si="83"/>
        <v>49992</v>
      </c>
      <c r="BK135">
        <f t="shared" si="84"/>
        <v>50183.25</v>
      </c>
      <c r="BL135">
        <f t="shared" si="85"/>
        <v>49843.25</v>
      </c>
      <c r="BM135" s="38">
        <f t="shared" si="86"/>
        <v>50027.416666666672</v>
      </c>
      <c r="BN135">
        <f t="shared" si="87"/>
        <v>49999.083333333328</v>
      </c>
      <c r="BO135">
        <f t="shared" si="88"/>
        <v>50268.25</v>
      </c>
      <c r="BP135">
        <f t="shared" si="89"/>
        <v>49758.25</v>
      </c>
      <c r="BQ135" s="7">
        <f>BM135</f>
        <v>50027.416666666672</v>
      </c>
      <c r="BS135" s="30">
        <f t="shared" si="97"/>
        <v>50020</v>
      </c>
      <c r="BT135" s="4">
        <f t="shared" si="98"/>
        <v>50027.416666666672</v>
      </c>
      <c r="BU135" s="37">
        <f t="shared" ref="BU135:BU198" si="99">BS135-BT135</f>
        <v>-7.4166666666715173</v>
      </c>
      <c r="BV135">
        <f t="shared" ref="BV135:BV198" si="100">ABS(BU135)</f>
        <v>7.4166666666715173</v>
      </c>
      <c r="BW135" s="35">
        <f t="shared" ref="BW135:BW198" si="101">BV135/BS135</f>
        <v>1.4827402372394078E-4</v>
      </c>
    </row>
    <row r="136" spans="1:75">
      <c r="A136" s="1" t="s">
        <v>137</v>
      </c>
      <c r="B136" s="1">
        <v>50880</v>
      </c>
      <c r="Q136">
        <v>133</v>
      </c>
      <c r="R136" s="27" t="str">
        <f t="shared" si="92"/>
        <v>11/01/2024</v>
      </c>
      <c r="S136" s="27">
        <f t="shared" si="92"/>
        <v>48820</v>
      </c>
      <c r="T136" s="4" t="str">
        <f t="shared" si="93"/>
        <v>A2</v>
      </c>
      <c r="V136">
        <v>133</v>
      </c>
      <c r="W136" s="28" t="str">
        <f t="shared" si="91"/>
        <v>11/01/2024</v>
      </c>
      <c r="X136" s="28">
        <f t="shared" si="91"/>
        <v>48820</v>
      </c>
      <c r="Y136" s="28" t="str">
        <f t="shared" si="91"/>
        <v>A2</v>
      </c>
      <c r="Z136" s="5" t="str">
        <f t="shared" ref="Z136:Z199" si="102">Y134</f>
        <v>A2</v>
      </c>
      <c r="AA136" s="5" t="str">
        <f t="shared" ref="AA136:AA199" si="103">Y135</f>
        <v>A2</v>
      </c>
      <c r="AG136" s="29" t="str">
        <f t="shared" si="94"/>
        <v>11/01/2024</v>
      </c>
      <c r="AH136" s="30">
        <f t="shared" si="94"/>
        <v>48820</v>
      </c>
      <c r="AI136" s="4" t="str">
        <f t="shared" si="95"/>
        <v>A2</v>
      </c>
      <c r="AJ136" s="5" t="str">
        <f t="shared" ref="AJ136:AJ199" si="104">AI134</f>
        <v>A2</v>
      </c>
      <c r="AK136">
        <f t="shared" ref="AK136:AK199" si="105">VLOOKUP(AJ136,$AC$18:$AD$27,2,FALSE)</f>
        <v>49736.5</v>
      </c>
      <c r="AL136" t="str">
        <f t="shared" ref="AL136:AL199" si="106">AI135</f>
        <v>A2</v>
      </c>
      <c r="AM136">
        <f t="shared" ref="AM136:AM199" si="107">VLOOKUP(AL136,$AC$18:$AD$27,2,FALSE)</f>
        <v>49736.5</v>
      </c>
      <c r="AN136" s="6">
        <f t="shared" ref="AN136:AN199" si="108">ABS(ABS(AH135-AH134)-ABS(AH134-AH133))</f>
        <v>1700</v>
      </c>
      <c r="AO136">
        <f t="shared" ref="AO136:AO199" si="109">AH135+AN136/2</f>
        <v>50870</v>
      </c>
      <c r="AP136">
        <f t="shared" si="90"/>
        <v>49170</v>
      </c>
      <c r="AQ136" s="33">
        <f t="shared" ref="AQ136:AQ199" si="110">AH135+AN136</f>
        <v>51720</v>
      </c>
      <c r="AR136" s="33">
        <f t="shared" ref="AR136:AR199" si="111">AH135-AN136</f>
        <v>48320</v>
      </c>
      <c r="AS136">
        <f t="shared" ref="AS136:AS199" si="112">AH135+AN136/4</f>
        <v>50445</v>
      </c>
      <c r="AT136" s="5">
        <f t="shared" ref="AT136:AT199" si="113">AH135-AN136/4</f>
        <v>49595</v>
      </c>
      <c r="AU136" s="5">
        <f t="shared" ref="AU136:AU199" si="114">AH135+2*AN136</f>
        <v>53420</v>
      </c>
      <c r="AV136" s="5">
        <f t="shared" ref="AV136:AV199" si="115">AH135-2*AN136</f>
        <v>46620</v>
      </c>
      <c r="AW136" s="5">
        <f t="shared" ref="AW136:AW199" si="116">AH135+AN136/6</f>
        <v>50303.333333333336</v>
      </c>
      <c r="AX136" s="5">
        <f t="shared" ref="AX136:AX199" si="117">AH135-AN136/6</f>
        <v>49736.666666666664</v>
      </c>
      <c r="AY136" s="5">
        <f t="shared" ref="AY136:AY199" si="118">AH135+3*AN136</f>
        <v>55120</v>
      </c>
      <c r="AZ136" s="5">
        <f t="shared" ref="AZ136:AZ199" si="119">AH135-3*AN136</f>
        <v>44920</v>
      </c>
      <c r="BB136" s="32" t="str">
        <f t="shared" si="96"/>
        <v>11/01/2024</v>
      </c>
      <c r="BC136" s="33">
        <f t="shared" si="96"/>
        <v>48820</v>
      </c>
      <c r="BD136" s="4" t="str">
        <f t="shared" si="96"/>
        <v>A2</v>
      </c>
      <c r="BE136">
        <f t="shared" ref="BE136:BE199" si="120">(AO136+AM136)/(1+1)</f>
        <v>50303.25</v>
      </c>
      <c r="BF136">
        <f t="shared" ref="BF136:BF199" si="121">(AP136+AM136)/(1+1)</f>
        <v>49453.25</v>
      </c>
      <c r="BG136">
        <f t="shared" ref="BG136:BG199" si="122">(AQ136+AM136)/(1+1)</f>
        <v>50728.25</v>
      </c>
      <c r="BH136" s="38">
        <f t="shared" ref="BH136:BH199" si="123">(AR136+AM136)/(1+1)</f>
        <v>49028.25</v>
      </c>
      <c r="BI136">
        <f t="shared" ref="BI136:BI199" si="124">(AS136+AM136)/(1+1)</f>
        <v>50090.75</v>
      </c>
      <c r="BJ136">
        <f t="shared" ref="BJ136:BJ199" si="125">(AT136+AM136)/(1+1)</f>
        <v>49665.75</v>
      </c>
      <c r="BK136">
        <f t="shared" ref="BK136:BK199" si="126">(AU136+AM136)/(1+1)</f>
        <v>51578.25</v>
      </c>
      <c r="BL136">
        <f t="shared" ref="BL136:BL199" si="127">(AV136+AM136)/(1+1)</f>
        <v>48178.25</v>
      </c>
      <c r="BM136">
        <f t="shared" ref="BM136:BM199" si="128">(AW136+AM136)/(1+1)</f>
        <v>50019.916666666672</v>
      </c>
      <c r="BN136">
        <f t="shared" ref="BN136:BN199" si="129">(AX136+AM136)/(1+1)</f>
        <v>49736.583333333328</v>
      </c>
      <c r="BO136">
        <f t="shared" ref="BO136:BO199" si="130">(AY136+AM136)/(1+1)</f>
        <v>52428.25</v>
      </c>
      <c r="BP136">
        <f t="shared" ref="BP136:BP199" si="131">(AZ136+AM136)/(1+1)</f>
        <v>47328.25</v>
      </c>
      <c r="BQ136" s="7">
        <f>BH136</f>
        <v>49028.25</v>
      </c>
      <c r="BS136" s="30">
        <f t="shared" si="97"/>
        <v>48820</v>
      </c>
      <c r="BT136" s="4">
        <f t="shared" si="98"/>
        <v>49028.25</v>
      </c>
      <c r="BU136" s="37">
        <f t="shared" si="99"/>
        <v>-208.25</v>
      </c>
      <c r="BV136">
        <f t="shared" si="100"/>
        <v>208.25</v>
      </c>
      <c r="BW136" s="35">
        <f t="shared" si="101"/>
        <v>4.2656698074559603E-3</v>
      </c>
    </row>
    <row r="137" spans="1:75">
      <c r="A137" s="1" t="s">
        <v>138</v>
      </c>
      <c r="B137" s="1">
        <v>50770</v>
      </c>
      <c r="Q137">
        <v>134</v>
      </c>
      <c r="R137" s="27" t="str">
        <f t="shared" si="92"/>
        <v>12/01/2024</v>
      </c>
      <c r="S137" s="27">
        <f t="shared" si="92"/>
        <v>49970</v>
      </c>
      <c r="T137" s="4" t="str">
        <f t="shared" si="93"/>
        <v>A2</v>
      </c>
      <c r="V137">
        <v>134</v>
      </c>
      <c r="W137" s="28" t="str">
        <f t="shared" si="91"/>
        <v>12/01/2024</v>
      </c>
      <c r="X137" s="28">
        <f t="shared" si="91"/>
        <v>49970</v>
      </c>
      <c r="Y137" s="28" t="str">
        <f t="shared" si="91"/>
        <v>A2</v>
      </c>
      <c r="Z137" s="5" t="str">
        <f t="shared" si="102"/>
        <v>A2</v>
      </c>
      <c r="AA137" s="5" t="str">
        <f t="shared" si="103"/>
        <v>A2</v>
      </c>
      <c r="AG137" s="29" t="str">
        <f t="shared" si="94"/>
        <v>12/01/2024</v>
      </c>
      <c r="AH137" s="30">
        <f t="shared" si="94"/>
        <v>49970</v>
      </c>
      <c r="AI137" s="4" t="str">
        <f t="shared" si="95"/>
        <v>A2</v>
      </c>
      <c r="AJ137" s="5" t="str">
        <f t="shared" si="104"/>
        <v>A2</v>
      </c>
      <c r="AK137">
        <f t="shared" si="105"/>
        <v>49736.5</v>
      </c>
      <c r="AL137" t="str">
        <f t="shared" si="106"/>
        <v>A2</v>
      </c>
      <c r="AM137">
        <f t="shared" si="107"/>
        <v>49736.5</v>
      </c>
      <c r="AN137" s="6">
        <f t="shared" si="108"/>
        <v>930</v>
      </c>
      <c r="AO137">
        <f t="shared" si="109"/>
        <v>49285</v>
      </c>
      <c r="AP137">
        <f t="shared" si="90"/>
        <v>48355</v>
      </c>
      <c r="AQ137" s="33">
        <f t="shared" si="110"/>
        <v>49750</v>
      </c>
      <c r="AR137" s="33">
        <f t="shared" si="111"/>
        <v>47890</v>
      </c>
      <c r="AS137">
        <f t="shared" si="112"/>
        <v>49052.5</v>
      </c>
      <c r="AT137" s="5">
        <f t="shared" si="113"/>
        <v>48587.5</v>
      </c>
      <c r="AU137" s="5">
        <f t="shared" si="114"/>
        <v>50680</v>
      </c>
      <c r="AV137" s="5">
        <f t="shared" si="115"/>
        <v>46960</v>
      </c>
      <c r="AW137" s="5">
        <f t="shared" si="116"/>
        <v>48975</v>
      </c>
      <c r="AX137" s="5">
        <f t="shared" si="117"/>
        <v>48665</v>
      </c>
      <c r="AY137" s="5">
        <f t="shared" si="118"/>
        <v>51610</v>
      </c>
      <c r="AZ137" s="5">
        <f t="shared" si="119"/>
        <v>46030</v>
      </c>
      <c r="BB137" s="32" t="str">
        <f t="shared" si="96"/>
        <v>12/01/2024</v>
      </c>
      <c r="BC137" s="33">
        <f t="shared" si="96"/>
        <v>49970</v>
      </c>
      <c r="BD137" s="4" t="str">
        <f t="shared" si="96"/>
        <v>A2</v>
      </c>
      <c r="BE137">
        <f t="shared" si="120"/>
        <v>49510.75</v>
      </c>
      <c r="BF137">
        <f t="shared" si="121"/>
        <v>49045.75</v>
      </c>
      <c r="BG137">
        <f t="shared" si="122"/>
        <v>49743.25</v>
      </c>
      <c r="BH137">
        <f t="shared" si="123"/>
        <v>48813.25</v>
      </c>
      <c r="BI137">
        <f t="shared" si="124"/>
        <v>49394.5</v>
      </c>
      <c r="BJ137">
        <f t="shared" si="125"/>
        <v>49162</v>
      </c>
      <c r="BK137">
        <f t="shared" si="126"/>
        <v>50208.25</v>
      </c>
      <c r="BL137">
        <f t="shared" si="127"/>
        <v>48348.25</v>
      </c>
      <c r="BM137">
        <f t="shared" si="128"/>
        <v>49355.75</v>
      </c>
      <c r="BN137">
        <f t="shared" si="129"/>
        <v>49200.75</v>
      </c>
      <c r="BO137" s="38">
        <f t="shared" si="130"/>
        <v>50673.25</v>
      </c>
      <c r="BP137">
        <f t="shared" si="131"/>
        <v>47883.25</v>
      </c>
      <c r="BQ137" s="7">
        <f>BO137</f>
        <v>50673.25</v>
      </c>
      <c r="BS137" s="30">
        <f t="shared" si="97"/>
        <v>49970</v>
      </c>
      <c r="BT137" s="4">
        <f t="shared" si="98"/>
        <v>50673.25</v>
      </c>
      <c r="BU137" s="37">
        <f t="shared" si="99"/>
        <v>-703.25</v>
      </c>
      <c r="BV137">
        <f t="shared" si="100"/>
        <v>703.25</v>
      </c>
      <c r="BW137" s="35">
        <f t="shared" si="101"/>
        <v>1.4073444066439863E-2</v>
      </c>
    </row>
    <row r="138" spans="1:75">
      <c r="A138" s="1" t="s">
        <v>139</v>
      </c>
      <c r="B138" s="1">
        <v>49520</v>
      </c>
      <c r="Q138">
        <v>135</v>
      </c>
      <c r="R138" s="27" t="str">
        <f t="shared" si="92"/>
        <v>13/01/2024</v>
      </c>
      <c r="S138" s="27">
        <f t="shared" si="92"/>
        <v>50880</v>
      </c>
      <c r="T138" s="4" t="str">
        <f t="shared" si="93"/>
        <v>A2</v>
      </c>
      <c r="V138">
        <v>135</v>
      </c>
      <c r="W138" s="28" t="str">
        <f t="shared" si="91"/>
        <v>13/01/2024</v>
      </c>
      <c r="X138" s="28">
        <f t="shared" si="91"/>
        <v>50880</v>
      </c>
      <c r="Y138" s="28" t="str">
        <f t="shared" si="91"/>
        <v>A2</v>
      </c>
      <c r="Z138" s="5" t="str">
        <f t="shared" si="102"/>
        <v>A2</v>
      </c>
      <c r="AA138" s="5" t="str">
        <f t="shared" si="103"/>
        <v>A2</v>
      </c>
      <c r="AG138" s="29" t="str">
        <f t="shared" si="94"/>
        <v>13/01/2024</v>
      </c>
      <c r="AH138" s="30">
        <f t="shared" si="94"/>
        <v>50880</v>
      </c>
      <c r="AI138" s="4" t="str">
        <f t="shared" si="95"/>
        <v>A2</v>
      </c>
      <c r="AJ138" s="5" t="str">
        <f t="shared" si="104"/>
        <v>A2</v>
      </c>
      <c r="AK138">
        <f t="shared" si="105"/>
        <v>49736.5</v>
      </c>
      <c r="AL138" t="str">
        <f t="shared" si="106"/>
        <v>A2</v>
      </c>
      <c r="AM138">
        <f t="shared" si="107"/>
        <v>49736.5</v>
      </c>
      <c r="AN138" s="6">
        <f t="shared" si="108"/>
        <v>50</v>
      </c>
      <c r="AO138">
        <f t="shared" si="109"/>
        <v>49995</v>
      </c>
      <c r="AP138">
        <f t="shared" si="90"/>
        <v>49945</v>
      </c>
      <c r="AQ138" s="33">
        <f t="shared" si="110"/>
        <v>50020</v>
      </c>
      <c r="AR138" s="33">
        <f t="shared" si="111"/>
        <v>49920</v>
      </c>
      <c r="AS138">
        <f t="shared" si="112"/>
        <v>49982.5</v>
      </c>
      <c r="AT138" s="5">
        <f t="shared" si="113"/>
        <v>49957.5</v>
      </c>
      <c r="AU138" s="5">
        <f t="shared" si="114"/>
        <v>50070</v>
      </c>
      <c r="AV138" s="5">
        <f t="shared" si="115"/>
        <v>49870</v>
      </c>
      <c r="AW138" s="5">
        <f t="shared" si="116"/>
        <v>49978.333333333336</v>
      </c>
      <c r="AX138" s="5">
        <f t="shared" si="117"/>
        <v>49961.666666666664</v>
      </c>
      <c r="AY138" s="5">
        <f t="shared" si="118"/>
        <v>50120</v>
      </c>
      <c r="AZ138" s="5">
        <f t="shared" si="119"/>
        <v>49820</v>
      </c>
      <c r="BB138" s="32" t="str">
        <f t="shared" si="96"/>
        <v>13/01/2024</v>
      </c>
      <c r="BC138" s="33">
        <f t="shared" si="96"/>
        <v>50880</v>
      </c>
      <c r="BD138" s="4" t="str">
        <f t="shared" si="96"/>
        <v>A2</v>
      </c>
      <c r="BE138">
        <f t="shared" si="120"/>
        <v>49865.75</v>
      </c>
      <c r="BF138">
        <f t="shared" si="121"/>
        <v>49840.75</v>
      </c>
      <c r="BG138">
        <f t="shared" si="122"/>
        <v>49878.25</v>
      </c>
      <c r="BH138">
        <f t="shared" si="123"/>
        <v>49828.25</v>
      </c>
      <c r="BI138">
        <f t="shared" si="124"/>
        <v>49859.5</v>
      </c>
      <c r="BJ138">
        <f t="shared" si="125"/>
        <v>49847</v>
      </c>
      <c r="BK138" s="38">
        <f t="shared" si="126"/>
        <v>49903.25</v>
      </c>
      <c r="BL138">
        <f t="shared" si="127"/>
        <v>49803.25</v>
      </c>
      <c r="BM138">
        <f t="shared" si="128"/>
        <v>49857.416666666672</v>
      </c>
      <c r="BN138">
        <f t="shared" si="129"/>
        <v>49849.083333333328</v>
      </c>
      <c r="BO138">
        <f t="shared" si="130"/>
        <v>49928.25</v>
      </c>
      <c r="BP138">
        <f t="shared" si="131"/>
        <v>49778.25</v>
      </c>
      <c r="BQ138" s="7">
        <f>BK138</f>
        <v>49903.25</v>
      </c>
      <c r="BS138" s="30">
        <f t="shared" si="97"/>
        <v>50880</v>
      </c>
      <c r="BT138" s="4">
        <f t="shared" si="98"/>
        <v>49903.25</v>
      </c>
      <c r="BU138" s="37">
        <f t="shared" si="99"/>
        <v>976.75</v>
      </c>
      <c r="BV138">
        <f t="shared" si="100"/>
        <v>976.75</v>
      </c>
      <c r="BW138" s="35">
        <f t="shared" si="101"/>
        <v>1.9197130503144654E-2</v>
      </c>
    </row>
    <row r="139" spans="1:75">
      <c r="A139" s="1" t="s">
        <v>140</v>
      </c>
      <c r="B139" s="1">
        <v>47690</v>
      </c>
      <c r="Q139">
        <v>136</v>
      </c>
      <c r="R139" s="27" t="str">
        <f t="shared" si="92"/>
        <v>14/01/2024</v>
      </c>
      <c r="S139" s="27">
        <f t="shared" si="92"/>
        <v>50770</v>
      </c>
      <c r="T139" s="4" t="str">
        <f t="shared" si="93"/>
        <v>A2</v>
      </c>
      <c r="V139">
        <v>136</v>
      </c>
      <c r="W139" s="28" t="str">
        <f t="shared" si="91"/>
        <v>14/01/2024</v>
      </c>
      <c r="X139" s="28">
        <f t="shared" si="91"/>
        <v>50770</v>
      </c>
      <c r="Y139" s="28" t="str">
        <f t="shared" si="91"/>
        <v>A2</v>
      </c>
      <c r="Z139" s="5" t="str">
        <f t="shared" si="102"/>
        <v>A2</v>
      </c>
      <c r="AA139" s="5" t="str">
        <f t="shared" si="103"/>
        <v>A2</v>
      </c>
      <c r="AG139" s="29" t="str">
        <f t="shared" si="94"/>
        <v>14/01/2024</v>
      </c>
      <c r="AH139" s="30">
        <f t="shared" si="94"/>
        <v>50770</v>
      </c>
      <c r="AI139" s="4" t="str">
        <f t="shared" si="95"/>
        <v>A2</v>
      </c>
      <c r="AJ139" s="5" t="str">
        <f t="shared" si="104"/>
        <v>A2</v>
      </c>
      <c r="AK139">
        <f t="shared" si="105"/>
        <v>49736.5</v>
      </c>
      <c r="AL139" t="str">
        <f t="shared" si="106"/>
        <v>A2</v>
      </c>
      <c r="AM139">
        <f t="shared" si="107"/>
        <v>49736.5</v>
      </c>
      <c r="AN139" s="6">
        <f t="shared" si="108"/>
        <v>240</v>
      </c>
      <c r="AO139">
        <f t="shared" si="109"/>
        <v>51000</v>
      </c>
      <c r="AP139">
        <f t="shared" si="90"/>
        <v>50760</v>
      </c>
      <c r="AQ139" s="33">
        <f t="shared" si="110"/>
        <v>51120</v>
      </c>
      <c r="AR139" s="33">
        <f t="shared" si="111"/>
        <v>50640</v>
      </c>
      <c r="AS139">
        <f t="shared" si="112"/>
        <v>50940</v>
      </c>
      <c r="AT139" s="5">
        <f t="shared" si="113"/>
        <v>50820</v>
      </c>
      <c r="AU139" s="5">
        <f t="shared" si="114"/>
        <v>51360</v>
      </c>
      <c r="AV139" s="5">
        <f t="shared" si="115"/>
        <v>50400</v>
      </c>
      <c r="AW139" s="5">
        <f t="shared" si="116"/>
        <v>50920</v>
      </c>
      <c r="AX139" s="5">
        <f t="shared" si="117"/>
        <v>50840</v>
      </c>
      <c r="AY139" s="5">
        <f t="shared" si="118"/>
        <v>51600</v>
      </c>
      <c r="AZ139" s="5">
        <f t="shared" si="119"/>
        <v>50160</v>
      </c>
      <c r="BB139" s="32" t="str">
        <f t="shared" si="96"/>
        <v>14/01/2024</v>
      </c>
      <c r="BC139" s="33">
        <f t="shared" si="96"/>
        <v>50770</v>
      </c>
      <c r="BD139" s="4" t="str">
        <f t="shared" si="96"/>
        <v>A2</v>
      </c>
      <c r="BE139">
        <f t="shared" si="120"/>
        <v>50368.25</v>
      </c>
      <c r="BF139">
        <f t="shared" si="121"/>
        <v>50248.25</v>
      </c>
      <c r="BG139">
        <f t="shared" si="122"/>
        <v>50428.25</v>
      </c>
      <c r="BH139">
        <f t="shared" si="123"/>
        <v>50188.25</v>
      </c>
      <c r="BI139">
        <f t="shared" si="124"/>
        <v>50338.25</v>
      </c>
      <c r="BJ139">
        <f t="shared" si="125"/>
        <v>50278.25</v>
      </c>
      <c r="BK139">
        <f t="shared" si="126"/>
        <v>50548.25</v>
      </c>
      <c r="BL139">
        <f t="shared" si="127"/>
        <v>50068.25</v>
      </c>
      <c r="BM139">
        <f t="shared" si="128"/>
        <v>50328.25</v>
      </c>
      <c r="BN139">
        <f t="shared" si="129"/>
        <v>50288.25</v>
      </c>
      <c r="BO139" s="38">
        <f t="shared" si="130"/>
        <v>50668.25</v>
      </c>
      <c r="BP139">
        <f t="shared" si="131"/>
        <v>49948.25</v>
      </c>
      <c r="BQ139" s="7">
        <f>BO139</f>
        <v>50668.25</v>
      </c>
      <c r="BS139" s="30">
        <f t="shared" si="97"/>
        <v>50770</v>
      </c>
      <c r="BT139" s="4">
        <f t="shared" si="98"/>
        <v>50668.25</v>
      </c>
      <c r="BU139" s="37">
        <f t="shared" si="99"/>
        <v>101.75</v>
      </c>
      <c r="BV139">
        <f t="shared" si="100"/>
        <v>101.75</v>
      </c>
      <c r="BW139" s="35">
        <f t="shared" si="101"/>
        <v>2.004136300965137E-3</v>
      </c>
    </row>
    <row r="140" spans="1:75">
      <c r="A140" s="1" t="s">
        <v>141</v>
      </c>
      <c r="B140" s="1">
        <v>48050</v>
      </c>
      <c r="Q140">
        <v>137</v>
      </c>
      <c r="R140" s="27" t="str">
        <f t="shared" si="92"/>
        <v>15/01/2024</v>
      </c>
      <c r="S140" s="27">
        <f t="shared" si="92"/>
        <v>49520</v>
      </c>
      <c r="T140" s="4" t="str">
        <f t="shared" si="93"/>
        <v>A2</v>
      </c>
      <c r="V140">
        <v>137</v>
      </c>
      <c r="W140" s="28" t="str">
        <f t="shared" si="91"/>
        <v>15/01/2024</v>
      </c>
      <c r="X140" s="28">
        <f t="shared" si="91"/>
        <v>49520</v>
      </c>
      <c r="Y140" s="28" t="str">
        <f t="shared" si="91"/>
        <v>A2</v>
      </c>
      <c r="Z140" s="5" t="str">
        <f t="shared" si="102"/>
        <v>A2</v>
      </c>
      <c r="AA140" s="5" t="str">
        <f t="shared" si="103"/>
        <v>A2</v>
      </c>
      <c r="AG140" s="29" t="str">
        <f t="shared" si="94"/>
        <v>15/01/2024</v>
      </c>
      <c r="AH140" s="30">
        <f t="shared" si="94"/>
        <v>49520</v>
      </c>
      <c r="AI140" s="4" t="str">
        <f t="shared" si="95"/>
        <v>A2</v>
      </c>
      <c r="AJ140" s="5" t="str">
        <f t="shared" si="104"/>
        <v>A2</v>
      </c>
      <c r="AK140">
        <f t="shared" si="105"/>
        <v>49736.5</v>
      </c>
      <c r="AL140" t="str">
        <f t="shared" si="106"/>
        <v>A2</v>
      </c>
      <c r="AM140">
        <f t="shared" si="107"/>
        <v>49736.5</v>
      </c>
      <c r="AN140" s="6">
        <f t="shared" si="108"/>
        <v>800</v>
      </c>
      <c r="AO140">
        <f t="shared" si="109"/>
        <v>51170</v>
      </c>
      <c r="AP140">
        <f t="shared" ref="AP140:AP203" si="132">AH139-AN140/2</f>
        <v>50370</v>
      </c>
      <c r="AQ140" s="33">
        <f t="shared" si="110"/>
        <v>51570</v>
      </c>
      <c r="AR140" s="33">
        <f t="shared" si="111"/>
        <v>49970</v>
      </c>
      <c r="AS140">
        <f t="shared" si="112"/>
        <v>50970</v>
      </c>
      <c r="AT140" s="5">
        <f t="shared" si="113"/>
        <v>50570</v>
      </c>
      <c r="AU140" s="5">
        <f t="shared" si="114"/>
        <v>52370</v>
      </c>
      <c r="AV140" s="5">
        <f t="shared" si="115"/>
        <v>49170</v>
      </c>
      <c r="AW140" s="5">
        <f t="shared" si="116"/>
        <v>50903.333333333336</v>
      </c>
      <c r="AX140" s="5">
        <f t="shared" si="117"/>
        <v>50636.666666666664</v>
      </c>
      <c r="AY140" s="5">
        <f t="shared" si="118"/>
        <v>53170</v>
      </c>
      <c r="AZ140" s="5">
        <f t="shared" si="119"/>
        <v>48370</v>
      </c>
      <c r="BB140" s="32" t="str">
        <f t="shared" si="96"/>
        <v>15/01/2024</v>
      </c>
      <c r="BC140" s="33">
        <f t="shared" si="96"/>
        <v>49520</v>
      </c>
      <c r="BD140" s="4" t="str">
        <f t="shared" si="96"/>
        <v>A2</v>
      </c>
      <c r="BE140">
        <f t="shared" si="120"/>
        <v>50453.25</v>
      </c>
      <c r="BF140">
        <f t="shared" si="121"/>
        <v>50053.25</v>
      </c>
      <c r="BG140">
        <f t="shared" si="122"/>
        <v>50653.25</v>
      </c>
      <c r="BH140">
        <f t="shared" si="123"/>
        <v>49853.25</v>
      </c>
      <c r="BI140">
        <f t="shared" si="124"/>
        <v>50353.25</v>
      </c>
      <c r="BJ140">
        <f t="shared" si="125"/>
        <v>50153.25</v>
      </c>
      <c r="BK140">
        <f t="shared" si="126"/>
        <v>51053.25</v>
      </c>
      <c r="BL140" s="38">
        <f t="shared" si="127"/>
        <v>49453.25</v>
      </c>
      <c r="BM140">
        <f t="shared" si="128"/>
        <v>50319.916666666672</v>
      </c>
      <c r="BN140">
        <f t="shared" si="129"/>
        <v>50186.583333333328</v>
      </c>
      <c r="BO140">
        <f t="shared" si="130"/>
        <v>51453.25</v>
      </c>
      <c r="BP140">
        <f t="shared" si="131"/>
        <v>49053.25</v>
      </c>
      <c r="BQ140" s="7">
        <f>BL140</f>
        <v>49453.25</v>
      </c>
      <c r="BS140" s="30">
        <f t="shared" si="97"/>
        <v>49520</v>
      </c>
      <c r="BT140" s="4">
        <f t="shared" si="98"/>
        <v>49453.25</v>
      </c>
      <c r="BU140" s="37">
        <f t="shared" si="99"/>
        <v>66.75</v>
      </c>
      <c r="BV140">
        <f t="shared" si="100"/>
        <v>66.75</v>
      </c>
      <c r="BW140" s="35">
        <f t="shared" si="101"/>
        <v>1.347940226171244E-3</v>
      </c>
    </row>
    <row r="141" spans="1:75">
      <c r="A141" s="1" t="s">
        <v>142</v>
      </c>
      <c r="B141" s="1">
        <v>50510</v>
      </c>
      <c r="Q141">
        <v>138</v>
      </c>
      <c r="R141" s="27" t="str">
        <f t="shared" si="92"/>
        <v>16/01/2024</v>
      </c>
      <c r="S141" s="27">
        <f t="shared" si="92"/>
        <v>47690</v>
      </c>
      <c r="T141" s="4" t="str">
        <f t="shared" si="93"/>
        <v>A2</v>
      </c>
      <c r="V141">
        <v>138</v>
      </c>
      <c r="W141" s="28" t="str">
        <f t="shared" si="91"/>
        <v>16/01/2024</v>
      </c>
      <c r="X141" s="28">
        <f t="shared" si="91"/>
        <v>47690</v>
      </c>
      <c r="Y141" s="28" t="str">
        <f t="shared" si="91"/>
        <v>A2</v>
      </c>
      <c r="Z141" s="5" t="str">
        <f t="shared" si="102"/>
        <v>A2</v>
      </c>
      <c r="AA141" s="5" t="str">
        <f t="shared" si="103"/>
        <v>A2</v>
      </c>
      <c r="AG141" s="29" t="str">
        <f t="shared" si="94"/>
        <v>16/01/2024</v>
      </c>
      <c r="AH141" s="30">
        <f t="shared" si="94"/>
        <v>47690</v>
      </c>
      <c r="AI141" s="4" t="str">
        <f t="shared" si="95"/>
        <v>A2</v>
      </c>
      <c r="AJ141" s="5" t="str">
        <f t="shared" si="104"/>
        <v>A2</v>
      </c>
      <c r="AK141">
        <f t="shared" si="105"/>
        <v>49736.5</v>
      </c>
      <c r="AL141" t="str">
        <f t="shared" si="106"/>
        <v>A2</v>
      </c>
      <c r="AM141">
        <f t="shared" si="107"/>
        <v>49736.5</v>
      </c>
      <c r="AN141" s="6">
        <f t="shared" si="108"/>
        <v>1140</v>
      </c>
      <c r="AO141">
        <f t="shared" si="109"/>
        <v>50090</v>
      </c>
      <c r="AP141">
        <f t="shared" si="132"/>
        <v>48950</v>
      </c>
      <c r="AQ141" s="33">
        <f t="shared" si="110"/>
        <v>50660</v>
      </c>
      <c r="AR141" s="33">
        <f t="shared" si="111"/>
        <v>48380</v>
      </c>
      <c r="AS141">
        <f t="shared" si="112"/>
        <v>49805</v>
      </c>
      <c r="AT141" s="5">
        <f t="shared" si="113"/>
        <v>49235</v>
      </c>
      <c r="AU141" s="5">
        <f t="shared" si="114"/>
        <v>51800</v>
      </c>
      <c r="AV141" s="5">
        <f t="shared" si="115"/>
        <v>47240</v>
      </c>
      <c r="AW141" s="5">
        <f t="shared" si="116"/>
        <v>49710</v>
      </c>
      <c r="AX141" s="5">
        <f t="shared" si="117"/>
        <v>49330</v>
      </c>
      <c r="AY141" s="5">
        <f t="shared" si="118"/>
        <v>52940</v>
      </c>
      <c r="AZ141" s="5">
        <f t="shared" si="119"/>
        <v>46100</v>
      </c>
      <c r="BB141" s="32" t="str">
        <f t="shared" si="96"/>
        <v>16/01/2024</v>
      </c>
      <c r="BC141" s="33">
        <f t="shared" si="96"/>
        <v>47690</v>
      </c>
      <c r="BD141" s="4" t="str">
        <f t="shared" si="96"/>
        <v>A2</v>
      </c>
      <c r="BE141">
        <f t="shared" si="120"/>
        <v>49913.25</v>
      </c>
      <c r="BF141">
        <f t="shared" si="121"/>
        <v>49343.25</v>
      </c>
      <c r="BG141">
        <f t="shared" si="122"/>
        <v>50198.25</v>
      </c>
      <c r="BH141">
        <f t="shared" si="123"/>
        <v>49058.25</v>
      </c>
      <c r="BI141">
        <f t="shared" si="124"/>
        <v>49770.75</v>
      </c>
      <c r="BJ141">
        <f t="shared" si="125"/>
        <v>49485.75</v>
      </c>
      <c r="BK141">
        <f t="shared" si="126"/>
        <v>50768.25</v>
      </c>
      <c r="BL141">
        <f t="shared" si="127"/>
        <v>48488.25</v>
      </c>
      <c r="BM141">
        <f t="shared" si="128"/>
        <v>49723.25</v>
      </c>
      <c r="BN141">
        <f t="shared" si="129"/>
        <v>49533.25</v>
      </c>
      <c r="BO141">
        <f t="shared" si="130"/>
        <v>51338.25</v>
      </c>
      <c r="BP141" s="38">
        <f t="shared" si="131"/>
        <v>47918.25</v>
      </c>
      <c r="BQ141" s="7">
        <f>BP141</f>
        <v>47918.25</v>
      </c>
      <c r="BS141" s="30">
        <f t="shared" si="97"/>
        <v>47690</v>
      </c>
      <c r="BT141" s="4">
        <f t="shared" si="98"/>
        <v>47918.25</v>
      </c>
      <c r="BU141" s="37">
        <f t="shared" si="99"/>
        <v>-228.25</v>
      </c>
      <c r="BV141">
        <f t="shared" si="100"/>
        <v>228.25</v>
      </c>
      <c r="BW141" s="35">
        <f t="shared" si="101"/>
        <v>4.7861186831620883E-3</v>
      </c>
    </row>
    <row r="142" spans="1:75">
      <c r="A142" s="1" t="s">
        <v>143</v>
      </c>
      <c r="B142" s="1">
        <v>50330</v>
      </c>
      <c r="Q142">
        <v>139</v>
      </c>
      <c r="R142" s="27" t="str">
        <f t="shared" si="92"/>
        <v>17/01/2024</v>
      </c>
      <c r="S142" s="27">
        <f t="shared" si="92"/>
        <v>48050</v>
      </c>
      <c r="T142" s="4" t="str">
        <f t="shared" si="93"/>
        <v>A2</v>
      </c>
      <c r="V142">
        <v>139</v>
      </c>
      <c r="W142" s="28" t="str">
        <f t="shared" si="91"/>
        <v>17/01/2024</v>
      </c>
      <c r="X142" s="28">
        <f t="shared" si="91"/>
        <v>48050</v>
      </c>
      <c r="Y142" s="28" t="str">
        <f t="shared" si="91"/>
        <v>A2</v>
      </c>
      <c r="Z142" s="5" t="str">
        <f t="shared" si="102"/>
        <v>A2</v>
      </c>
      <c r="AA142" s="5" t="str">
        <f t="shared" si="103"/>
        <v>A2</v>
      </c>
      <c r="AG142" s="29" t="str">
        <f t="shared" si="94"/>
        <v>17/01/2024</v>
      </c>
      <c r="AH142" s="30">
        <f t="shared" si="94"/>
        <v>48050</v>
      </c>
      <c r="AI142" s="4" t="str">
        <f t="shared" si="95"/>
        <v>A2</v>
      </c>
      <c r="AJ142" s="5" t="str">
        <f t="shared" si="104"/>
        <v>A2</v>
      </c>
      <c r="AK142">
        <f t="shared" si="105"/>
        <v>49736.5</v>
      </c>
      <c r="AL142" t="str">
        <f t="shared" si="106"/>
        <v>A2</v>
      </c>
      <c r="AM142">
        <f t="shared" si="107"/>
        <v>49736.5</v>
      </c>
      <c r="AN142" s="6">
        <f t="shared" si="108"/>
        <v>580</v>
      </c>
      <c r="AO142">
        <f t="shared" si="109"/>
        <v>47980</v>
      </c>
      <c r="AP142">
        <f t="shared" si="132"/>
        <v>47400</v>
      </c>
      <c r="AQ142" s="33">
        <f t="shared" si="110"/>
        <v>48270</v>
      </c>
      <c r="AR142" s="33">
        <f t="shared" si="111"/>
        <v>47110</v>
      </c>
      <c r="AS142">
        <f t="shared" si="112"/>
        <v>47835</v>
      </c>
      <c r="AT142" s="5">
        <f t="shared" si="113"/>
        <v>47545</v>
      </c>
      <c r="AU142" s="5">
        <f t="shared" si="114"/>
        <v>48850</v>
      </c>
      <c r="AV142" s="5">
        <f t="shared" si="115"/>
        <v>46530</v>
      </c>
      <c r="AW142" s="5">
        <f t="shared" si="116"/>
        <v>47786.666666666664</v>
      </c>
      <c r="AX142" s="5">
        <f t="shared" si="117"/>
        <v>47593.333333333336</v>
      </c>
      <c r="AY142" s="5">
        <f t="shared" si="118"/>
        <v>49430</v>
      </c>
      <c r="AZ142" s="5">
        <f t="shared" si="119"/>
        <v>45950</v>
      </c>
      <c r="BB142" s="32" t="str">
        <f t="shared" si="96"/>
        <v>17/01/2024</v>
      </c>
      <c r="BC142" s="33">
        <f t="shared" si="96"/>
        <v>48050</v>
      </c>
      <c r="BD142" s="4" t="str">
        <f t="shared" si="96"/>
        <v>A2</v>
      </c>
      <c r="BE142">
        <f t="shared" si="120"/>
        <v>48858.25</v>
      </c>
      <c r="BF142">
        <f t="shared" si="121"/>
        <v>48568.25</v>
      </c>
      <c r="BG142">
        <f t="shared" si="122"/>
        <v>49003.25</v>
      </c>
      <c r="BH142">
        <f t="shared" si="123"/>
        <v>48423.25</v>
      </c>
      <c r="BI142">
        <f t="shared" si="124"/>
        <v>48785.75</v>
      </c>
      <c r="BJ142">
        <f t="shared" si="125"/>
        <v>48640.75</v>
      </c>
      <c r="BK142">
        <f t="shared" si="126"/>
        <v>49293.25</v>
      </c>
      <c r="BL142" s="38">
        <f t="shared" si="127"/>
        <v>48133.25</v>
      </c>
      <c r="BM142">
        <f t="shared" si="128"/>
        <v>48761.583333333328</v>
      </c>
      <c r="BN142">
        <f t="shared" si="129"/>
        <v>48664.916666666672</v>
      </c>
      <c r="BO142">
        <f t="shared" si="130"/>
        <v>49583.25</v>
      </c>
      <c r="BP142">
        <f t="shared" si="131"/>
        <v>47843.25</v>
      </c>
      <c r="BQ142" s="7">
        <f>BL142</f>
        <v>48133.25</v>
      </c>
      <c r="BS142" s="30">
        <f t="shared" si="97"/>
        <v>48050</v>
      </c>
      <c r="BT142" s="4">
        <f t="shared" si="98"/>
        <v>48133.25</v>
      </c>
      <c r="BU142" s="37">
        <f t="shared" si="99"/>
        <v>-83.25</v>
      </c>
      <c r="BV142">
        <f t="shared" si="100"/>
        <v>83.25</v>
      </c>
      <c r="BW142" s="35">
        <f t="shared" si="101"/>
        <v>1.7325702393340271E-3</v>
      </c>
    </row>
    <row r="143" spans="1:75">
      <c r="A143" s="1" t="s">
        <v>144</v>
      </c>
      <c r="B143" s="1">
        <v>49650</v>
      </c>
      <c r="Q143">
        <v>140</v>
      </c>
      <c r="R143" s="27" t="str">
        <f t="shared" si="92"/>
        <v>18/01/2024</v>
      </c>
      <c r="S143" s="27">
        <f t="shared" si="92"/>
        <v>50510</v>
      </c>
      <c r="T143" s="4" t="str">
        <f t="shared" si="93"/>
        <v>A2</v>
      </c>
      <c r="V143">
        <v>140</v>
      </c>
      <c r="W143" s="28" t="str">
        <f t="shared" si="91"/>
        <v>18/01/2024</v>
      </c>
      <c r="X143" s="28">
        <f t="shared" si="91"/>
        <v>50510</v>
      </c>
      <c r="Y143" s="28" t="str">
        <f t="shared" si="91"/>
        <v>A2</v>
      </c>
      <c r="Z143" s="5" t="str">
        <f t="shared" si="102"/>
        <v>A2</v>
      </c>
      <c r="AA143" s="5" t="str">
        <f t="shared" si="103"/>
        <v>A2</v>
      </c>
      <c r="AG143" s="29" t="str">
        <f t="shared" si="94"/>
        <v>18/01/2024</v>
      </c>
      <c r="AH143" s="30">
        <f t="shared" si="94"/>
        <v>50510</v>
      </c>
      <c r="AI143" s="4" t="str">
        <f t="shared" si="95"/>
        <v>A2</v>
      </c>
      <c r="AJ143" s="5" t="str">
        <f t="shared" si="104"/>
        <v>A2</v>
      </c>
      <c r="AK143">
        <f t="shared" si="105"/>
        <v>49736.5</v>
      </c>
      <c r="AL143" t="str">
        <f t="shared" si="106"/>
        <v>A2</v>
      </c>
      <c r="AM143">
        <f t="shared" si="107"/>
        <v>49736.5</v>
      </c>
      <c r="AN143" s="6">
        <f t="shared" si="108"/>
        <v>1470</v>
      </c>
      <c r="AO143">
        <f t="shared" si="109"/>
        <v>48785</v>
      </c>
      <c r="AP143">
        <f t="shared" si="132"/>
        <v>47315</v>
      </c>
      <c r="AQ143" s="33">
        <f t="shared" si="110"/>
        <v>49520</v>
      </c>
      <c r="AR143" s="33">
        <f t="shared" si="111"/>
        <v>46580</v>
      </c>
      <c r="AS143">
        <f t="shared" si="112"/>
        <v>48417.5</v>
      </c>
      <c r="AT143" s="5">
        <f t="shared" si="113"/>
        <v>47682.5</v>
      </c>
      <c r="AU143" s="5">
        <f t="shared" si="114"/>
        <v>50990</v>
      </c>
      <c r="AV143" s="5">
        <f t="shared" si="115"/>
        <v>45110</v>
      </c>
      <c r="AW143" s="5">
        <f t="shared" si="116"/>
        <v>48295</v>
      </c>
      <c r="AX143" s="5">
        <f t="shared" si="117"/>
        <v>47805</v>
      </c>
      <c r="AY143" s="5">
        <f t="shared" si="118"/>
        <v>52460</v>
      </c>
      <c r="AZ143" s="5">
        <f t="shared" si="119"/>
        <v>43640</v>
      </c>
      <c r="BB143" s="32" t="str">
        <f t="shared" si="96"/>
        <v>18/01/2024</v>
      </c>
      <c r="BC143" s="33">
        <f t="shared" si="96"/>
        <v>50510</v>
      </c>
      <c r="BD143" s="4" t="str">
        <f t="shared" si="96"/>
        <v>A2</v>
      </c>
      <c r="BE143">
        <f t="shared" si="120"/>
        <v>49260.75</v>
      </c>
      <c r="BF143">
        <f t="shared" si="121"/>
        <v>48525.75</v>
      </c>
      <c r="BG143">
        <f t="shared" si="122"/>
        <v>49628.25</v>
      </c>
      <c r="BH143">
        <f t="shared" si="123"/>
        <v>48158.25</v>
      </c>
      <c r="BI143">
        <f t="shared" si="124"/>
        <v>49077</v>
      </c>
      <c r="BJ143">
        <f t="shared" si="125"/>
        <v>48709.5</v>
      </c>
      <c r="BK143" s="38">
        <f t="shared" si="126"/>
        <v>50363.25</v>
      </c>
      <c r="BL143">
        <f t="shared" si="127"/>
        <v>47423.25</v>
      </c>
      <c r="BM143">
        <f t="shared" si="128"/>
        <v>49015.75</v>
      </c>
      <c r="BN143">
        <f t="shared" si="129"/>
        <v>48770.75</v>
      </c>
      <c r="BO143">
        <f t="shared" si="130"/>
        <v>51098.25</v>
      </c>
      <c r="BP143">
        <f t="shared" si="131"/>
        <v>46688.25</v>
      </c>
      <c r="BQ143" s="7">
        <f>BK143</f>
        <v>50363.25</v>
      </c>
      <c r="BS143" s="30">
        <f t="shared" si="97"/>
        <v>50510</v>
      </c>
      <c r="BT143" s="4">
        <f t="shared" si="98"/>
        <v>50363.25</v>
      </c>
      <c r="BU143" s="37">
        <f t="shared" si="99"/>
        <v>146.75</v>
      </c>
      <c r="BV143">
        <f t="shared" si="100"/>
        <v>146.75</v>
      </c>
      <c r="BW143" s="35">
        <f t="shared" si="101"/>
        <v>2.9053652742031281E-3</v>
      </c>
    </row>
    <row r="144" spans="1:75">
      <c r="A144" s="1" t="s">
        <v>145</v>
      </c>
      <c r="B144" s="1">
        <v>51200</v>
      </c>
      <c r="Q144">
        <v>141</v>
      </c>
      <c r="R144" s="27" t="str">
        <f t="shared" si="92"/>
        <v>19/01/2024</v>
      </c>
      <c r="S144" s="27">
        <f t="shared" si="92"/>
        <v>50330</v>
      </c>
      <c r="T144" s="4" t="str">
        <f t="shared" si="93"/>
        <v>A2</v>
      </c>
      <c r="V144">
        <v>141</v>
      </c>
      <c r="W144" s="28" t="str">
        <f t="shared" si="91"/>
        <v>19/01/2024</v>
      </c>
      <c r="X144" s="28">
        <f t="shared" si="91"/>
        <v>50330</v>
      </c>
      <c r="Y144" s="28" t="str">
        <f t="shared" si="91"/>
        <v>A2</v>
      </c>
      <c r="Z144" s="5" t="str">
        <f t="shared" si="102"/>
        <v>A2</v>
      </c>
      <c r="AA144" s="5" t="str">
        <f t="shared" si="103"/>
        <v>A2</v>
      </c>
      <c r="AG144" s="29" t="str">
        <f t="shared" si="94"/>
        <v>19/01/2024</v>
      </c>
      <c r="AH144" s="30">
        <f t="shared" si="94"/>
        <v>50330</v>
      </c>
      <c r="AI144" s="4" t="str">
        <f t="shared" si="95"/>
        <v>A2</v>
      </c>
      <c r="AJ144" s="5" t="str">
        <f t="shared" si="104"/>
        <v>A2</v>
      </c>
      <c r="AK144">
        <f t="shared" si="105"/>
        <v>49736.5</v>
      </c>
      <c r="AL144" t="str">
        <f t="shared" si="106"/>
        <v>A2</v>
      </c>
      <c r="AM144">
        <f t="shared" si="107"/>
        <v>49736.5</v>
      </c>
      <c r="AN144" s="6">
        <f t="shared" si="108"/>
        <v>2100</v>
      </c>
      <c r="AO144">
        <f t="shared" si="109"/>
        <v>51560</v>
      </c>
      <c r="AP144">
        <f t="shared" si="132"/>
        <v>49460</v>
      </c>
      <c r="AQ144" s="33">
        <f t="shared" si="110"/>
        <v>52610</v>
      </c>
      <c r="AR144" s="33">
        <f t="shared" si="111"/>
        <v>48410</v>
      </c>
      <c r="AS144">
        <f t="shared" si="112"/>
        <v>51035</v>
      </c>
      <c r="AT144" s="5">
        <f t="shared" si="113"/>
        <v>49985</v>
      </c>
      <c r="AU144" s="5">
        <f t="shared" si="114"/>
        <v>54710</v>
      </c>
      <c r="AV144" s="5">
        <f t="shared" si="115"/>
        <v>46310</v>
      </c>
      <c r="AW144" s="5">
        <f t="shared" si="116"/>
        <v>50860</v>
      </c>
      <c r="AX144" s="5">
        <f t="shared" si="117"/>
        <v>50160</v>
      </c>
      <c r="AY144" s="5">
        <f t="shared" si="118"/>
        <v>56810</v>
      </c>
      <c r="AZ144" s="5">
        <f t="shared" si="119"/>
        <v>44210</v>
      </c>
      <c r="BB144" s="32" t="str">
        <f t="shared" si="96"/>
        <v>19/01/2024</v>
      </c>
      <c r="BC144" s="33">
        <f t="shared" si="96"/>
        <v>50330</v>
      </c>
      <c r="BD144" s="4" t="str">
        <f t="shared" si="96"/>
        <v>A2</v>
      </c>
      <c r="BE144">
        <f t="shared" si="120"/>
        <v>50648.25</v>
      </c>
      <c r="BF144">
        <f t="shared" si="121"/>
        <v>49598.25</v>
      </c>
      <c r="BG144">
        <f t="shared" si="122"/>
        <v>51173.25</v>
      </c>
      <c r="BH144">
        <f t="shared" si="123"/>
        <v>49073.25</v>
      </c>
      <c r="BI144" s="38">
        <f t="shared" si="124"/>
        <v>50385.75</v>
      </c>
      <c r="BJ144">
        <f t="shared" si="125"/>
        <v>49860.75</v>
      </c>
      <c r="BK144">
        <f t="shared" si="126"/>
        <v>52223.25</v>
      </c>
      <c r="BL144">
        <f t="shared" si="127"/>
        <v>48023.25</v>
      </c>
      <c r="BM144">
        <f t="shared" si="128"/>
        <v>50298.25</v>
      </c>
      <c r="BN144">
        <f t="shared" si="129"/>
        <v>49948.25</v>
      </c>
      <c r="BO144">
        <f t="shared" si="130"/>
        <v>53273.25</v>
      </c>
      <c r="BP144">
        <f t="shared" si="131"/>
        <v>46973.25</v>
      </c>
      <c r="BQ144" s="7">
        <f>BI144</f>
        <v>50385.75</v>
      </c>
      <c r="BS144" s="30">
        <f t="shared" si="97"/>
        <v>50330</v>
      </c>
      <c r="BT144" s="4">
        <f t="shared" si="98"/>
        <v>50385.75</v>
      </c>
      <c r="BU144" s="37">
        <f t="shared" si="99"/>
        <v>-55.75</v>
      </c>
      <c r="BV144">
        <f t="shared" si="100"/>
        <v>55.75</v>
      </c>
      <c r="BW144" s="35">
        <f t="shared" si="101"/>
        <v>1.1076892509437712E-3</v>
      </c>
    </row>
    <row r="145" spans="1:75">
      <c r="A145" s="1" t="s">
        <v>146</v>
      </c>
      <c r="B145" s="1">
        <v>53460</v>
      </c>
      <c r="Q145">
        <v>142</v>
      </c>
      <c r="R145" s="27" t="str">
        <f t="shared" si="92"/>
        <v>20/01/2024</v>
      </c>
      <c r="S145" s="27">
        <f t="shared" si="92"/>
        <v>49650</v>
      </c>
      <c r="T145" s="4" t="str">
        <f t="shared" si="93"/>
        <v>A2</v>
      </c>
      <c r="V145">
        <v>142</v>
      </c>
      <c r="W145" s="28" t="str">
        <f t="shared" si="91"/>
        <v>20/01/2024</v>
      </c>
      <c r="X145" s="28">
        <f t="shared" si="91"/>
        <v>49650</v>
      </c>
      <c r="Y145" s="28" t="str">
        <f t="shared" si="91"/>
        <v>A2</v>
      </c>
      <c r="Z145" s="5" t="str">
        <f t="shared" si="102"/>
        <v>A2</v>
      </c>
      <c r="AA145" s="5" t="str">
        <f t="shared" si="103"/>
        <v>A2</v>
      </c>
      <c r="AG145" s="29" t="str">
        <f t="shared" si="94"/>
        <v>20/01/2024</v>
      </c>
      <c r="AH145" s="30">
        <f t="shared" si="94"/>
        <v>49650</v>
      </c>
      <c r="AI145" s="4" t="str">
        <f t="shared" si="95"/>
        <v>A2</v>
      </c>
      <c r="AJ145" s="5" t="str">
        <f t="shared" si="104"/>
        <v>A2</v>
      </c>
      <c r="AK145">
        <f t="shared" si="105"/>
        <v>49736.5</v>
      </c>
      <c r="AL145" t="str">
        <f t="shared" si="106"/>
        <v>A2</v>
      </c>
      <c r="AM145">
        <f t="shared" si="107"/>
        <v>49736.5</v>
      </c>
      <c r="AN145" s="6">
        <f t="shared" si="108"/>
        <v>2280</v>
      </c>
      <c r="AO145">
        <f t="shared" si="109"/>
        <v>51470</v>
      </c>
      <c r="AP145">
        <f t="shared" si="132"/>
        <v>49190</v>
      </c>
      <c r="AQ145" s="33">
        <f t="shared" si="110"/>
        <v>52610</v>
      </c>
      <c r="AR145" s="33">
        <f t="shared" si="111"/>
        <v>48050</v>
      </c>
      <c r="AS145">
        <f t="shared" si="112"/>
        <v>50900</v>
      </c>
      <c r="AT145" s="5">
        <f t="shared" si="113"/>
        <v>49760</v>
      </c>
      <c r="AU145" s="5">
        <f t="shared" si="114"/>
        <v>54890</v>
      </c>
      <c r="AV145" s="5">
        <f t="shared" si="115"/>
        <v>45770</v>
      </c>
      <c r="AW145" s="5">
        <f t="shared" si="116"/>
        <v>50710</v>
      </c>
      <c r="AX145" s="5">
        <f t="shared" si="117"/>
        <v>49950</v>
      </c>
      <c r="AY145" s="5">
        <f t="shared" si="118"/>
        <v>57170</v>
      </c>
      <c r="AZ145" s="5">
        <f t="shared" si="119"/>
        <v>43490</v>
      </c>
      <c r="BB145" s="32" t="str">
        <f t="shared" si="96"/>
        <v>20/01/2024</v>
      </c>
      <c r="BC145" s="33">
        <f t="shared" si="96"/>
        <v>49650</v>
      </c>
      <c r="BD145" s="4" t="str">
        <f t="shared" si="96"/>
        <v>A2</v>
      </c>
      <c r="BE145">
        <f t="shared" si="120"/>
        <v>50603.25</v>
      </c>
      <c r="BF145">
        <f t="shared" si="121"/>
        <v>49463.25</v>
      </c>
      <c r="BG145">
        <f t="shared" si="122"/>
        <v>51173.25</v>
      </c>
      <c r="BH145">
        <f t="shared" si="123"/>
        <v>48893.25</v>
      </c>
      <c r="BI145">
        <f t="shared" si="124"/>
        <v>50318.25</v>
      </c>
      <c r="BJ145" s="38">
        <f t="shared" si="125"/>
        <v>49748.25</v>
      </c>
      <c r="BK145">
        <f t="shared" si="126"/>
        <v>52313.25</v>
      </c>
      <c r="BL145">
        <f t="shared" si="127"/>
        <v>47753.25</v>
      </c>
      <c r="BM145">
        <f t="shared" si="128"/>
        <v>50223.25</v>
      </c>
      <c r="BN145">
        <f t="shared" si="129"/>
        <v>49843.25</v>
      </c>
      <c r="BO145">
        <f t="shared" si="130"/>
        <v>53453.25</v>
      </c>
      <c r="BP145">
        <f t="shared" si="131"/>
        <v>46613.25</v>
      </c>
      <c r="BQ145" s="7">
        <f>BJ145</f>
        <v>49748.25</v>
      </c>
      <c r="BS145" s="30">
        <f t="shared" si="97"/>
        <v>49650</v>
      </c>
      <c r="BT145" s="4">
        <f t="shared" si="98"/>
        <v>49748.25</v>
      </c>
      <c r="BU145" s="37">
        <f t="shared" si="99"/>
        <v>-98.25</v>
      </c>
      <c r="BV145">
        <f t="shared" si="100"/>
        <v>98.25</v>
      </c>
      <c r="BW145" s="35">
        <f t="shared" si="101"/>
        <v>1.9788519637462237E-3</v>
      </c>
    </row>
    <row r="146" spans="1:75">
      <c r="A146" s="1" t="s">
        <v>147</v>
      </c>
      <c r="B146" s="1">
        <v>53520</v>
      </c>
      <c r="Q146">
        <v>143</v>
      </c>
      <c r="R146" s="27" t="str">
        <f t="shared" si="92"/>
        <v>21/01/2024</v>
      </c>
      <c r="S146" s="27">
        <f t="shared" si="92"/>
        <v>51200</v>
      </c>
      <c r="T146" s="4" t="str">
        <f t="shared" si="93"/>
        <v>A2</v>
      </c>
      <c r="V146">
        <v>143</v>
      </c>
      <c r="W146" s="28" t="str">
        <f t="shared" si="91"/>
        <v>21/01/2024</v>
      </c>
      <c r="X146" s="28">
        <f t="shared" si="91"/>
        <v>51200</v>
      </c>
      <c r="Y146" s="28" t="str">
        <f t="shared" si="91"/>
        <v>A2</v>
      </c>
      <c r="Z146" s="5" t="str">
        <f t="shared" si="102"/>
        <v>A2</v>
      </c>
      <c r="AA146" s="5" t="str">
        <f t="shared" si="103"/>
        <v>A2</v>
      </c>
      <c r="AG146" s="29" t="str">
        <f t="shared" si="94"/>
        <v>21/01/2024</v>
      </c>
      <c r="AH146" s="30">
        <f t="shared" si="94"/>
        <v>51200</v>
      </c>
      <c r="AI146" s="4" t="str">
        <f t="shared" si="95"/>
        <v>A2</v>
      </c>
      <c r="AJ146" s="5" t="str">
        <f t="shared" si="104"/>
        <v>A2</v>
      </c>
      <c r="AK146">
        <f t="shared" si="105"/>
        <v>49736.5</v>
      </c>
      <c r="AL146" t="str">
        <f t="shared" si="106"/>
        <v>A2</v>
      </c>
      <c r="AM146">
        <f t="shared" si="107"/>
        <v>49736.5</v>
      </c>
      <c r="AN146" s="6">
        <f t="shared" si="108"/>
        <v>500</v>
      </c>
      <c r="AO146">
        <f t="shared" si="109"/>
        <v>49900</v>
      </c>
      <c r="AP146">
        <f t="shared" si="132"/>
        <v>49400</v>
      </c>
      <c r="AQ146" s="33">
        <f t="shared" si="110"/>
        <v>50150</v>
      </c>
      <c r="AR146" s="33">
        <f t="shared" si="111"/>
        <v>49150</v>
      </c>
      <c r="AS146">
        <f t="shared" si="112"/>
        <v>49775</v>
      </c>
      <c r="AT146" s="5">
        <f t="shared" si="113"/>
        <v>49525</v>
      </c>
      <c r="AU146" s="5">
        <f t="shared" si="114"/>
        <v>50650</v>
      </c>
      <c r="AV146" s="5">
        <f t="shared" si="115"/>
        <v>48650</v>
      </c>
      <c r="AW146" s="5">
        <f t="shared" si="116"/>
        <v>49733.333333333336</v>
      </c>
      <c r="AX146" s="5">
        <f t="shared" si="117"/>
        <v>49566.666666666664</v>
      </c>
      <c r="AY146" s="5">
        <f t="shared" si="118"/>
        <v>51150</v>
      </c>
      <c r="AZ146" s="5">
        <f t="shared" si="119"/>
        <v>48150</v>
      </c>
      <c r="BB146" s="32" t="str">
        <f t="shared" si="96"/>
        <v>21/01/2024</v>
      </c>
      <c r="BC146" s="33">
        <f t="shared" si="96"/>
        <v>51200</v>
      </c>
      <c r="BD146" s="4" t="str">
        <f t="shared" si="96"/>
        <v>A2</v>
      </c>
      <c r="BE146">
        <f t="shared" si="120"/>
        <v>49818.25</v>
      </c>
      <c r="BF146">
        <f t="shared" si="121"/>
        <v>49568.25</v>
      </c>
      <c r="BG146">
        <f t="shared" si="122"/>
        <v>49943.25</v>
      </c>
      <c r="BH146">
        <f t="shared" si="123"/>
        <v>49443.25</v>
      </c>
      <c r="BI146">
        <f t="shared" si="124"/>
        <v>49755.75</v>
      </c>
      <c r="BJ146">
        <f t="shared" si="125"/>
        <v>49630.75</v>
      </c>
      <c r="BK146">
        <f t="shared" si="126"/>
        <v>50193.25</v>
      </c>
      <c r="BL146">
        <f t="shared" si="127"/>
        <v>49193.25</v>
      </c>
      <c r="BM146">
        <f t="shared" si="128"/>
        <v>49734.916666666672</v>
      </c>
      <c r="BN146">
        <f t="shared" si="129"/>
        <v>49651.583333333328</v>
      </c>
      <c r="BO146" s="38">
        <f t="shared" si="130"/>
        <v>50443.25</v>
      </c>
      <c r="BP146">
        <f t="shared" si="131"/>
        <v>48943.25</v>
      </c>
      <c r="BQ146" s="7">
        <f>BO146</f>
        <v>50443.25</v>
      </c>
      <c r="BS146" s="30">
        <f t="shared" si="97"/>
        <v>51200</v>
      </c>
      <c r="BT146" s="4">
        <f t="shared" si="98"/>
        <v>50443.25</v>
      </c>
      <c r="BU146" s="37">
        <f t="shared" si="99"/>
        <v>756.75</v>
      </c>
      <c r="BV146">
        <f t="shared" si="100"/>
        <v>756.75</v>
      </c>
      <c r="BW146" s="35">
        <f t="shared" si="101"/>
        <v>1.47802734375E-2</v>
      </c>
    </row>
    <row r="147" spans="1:75">
      <c r="A147" s="1" t="s">
        <v>148</v>
      </c>
      <c r="B147" s="1">
        <v>54710</v>
      </c>
      <c r="Q147">
        <v>144</v>
      </c>
      <c r="R147" s="27" t="str">
        <f t="shared" si="92"/>
        <v>22/01/2024</v>
      </c>
      <c r="S147" s="27">
        <f t="shared" si="92"/>
        <v>53460</v>
      </c>
      <c r="T147" s="4" t="str">
        <f t="shared" si="93"/>
        <v>A3</v>
      </c>
      <c r="V147">
        <v>144</v>
      </c>
      <c r="W147" s="28" t="str">
        <f t="shared" si="91"/>
        <v>22/01/2024</v>
      </c>
      <c r="X147" s="28">
        <f t="shared" si="91"/>
        <v>53460</v>
      </c>
      <c r="Y147" s="28" t="str">
        <f t="shared" si="91"/>
        <v>A3</v>
      </c>
      <c r="Z147" s="5" t="str">
        <f t="shared" si="102"/>
        <v>A2</v>
      </c>
      <c r="AA147" s="5" t="str">
        <f t="shared" si="103"/>
        <v>A2</v>
      </c>
      <c r="AG147" s="29" t="str">
        <f t="shared" si="94"/>
        <v>22/01/2024</v>
      </c>
      <c r="AH147" s="30">
        <f t="shared" si="94"/>
        <v>53460</v>
      </c>
      <c r="AI147" s="4" t="str">
        <f t="shared" si="95"/>
        <v>A3</v>
      </c>
      <c r="AJ147" s="5" t="str">
        <f t="shared" si="104"/>
        <v>A2</v>
      </c>
      <c r="AK147">
        <f t="shared" si="105"/>
        <v>49736.5</v>
      </c>
      <c r="AL147" t="str">
        <f t="shared" si="106"/>
        <v>A2</v>
      </c>
      <c r="AM147">
        <f t="shared" si="107"/>
        <v>49736.5</v>
      </c>
      <c r="AN147" s="6">
        <f t="shared" si="108"/>
        <v>870</v>
      </c>
      <c r="AO147">
        <f t="shared" si="109"/>
        <v>51635</v>
      </c>
      <c r="AP147">
        <f t="shared" si="132"/>
        <v>50765</v>
      </c>
      <c r="AQ147" s="33">
        <f t="shared" si="110"/>
        <v>52070</v>
      </c>
      <c r="AR147" s="33">
        <f t="shared" si="111"/>
        <v>50330</v>
      </c>
      <c r="AS147">
        <f t="shared" si="112"/>
        <v>51417.5</v>
      </c>
      <c r="AT147" s="5">
        <f t="shared" si="113"/>
        <v>50982.5</v>
      </c>
      <c r="AU147" s="5">
        <f t="shared" si="114"/>
        <v>52940</v>
      </c>
      <c r="AV147" s="5">
        <f t="shared" si="115"/>
        <v>49460</v>
      </c>
      <c r="AW147" s="5">
        <f t="shared" si="116"/>
        <v>51345</v>
      </c>
      <c r="AX147" s="5">
        <f t="shared" si="117"/>
        <v>51055</v>
      </c>
      <c r="AY147" s="5">
        <f t="shared" si="118"/>
        <v>53810</v>
      </c>
      <c r="AZ147" s="5">
        <f t="shared" si="119"/>
        <v>48590</v>
      </c>
      <c r="BB147" s="32" t="str">
        <f t="shared" si="96"/>
        <v>22/01/2024</v>
      </c>
      <c r="BC147" s="33">
        <f t="shared" si="96"/>
        <v>53460</v>
      </c>
      <c r="BD147" s="4" t="str">
        <f t="shared" si="96"/>
        <v>A3</v>
      </c>
      <c r="BE147">
        <f t="shared" si="120"/>
        <v>50685.75</v>
      </c>
      <c r="BF147">
        <f t="shared" si="121"/>
        <v>50250.75</v>
      </c>
      <c r="BG147">
        <f t="shared" si="122"/>
        <v>50903.25</v>
      </c>
      <c r="BH147">
        <f t="shared" si="123"/>
        <v>50033.25</v>
      </c>
      <c r="BI147">
        <f t="shared" si="124"/>
        <v>50577</v>
      </c>
      <c r="BJ147">
        <f t="shared" si="125"/>
        <v>50359.5</v>
      </c>
      <c r="BK147">
        <f t="shared" si="126"/>
        <v>51338.25</v>
      </c>
      <c r="BL147">
        <f t="shared" si="127"/>
        <v>49598.25</v>
      </c>
      <c r="BM147">
        <f t="shared" si="128"/>
        <v>50540.75</v>
      </c>
      <c r="BN147">
        <f t="shared" si="129"/>
        <v>50395.75</v>
      </c>
      <c r="BO147" s="38">
        <f t="shared" si="130"/>
        <v>51773.25</v>
      </c>
      <c r="BP147">
        <f t="shared" si="131"/>
        <v>49163.25</v>
      </c>
      <c r="BQ147" s="7">
        <f>BO147</f>
        <v>51773.25</v>
      </c>
      <c r="BS147" s="30">
        <f t="shared" si="97"/>
        <v>53460</v>
      </c>
      <c r="BT147" s="4">
        <f t="shared" si="98"/>
        <v>51773.25</v>
      </c>
      <c r="BU147" s="37">
        <f t="shared" si="99"/>
        <v>1686.75</v>
      </c>
      <c r="BV147">
        <f t="shared" si="100"/>
        <v>1686.75</v>
      </c>
      <c r="BW147" s="35">
        <f t="shared" si="101"/>
        <v>3.1551627384960715E-2</v>
      </c>
    </row>
    <row r="148" spans="1:75">
      <c r="A148" s="1" t="s">
        <v>149</v>
      </c>
      <c r="B148" s="1">
        <v>56030</v>
      </c>
      <c r="Q148">
        <v>145</v>
      </c>
      <c r="R148" s="27" t="str">
        <f t="shared" si="92"/>
        <v>23/01/2024</v>
      </c>
      <c r="S148" s="27">
        <f t="shared" si="92"/>
        <v>53520</v>
      </c>
      <c r="T148" s="4" t="str">
        <f t="shared" si="93"/>
        <v>A3</v>
      </c>
      <c r="V148">
        <v>145</v>
      </c>
      <c r="W148" s="28" t="str">
        <f t="shared" si="91"/>
        <v>23/01/2024</v>
      </c>
      <c r="X148" s="28">
        <f t="shared" si="91"/>
        <v>53520</v>
      </c>
      <c r="Y148" s="28" t="str">
        <f t="shared" si="91"/>
        <v>A3</v>
      </c>
      <c r="Z148" s="5" t="str">
        <f t="shared" si="102"/>
        <v>A2</v>
      </c>
      <c r="AA148" s="5" t="str">
        <f t="shared" si="103"/>
        <v>A3</v>
      </c>
      <c r="AG148" s="29" t="str">
        <f t="shared" si="94"/>
        <v>23/01/2024</v>
      </c>
      <c r="AH148" s="30">
        <f t="shared" si="94"/>
        <v>53520</v>
      </c>
      <c r="AI148" s="4" t="str">
        <f t="shared" si="95"/>
        <v>A3</v>
      </c>
      <c r="AJ148" s="5" t="str">
        <f t="shared" si="104"/>
        <v>A2</v>
      </c>
      <c r="AK148">
        <f t="shared" si="105"/>
        <v>49736.5</v>
      </c>
      <c r="AL148" t="str">
        <f t="shared" si="106"/>
        <v>A3</v>
      </c>
      <c r="AM148">
        <f t="shared" si="107"/>
        <v>55767.5</v>
      </c>
      <c r="AN148" s="6">
        <f t="shared" si="108"/>
        <v>710</v>
      </c>
      <c r="AO148">
        <f t="shared" si="109"/>
        <v>53815</v>
      </c>
      <c r="AP148">
        <f t="shared" si="132"/>
        <v>53105</v>
      </c>
      <c r="AQ148" s="33">
        <f t="shared" si="110"/>
        <v>54170</v>
      </c>
      <c r="AR148" s="33">
        <f t="shared" si="111"/>
        <v>52750</v>
      </c>
      <c r="AS148">
        <f t="shared" si="112"/>
        <v>53637.5</v>
      </c>
      <c r="AT148" s="5">
        <f t="shared" si="113"/>
        <v>53282.5</v>
      </c>
      <c r="AU148" s="5">
        <f t="shared" si="114"/>
        <v>54880</v>
      </c>
      <c r="AV148" s="5">
        <f t="shared" si="115"/>
        <v>52040</v>
      </c>
      <c r="AW148" s="5">
        <f t="shared" si="116"/>
        <v>53578.333333333336</v>
      </c>
      <c r="AX148" s="5">
        <f t="shared" si="117"/>
        <v>53341.666666666664</v>
      </c>
      <c r="AY148" s="5">
        <f t="shared" si="118"/>
        <v>55590</v>
      </c>
      <c r="AZ148" s="5">
        <f t="shared" si="119"/>
        <v>51330</v>
      </c>
      <c r="BB148" s="32" t="str">
        <f t="shared" si="96"/>
        <v>23/01/2024</v>
      </c>
      <c r="BC148" s="33">
        <f t="shared" si="96"/>
        <v>53520</v>
      </c>
      <c r="BD148" s="4" t="str">
        <f t="shared" si="96"/>
        <v>A3</v>
      </c>
      <c r="BE148">
        <f t="shared" si="120"/>
        <v>54791.25</v>
      </c>
      <c r="BF148">
        <f t="shared" si="121"/>
        <v>54436.25</v>
      </c>
      <c r="BG148">
        <f t="shared" si="122"/>
        <v>54968.75</v>
      </c>
      <c r="BH148">
        <f t="shared" si="123"/>
        <v>54258.75</v>
      </c>
      <c r="BI148">
        <f t="shared" si="124"/>
        <v>54702.5</v>
      </c>
      <c r="BJ148">
        <f t="shared" si="125"/>
        <v>54525</v>
      </c>
      <c r="BK148">
        <f t="shared" si="126"/>
        <v>55323.75</v>
      </c>
      <c r="BL148">
        <f t="shared" si="127"/>
        <v>53903.75</v>
      </c>
      <c r="BM148">
        <f t="shared" si="128"/>
        <v>54672.916666666672</v>
      </c>
      <c r="BN148">
        <f t="shared" si="129"/>
        <v>54554.583333333328</v>
      </c>
      <c r="BO148">
        <f t="shared" si="130"/>
        <v>55678.75</v>
      </c>
      <c r="BP148" s="38">
        <f t="shared" si="131"/>
        <v>53548.75</v>
      </c>
      <c r="BQ148" s="7">
        <f>BP148</f>
        <v>53548.75</v>
      </c>
      <c r="BS148" s="30">
        <f t="shared" si="97"/>
        <v>53520</v>
      </c>
      <c r="BT148" s="4">
        <f t="shared" si="98"/>
        <v>53548.75</v>
      </c>
      <c r="BU148" s="37">
        <f t="shared" si="99"/>
        <v>-28.75</v>
      </c>
      <c r="BV148">
        <f t="shared" si="100"/>
        <v>28.75</v>
      </c>
      <c r="BW148" s="35">
        <f t="shared" si="101"/>
        <v>5.371823617339312E-4</v>
      </c>
    </row>
    <row r="149" spans="1:75">
      <c r="A149" s="1" t="s">
        <v>150</v>
      </c>
      <c r="B149" s="1">
        <v>56040</v>
      </c>
      <c r="Q149">
        <v>146</v>
      </c>
      <c r="R149" s="27" t="str">
        <f t="shared" si="92"/>
        <v>24/01/2024</v>
      </c>
      <c r="S149" s="27">
        <f t="shared" si="92"/>
        <v>54710</v>
      </c>
      <c r="T149" s="4" t="str">
        <f t="shared" si="93"/>
        <v>A3</v>
      </c>
      <c r="V149">
        <v>146</v>
      </c>
      <c r="W149" s="28" t="str">
        <f t="shared" si="91"/>
        <v>24/01/2024</v>
      </c>
      <c r="X149" s="28">
        <f t="shared" si="91"/>
        <v>54710</v>
      </c>
      <c r="Y149" s="28" t="str">
        <f t="shared" si="91"/>
        <v>A3</v>
      </c>
      <c r="Z149" s="5" t="str">
        <f t="shared" si="102"/>
        <v>A3</v>
      </c>
      <c r="AA149" s="5" t="str">
        <f t="shared" si="103"/>
        <v>A3</v>
      </c>
      <c r="AG149" s="29" t="str">
        <f t="shared" si="94"/>
        <v>24/01/2024</v>
      </c>
      <c r="AH149" s="30">
        <f t="shared" si="94"/>
        <v>54710</v>
      </c>
      <c r="AI149" s="4" t="str">
        <f t="shared" si="95"/>
        <v>A3</v>
      </c>
      <c r="AJ149" s="5" t="str">
        <f t="shared" si="104"/>
        <v>A3</v>
      </c>
      <c r="AK149">
        <f t="shared" si="105"/>
        <v>55767.5</v>
      </c>
      <c r="AL149" t="str">
        <f t="shared" si="106"/>
        <v>A3</v>
      </c>
      <c r="AM149">
        <f t="shared" si="107"/>
        <v>55767.5</v>
      </c>
      <c r="AN149" s="6">
        <f t="shared" si="108"/>
        <v>2200</v>
      </c>
      <c r="AO149">
        <f t="shared" si="109"/>
        <v>54620</v>
      </c>
      <c r="AP149">
        <f t="shared" si="132"/>
        <v>52420</v>
      </c>
      <c r="AQ149" s="33">
        <f t="shared" si="110"/>
        <v>55720</v>
      </c>
      <c r="AR149" s="33">
        <f t="shared" si="111"/>
        <v>51320</v>
      </c>
      <c r="AS149">
        <f t="shared" si="112"/>
        <v>54070</v>
      </c>
      <c r="AT149" s="5">
        <f t="shared" si="113"/>
        <v>52970</v>
      </c>
      <c r="AU149" s="5">
        <f t="shared" si="114"/>
        <v>57920</v>
      </c>
      <c r="AV149" s="5">
        <f t="shared" si="115"/>
        <v>49120</v>
      </c>
      <c r="AW149" s="5">
        <f t="shared" si="116"/>
        <v>53886.666666666664</v>
      </c>
      <c r="AX149" s="5">
        <f t="shared" si="117"/>
        <v>53153.333333333336</v>
      </c>
      <c r="AY149" s="5">
        <f t="shared" si="118"/>
        <v>60120</v>
      </c>
      <c r="AZ149" s="5">
        <f t="shared" si="119"/>
        <v>46920</v>
      </c>
      <c r="BB149" s="32" t="str">
        <f t="shared" si="96"/>
        <v>24/01/2024</v>
      </c>
      <c r="BC149" s="33">
        <f t="shared" si="96"/>
        <v>54710</v>
      </c>
      <c r="BD149" s="4" t="str">
        <f t="shared" si="96"/>
        <v>A3</v>
      </c>
      <c r="BE149">
        <f t="shared" si="120"/>
        <v>55193.75</v>
      </c>
      <c r="BF149">
        <f t="shared" si="121"/>
        <v>54093.75</v>
      </c>
      <c r="BG149">
        <f t="shared" si="122"/>
        <v>55743.75</v>
      </c>
      <c r="BH149">
        <f t="shared" si="123"/>
        <v>53543.75</v>
      </c>
      <c r="BI149">
        <f t="shared" si="124"/>
        <v>54918.75</v>
      </c>
      <c r="BJ149">
        <f t="shared" si="125"/>
        <v>54368.75</v>
      </c>
      <c r="BK149">
        <f t="shared" si="126"/>
        <v>56843.75</v>
      </c>
      <c r="BL149">
        <f t="shared" si="127"/>
        <v>52443.75</v>
      </c>
      <c r="BM149" s="38">
        <f t="shared" si="128"/>
        <v>54827.083333333328</v>
      </c>
      <c r="BN149">
        <f t="shared" si="129"/>
        <v>54460.416666666672</v>
      </c>
      <c r="BO149">
        <f t="shared" si="130"/>
        <v>57943.75</v>
      </c>
      <c r="BP149">
        <f t="shared" si="131"/>
        <v>51343.75</v>
      </c>
      <c r="BQ149" s="7">
        <f>BM149</f>
        <v>54827.083333333328</v>
      </c>
      <c r="BS149" s="30">
        <f t="shared" si="97"/>
        <v>54710</v>
      </c>
      <c r="BT149" s="4">
        <f t="shared" si="98"/>
        <v>54827.083333333328</v>
      </c>
      <c r="BU149" s="37">
        <f t="shared" si="99"/>
        <v>-117.08333333332848</v>
      </c>
      <c r="BV149">
        <f t="shared" si="100"/>
        <v>117.08333333332848</v>
      </c>
      <c r="BW149" s="35">
        <f t="shared" si="101"/>
        <v>2.1400718942300948E-3</v>
      </c>
    </row>
    <row r="150" spans="1:75">
      <c r="A150" s="1" t="s">
        <v>151</v>
      </c>
      <c r="B150" s="1">
        <v>57110</v>
      </c>
      <c r="Q150">
        <v>147</v>
      </c>
      <c r="R150" s="27" t="str">
        <f t="shared" si="92"/>
        <v>25/01/2024</v>
      </c>
      <c r="S150" s="27">
        <f t="shared" si="92"/>
        <v>56030</v>
      </c>
      <c r="T150" s="4" t="str">
        <f t="shared" si="93"/>
        <v>A3</v>
      </c>
      <c r="V150">
        <v>147</v>
      </c>
      <c r="W150" s="28" t="str">
        <f t="shared" si="91"/>
        <v>25/01/2024</v>
      </c>
      <c r="X150" s="28">
        <f t="shared" si="91"/>
        <v>56030</v>
      </c>
      <c r="Y150" s="28" t="str">
        <f t="shared" si="91"/>
        <v>A3</v>
      </c>
      <c r="Z150" s="5" t="str">
        <f t="shared" si="102"/>
        <v>A3</v>
      </c>
      <c r="AA150" s="5" t="str">
        <f t="shared" si="103"/>
        <v>A3</v>
      </c>
      <c r="AG150" s="29" t="str">
        <f t="shared" si="94"/>
        <v>25/01/2024</v>
      </c>
      <c r="AH150" s="30">
        <f t="shared" si="94"/>
        <v>56030</v>
      </c>
      <c r="AI150" s="4" t="str">
        <f t="shared" si="95"/>
        <v>A3</v>
      </c>
      <c r="AJ150" s="5" t="str">
        <f t="shared" si="104"/>
        <v>A3</v>
      </c>
      <c r="AK150">
        <f t="shared" si="105"/>
        <v>55767.5</v>
      </c>
      <c r="AL150" t="str">
        <f t="shared" si="106"/>
        <v>A3</v>
      </c>
      <c r="AM150">
        <f t="shared" si="107"/>
        <v>55767.5</v>
      </c>
      <c r="AN150" s="6">
        <f t="shared" si="108"/>
        <v>1130</v>
      </c>
      <c r="AO150">
        <f t="shared" si="109"/>
        <v>55275</v>
      </c>
      <c r="AP150">
        <f t="shared" si="132"/>
        <v>54145</v>
      </c>
      <c r="AQ150" s="33">
        <f t="shared" si="110"/>
        <v>55840</v>
      </c>
      <c r="AR150" s="33">
        <f t="shared" si="111"/>
        <v>53580</v>
      </c>
      <c r="AS150">
        <f t="shared" si="112"/>
        <v>54992.5</v>
      </c>
      <c r="AT150" s="5">
        <f t="shared" si="113"/>
        <v>54427.5</v>
      </c>
      <c r="AU150" s="5">
        <f t="shared" si="114"/>
        <v>56970</v>
      </c>
      <c r="AV150" s="5">
        <f t="shared" si="115"/>
        <v>52450</v>
      </c>
      <c r="AW150" s="5">
        <f t="shared" si="116"/>
        <v>54898.333333333336</v>
      </c>
      <c r="AX150" s="5">
        <f t="shared" si="117"/>
        <v>54521.666666666664</v>
      </c>
      <c r="AY150" s="5">
        <f t="shared" si="118"/>
        <v>58100</v>
      </c>
      <c r="AZ150" s="5">
        <f t="shared" si="119"/>
        <v>51320</v>
      </c>
      <c r="BB150" s="32" t="str">
        <f t="shared" si="96"/>
        <v>25/01/2024</v>
      </c>
      <c r="BC150" s="33">
        <f t="shared" si="96"/>
        <v>56030</v>
      </c>
      <c r="BD150" s="4" t="str">
        <f t="shared" si="96"/>
        <v>A3</v>
      </c>
      <c r="BE150">
        <f t="shared" si="120"/>
        <v>55521.25</v>
      </c>
      <c r="BF150">
        <f t="shared" si="121"/>
        <v>54956.25</v>
      </c>
      <c r="BG150" s="38">
        <f t="shared" si="122"/>
        <v>55803.75</v>
      </c>
      <c r="BH150">
        <f t="shared" si="123"/>
        <v>54673.75</v>
      </c>
      <c r="BI150">
        <f t="shared" si="124"/>
        <v>55380</v>
      </c>
      <c r="BJ150">
        <f t="shared" si="125"/>
        <v>55097.5</v>
      </c>
      <c r="BK150">
        <f t="shared" si="126"/>
        <v>56368.75</v>
      </c>
      <c r="BL150">
        <f t="shared" si="127"/>
        <v>54108.75</v>
      </c>
      <c r="BM150">
        <f t="shared" si="128"/>
        <v>55332.916666666672</v>
      </c>
      <c r="BN150">
        <f t="shared" si="129"/>
        <v>55144.583333333328</v>
      </c>
      <c r="BO150">
        <f t="shared" si="130"/>
        <v>56933.75</v>
      </c>
      <c r="BP150">
        <f t="shared" si="131"/>
        <v>53543.75</v>
      </c>
      <c r="BQ150" s="7">
        <f>BG150</f>
        <v>55803.75</v>
      </c>
      <c r="BS150" s="30">
        <f t="shared" si="97"/>
        <v>56030</v>
      </c>
      <c r="BT150" s="4">
        <f t="shared" si="98"/>
        <v>55803.75</v>
      </c>
      <c r="BU150" s="37">
        <f t="shared" si="99"/>
        <v>226.25</v>
      </c>
      <c r="BV150">
        <f t="shared" si="100"/>
        <v>226.25</v>
      </c>
      <c r="BW150" s="35">
        <f t="shared" si="101"/>
        <v>4.0380153489202215E-3</v>
      </c>
    </row>
    <row r="151" spans="1:75">
      <c r="A151" s="1" t="s">
        <v>152</v>
      </c>
      <c r="B151" s="1">
        <v>55730</v>
      </c>
      <c r="Q151">
        <v>148</v>
      </c>
      <c r="R151" s="27" t="str">
        <f t="shared" si="92"/>
        <v>26/01/2024</v>
      </c>
      <c r="S151" s="27">
        <f t="shared" si="92"/>
        <v>56040</v>
      </c>
      <c r="T151" s="4" t="str">
        <f t="shared" si="93"/>
        <v>A3</v>
      </c>
      <c r="V151">
        <v>148</v>
      </c>
      <c r="W151" s="28" t="str">
        <f t="shared" si="91"/>
        <v>26/01/2024</v>
      </c>
      <c r="X151" s="28">
        <f t="shared" si="91"/>
        <v>56040</v>
      </c>
      <c r="Y151" s="28" t="str">
        <f t="shared" si="91"/>
        <v>A3</v>
      </c>
      <c r="Z151" s="5" t="str">
        <f t="shared" si="102"/>
        <v>A3</v>
      </c>
      <c r="AA151" s="5" t="str">
        <f t="shared" si="103"/>
        <v>A3</v>
      </c>
      <c r="AG151" s="29" t="str">
        <f t="shared" si="94"/>
        <v>26/01/2024</v>
      </c>
      <c r="AH151" s="30">
        <f t="shared" si="94"/>
        <v>56040</v>
      </c>
      <c r="AI151" s="4" t="str">
        <f t="shared" si="95"/>
        <v>A3</v>
      </c>
      <c r="AJ151" s="5" t="str">
        <f t="shared" si="104"/>
        <v>A3</v>
      </c>
      <c r="AK151">
        <f t="shared" si="105"/>
        <v>55767.5</v>
      </c>
      <c r="AL151" t="str">
        <f t="shared" si="106"/>
        <v>A3</v>
      </c>
      <c r="AM151">
        <f t="shared" si="107"/>
        <v>55767.5</v>
      </c>
      <c r="AN151" s="6">
        <f t="shared" si="108"/>
        <v>130</v>
      </c>
      <c r="AO151">
        <f t="shared" si="109"/>
        <v>56095</v>
      </c>
      <c r="AP151">
        <f t="shared" si="132"/>
        <v>55965</v>
      </c>
      <c r="AQ151" s="33">
        <f t="shared" si="110"/>
        <v>56160</v>
      </c>
      <c r="AR151" s="33">
        <f t="shared" si="111"/>
        <v>55900</v>
      </c>
      <c r="AS151">
        <f t="shared" si="112"/>
        <v>56062.5</v>
      </c>
      <c r="AT151" s="5">
        <f t="shared" si="113"/>
        <v>55997.5</v>
      </c>
      <c r="AU151" s="5">
        <f t="shared" si="114"/>
        <v>56290</v>
      </c>
      <c r="AV151" s="5">
        <f t="shared" si="115"/>
        <v>55770</v>
      </c>
      <c r="AW151" s="5">
        <f t="shared" si="116"/>
        <v>56051.666666666664</v>
      </c>
      <c r="AX151" s="5">
        <f t="shared" si="117"/>
        <v>56008.333333333336</v>
      </c>
      <c r="AY151" s="5">
        <f t="shared" si="118"/>
        <v>56420</v>
      </c>
      <c r="AZ151" s="5">
        <f t="shared" si="119"/>
        <v>55640</v>
      </c>
      <c r="BB151" s="32" t="str">
        <f t="shared" si="96"/>
        <v>26/01/2024</v>
      </c>
      <c r="BC151" s="33">
        <f t="shared" si="96"/>
        <v>56040</v>
      </c>
      <c r="BD151" s="4" t="str">
        <f t="shared" si="96"/>
        <v>A3</v>
      </c>
      <c r="BE151">
        <f t="shared" si="120"/>
        <v>55931.25</v>
      </c>
      <c r="BF151">
        <f t="shared" si="121"/>
        <v>55866.25</v>
      </c>
      <c r="BG151">
        <f t="shared" si="122"/>
        <v>55963.75</v>
      </c>
      <c r="BH151">
        <f t="shared" si="123"/>
        <v>55833.75</v>
      </c>
      <c r="BI151">
        <f t="shared" si="124"/>
        <v>55915</v>
      </c>
      <c r="BJ151">
        <f t="shared" si="125"/>
        <v>55882.5</v>
      </c>
      <c r="BK151" s="38">
        <f t="shared" si="126"/>
        <v>56028.75</v>
      </c>
      <c r="BL151">
        <f t="shared" si="127"/>
        <v>55768.75</v>
      </c>
      <c r="BM151">
        <f t="shared" si="128"/>
        <v>55909.583333333328</v>
      </c>
      <c r="BN151">
        <f t="shared" si="129"/>
        <v>55887.916666666672</v>
      </c>
      <c r="BO151">
        <f t="shared" si="130"/>
        <v>56093.75</v>
      </c>
      <c r="BP151">
        <f t="shared" si="131"/>
        <v>55703.75</v>
      </c>
      <c r="BQ151" s="7">
        <f>BK151</f>
        <v>56028.75</v>
      </c>
      <c r="BS151" s="30">
        <f t="shared" si="97"/>
        <v>56040</v>
      </c>
      <c r="BT151" s="4">
        <f t="shared" si="98"/>
        <v>56028.75</v>
      </c>
      <c r="BU151" s="37">
        <f t="shared" si="99"/>
        <v>11.25</v>
      </c>
      <c r="BV151">
        <f t="shared" si="100"/>
        <v>11.25</v>
      </c>
      <c r="BW151" s="35">
        <f t="shared" si="101"/>
        <v>2.0074946466809422E-4</v>
      </c>
    </row>
    <row r="152" spans="1:75">
      <c r="A152" s="1" t="s">
        <v>153</v>
      </c>
      <c r="B152" s="1">
        <v>57630</v>
      </c>
      <c r="Q152">
        <v>149</v>
      </c>
      <c r="R152" s="27" t="str">
        <f t="shared" si="92"/>
        <v>27/01/2024</v>
      </c>
      <c r="S152" s="27">
        <f t="shared" si="92"/>
        <v>57110</v>
      </c>
      <c r="T152" s="4" t="str">
        <f t="shared" si="93"/>
        <v>A3</v>
      </c>
      <c r="V152">
        <v>149</v>
      </c>
      <c r="W152" s="28" t="str">
        <f t="shared" si="91"/>
        <v>27/01/2024</v>
      </c>
      <c r="X152" s="28">
        <f t="shared" si="91"/>
        <v>57110</v>
      </c>
      <c r="Y152" s="28" t="str">
        <f t="shared" si="91"/>
        <v>A3</v>
      </c>
      <c r="Z152" s="5" t="str">
        <f t="shared" si="102"/>
        <v>A3</v>
      </c>
      <c r="AA152" s="5" t="str">
        <f t="shared" si="103"/>
        <v>A3</v>
      </c>
      <c r="AG152" s="29" t="str">
        <f t="shared" si="94"/>
        <v>27/01/2024</v>
      </c>
      <c r="AH152" s="30">
        <f t="shared" si="94"/>
        <v>57110</v>
      </c>
      <c r="AI152" s="4" t="str">
        <f t="shared" si="95"/>
        <v>A3</v>
      </c>
      <c r="AJ152" s="5" t="str">
        <f t="shared" si="104"/>
        <v>A3</v>
      </c>
      <c r="AK152">
        <f t="shared" si="105"/>
        <v>55767.5</v>
      </c>
      <c r="AL152" t="str">
        <f t="shared" si="106"/>
        <v>A3</v>
      </c>
      <c r="AM152">
        <f t="shared" si="107"/>
        <v>55767.5</v>
      </c>
      <c r="AN152" s="6">
        <f t="shared" si="108"/>
        <v>1310</v>
      </c>
      <c r="AO152">
        <f t="shared" si="109"/>
        <v>56695</v>
      </c>
      <c r="AP152">
        <f t="shared" si="132"/>
        <v>55385</v>
      </c>
      <c r="AQ152" s="33">
        <f t="shared" si="110"/>
        <v>57350</v>
      </c>
      <c r="AR152" s="33">
        <f t="shared" si="111"/>
        <v>54730</v>
      </c>
      <c r="AS152">
        <f t="shared" si="112"/>
        <v>56367.5</v>
      </c>
      <c r="AT152" s="5">
        <f t="shared" si="113"/>
        <v>55712.5</v>
      </c>
      <c r="AU152" s="5">
        <f t="shared" si="114"/>
        <v>58660</v>
      </c>
      <c r="AV152" s="5">
        <f t="shared" si="115"/>
        <v>53420</v>
      </c>
      <c r="AW152" s="5">
        <f t="shared" si="116"/>
        <v>56258.333333333336</v>
      </c>
      <c r="AX152" s="5">
        <f t="shared" si="117"/>
        <v>55821.666666666664</v>
      </c>
      <c r="AY152" s="5">
        <f t="shared" si="118"/>
        <v>59970</v>
      </c>
      <c r="AZ152" s="5">
        <f t="shared" si="119"/>
        <v>52110</v>
      </c>
      <c r="BB152" s="32" t="str">
        <f t="shared" si="96"/>
        <v>27/01/2024</v>
      </c>
      <c r="BC152" s="33">
        <f t="shared" si="96"/>
        <v>57110</v>
      </c>
      <c r="BD152" s="4" t="str">
        <f t="shared" si="96"/>
        <v>A3</v>
      </c>
      <c r="BE152">
        <f t="shared" si="120"/>
        <v>56231.25</v>
      </c>
      <c r="BF152">
        <f t="shared" si="121"/>
        <v>55576.25</v>
      </c>
      <c r="BG152">
        <f t="shared" si="122"/>
        <v>56558.75</v>
      </c>
      <c r="BH152">
        <f t="shared" si="123"/>
        <v>55248.75</v>
      </c>
      <c r="BI152">
        <f t="shared" si="124"/>
        <v>56067.5</v>
      </c>
      <c r="BJ152">
        <f t="shared" si="125"/>
        <v>55740</v>
      </c>
      <c r="BK152" s="38">
        <f t="shared" si="126"/>
        <v>57213.75</v>
      </c>
      <c r="BL152">
        <f t="shared" si="127"/>
        <v>54593.75</v>
      </c>
      <c r="BM152">
        <f t="shared" si="128"/>
        <v>56012.916666666672</v>
      </c>
      <c r="BN152">
        <f t="shared" si="129"/>
        <v>55794.583333333328</v>
      </c>
      <c r="BO152">
        <f t="shared" si="130"/>
        <v>57868.75</v>
      </c>
      <c r="BP152">
        <f t="shared" si="131"/>
        <v>53938.75</v>
      </c>
      <c r="BQ152" s="7">
        <f>BK152</f>
        <v>57213.75</v>
      </c>
      <c r="BS152" s="30">
        <f t="shared" si="97"/>
        <v>57110</v>
      </c>
      <c r="BT152" s="4">
        <f t="shared" si="98"/>
        <v>57213.75</v>
      </c>
      <c r="BU152" s="37">
        <f t="shared" si="99"/>
        <v>-103.75</v>
      </c>
      <c r="BV152">
        <f t="shared" si="100"/>
        <v>103.75</v>
      </c>
      <c r="BW152" s="35">
        <f t="shared" si="101"/>
        <v>1.8166695850113815E-3</v>
      </c>
    </row>
    <row r="153" spans="1:75">
      <c r="A153" s="1" t="s">
        <v>154</v>
      </c>
      <c r="B153" s="1">
        <v>58410</v>
      </c>
      <c r="Q153">
        <v>150</v>
      </c>
      <c r="R153" s="27" t="str">
        <f t="shared" si="92"/>
        <v>28/01/2024</v>
      </c>
      <c r="S153" s="27">
        <f t="shared" si="92"/>
        <v>55730</v>
      </c>
      <c r="T153" s="4" t="str">
        <f t="shared" si="93"/>
        <v>A3</v>
      </c>
      <c r="V153">
        <v>150</v>
      </c>
      <c r="W153" s="28" t="str">
        <f t="shared" si="91"/>
        <v>28/01/2024</v>
      </c>
      <c r="X153" s="28">
        <f t="shared" si="91"/>
        <v>55730</v>
      </c>
      <c r="Y153" s="28" t="str">
        <f t="shared" si="91"/>
        <v>A3</v>
      </c>
      <c r="Z153" s="5" t="str">
        <f t="shared" si="102"/>
        <v>A3</v>
      </c>
      <c r="AA153" s="5" t="str">
        <f t="shared" si="103"/>
        <v>A3</v>
      </c>
      <c r="AG153" s="29" t="str">
        <f t="shared" si="94"/>
        <v>28/01/2024</v>
      </c>
      <c r="AH153" s="30">
        <f t="shared" si="94"/>
        <v>55730</v>
      </c>
      <c r="AI153" s="4" t="str">
        <f t="shared" si="95"/>
        <v>A3</v>
      </c>
      <c r="AJ153" s="5" t="str">
        <f t="shared" si="104"/>
        <v>A3</v>
      </c>
      <c r="AK153">
        <f t="shared" si="105"/>
        <v>55767.5</v>
      </c>
      <c r="AL153" t="str">
        <f t="shared" si="106"/>
        <v>A3</v>
      </c>
      <c r="AM153">
        <f t="shared" si="107"/>
        <v>55767.5</v>
      </c>
      <c r="AN153" s="6">
        <f t="shared" si="108"/>
        <v>1060</v>
      </c>
      <c r="AO153">
        <f t="shared" si="109"/>
        <v>57640</v>
      </c>
      <c r="AP153">
        <f t="shared" si="132"/>
        <v>56580</v>
      </c>
      <c r="AQ153" s="33">
        <f t="shared" si="110"/>
        <v>58170</v>
      </c>
      <c r="AR153" s="33">
        <f t="shared" si="111"/>
        <v>56050</v>
      </c>
      <c r="AS153">
        <f t="shared" si="112"/>
        <v>57375</v>
      </c>
      <c r="AT153" s="5">
        <f t="shared" si="113"/>
        <v>56845</v>
      </c>
      <c r="AU153" s="5">
        <f t="shared" si="114"/>
        <v>59230</v>
      </c>
      <c r="AV153" s="5">
        <f t="shared" si="115"/>
        <v>54990</v>
      </c>
      <c r="AW153" s="5">
        <f t="shared" si="116"/>
        <v>57286.666666666664</v>
      </c>
      <c r="AX153" s="5">
        <f t="shared" si="117"/>
        <v>56933.333333333336</v>
      </c>
      <c r="AY153" s="5">
        <f t="shared" si="118"/>
        <v>60290</v>
      </c>
      <c r="AZ153" s="5">
        <f t="shared" si="119"/>
        <v>53930</v>
      </c>
      <c r="BB153" s="32" t="str">
        <f t="shared" si="96"/>
        <v>28/01/2024</v>
      </c>
      <c r="BC153" s="33">
        <f t="shared" si="96"/>
        <v>55730</v>
      </c>
      <c r="BD153" s="4" t="str">
        <f t="shared" si="96"/>
        <v>A3</v>
      </c>
      <c r="BE153">
        <f t="shared" si="120"/>
        <v>56703.75</v>
      </c>
      <c r="BF153">
        <f t="shared" si="121"/>
        <v>56173.75</v>
      </c>
      <c r="BG153">
        <f t="shared" si="122"/>
        <v>56968.75</v>
      </c>
      <c r="BH153" s="38">
        <f t="shared" si="123"/>
        <v>55908.75</v>
      </c>
      <c r="BI153">
        <f t="shared" si="124"/>
        <v>56571.25</v>
      </c>
      <c r="BJ153">
        <f t="shared" si="125"/>
        <v>56306.25</v>
      </c>
      <c r="BK153">
        <f t="shared" si="126"/>
        <v>57498.75</v>
      </c>
      <c r="BL153">
        <f t="shared" si="127"/>
        <v>55378.75</v>
      </c>
      <c r="BM153">
        <f t="shared" si="128"/>
        <v>56527.083333333328</v>
      </c>
      <c r="BN153">
        <f t="shared" si="129"/>
        <v>56350.416666666672</v>
      </c>
      <c r="BO153">
        <f t="shared" si="130"/>
        <v>58028.75</v>
      </c>
      <c r="BP153">
        <f t="shared" si="131"/>
        <v>54848.75</v>
      </c>
      <c r="BQ153" s="7">
        <f>BH153</f>
        <v>55908.75</v>
      </c>
      <c r="BS153" s="30">
        <f t="shared" si="97"/>
        <v>55730</v>
      </c>
      <c r="BT153" s="4">
        <f t="shared" si="98"/>
        <v>55908.75</v>
      </c>
      <c r="BU153" s="37">
        <f t="shared" si="99"/>
        <v>-178.75</v>
      </c>
      <c r="BV153">
        <f t="shared" si="100"/>
        <v>178.75</v>
      </c>
      <c r="BW153" s="35">
        <f t="shared" si="101"/>
        <v>3.2074286739637537E-3</v>
      </c>
    </row>
    <row r="154" spans="1:75">
      <c r="A154" s="1" t="s">
        <v>155</v>
      </c>
      <c r="B154" s="1">
        <v>57490</v>
      </c>
      <c r="Q154">
        <v>151</v>
      </c>
      <c r="R154" s="27" t="str">
        <f t="shared" si="92"/>
        <v>29/01/2024</v>
      </c>
      <c r="S154" s="27">
        <f t="shared" si="92"/>
        <v>57630</v>
      </c>
      <c r="T154" s="4" t="str">
        <f t="shared" si="93"/>
        <v>A3</v>
      </c>
      <c r="V154">
        <v>151</v>
      </c>
      <c r="W154" s="28" t="str">
        <f t="shared" si="91"/>
        <v>29/01/2024</v>
      </c>
      <c r="X154" s="28">
        <f t="shared" si="91"/>
        <v>57630</v>
      </c>
      <c r="Y154" s="28" t="str">
        <f t="shared" si="91"/>
        <v>A3</v>
      </c>
      <c r="Z154" s="5" t="str">
        <f t="shared" si="102"/>
        <v>A3</v>
      </c>
      <c r="AA154" s="5" t="str">
        <f t="shared" si="103"/>
        <v>A3</v>
      </c>
      <c r="AG154" s="29" t="str">
        <f t="shared" si="94"/>
        <v>29/01/2024</v>
      </c>
      <c r="AH154" s="30">
        <f t="shared" si="94"/>
        <v>57630</v>
      </c>
      <c r="AI154" s="4" t="str">
        <f t="shared" si="95"/>
        <v>A3</v>
      </c>
      <c r="AJ154" s="5" t="str">
        <f t="shared" si="104"/>
        <v>A3</v>
      </c>
      <c r="AK154">
        <f t="shared" si="105"/>
        <v>55767.5</v>
      </c>
      <c r="AL154" t="str">
        <f t="shared" si="106"/>
        <v>A3</v>
      </c>
      <c r="AM154">
        <f t="shared" si="107"/>
        <v>55767.5</v>
      </c>
      <c r="AN154" s="6">
        <f t="shared" si="108"/>
        <v>310</v>
      </c>
      <c r="AO154">
        <f t="shared" si="109"/>
        <v>55885</v>
      </c>
      <c r="AP154">
        <f t="shared" si="132"/>
        <v>55575</v>
      </c>
      <c r="AQ154" s="33">
        <f t="shared" si="110"/>
        <v>56040</v>
      </c>
      <c r="AR154" s="33">
        <f t="shared" si="111"/>
        <v>55420</v>
      </c>
      <c r="AS154">
        <f t="shared" si="112"/>
        <v>55807.5</v>
      </c>
      <c r="AT154" s="5">
        <f t="shared" si="113"/>
        <v>55652.5</v>
      </c>
      <c r="AU154" s="5">
        <f t="shared" si="114"/>
        <v>56350</v>
      </c>
      <c r="AV154" s="5">
        <f t="shared" si="115"/>
        <v>55110</v>
      </c>
      <c r="AW154" s="5">
        <f t="shared" si="116"/>
        <v>55781.666666666664</v>
      </c>
      <c r="AX154" s="5">
        <f t="shared" si="117"/>
        <v>55678.333333333336</v>
      </c>
      <c r="AY154" s="5">
        <f t="shared" si="118"/>
        <v>56660</v>
      </c>
      <c r="AZ154" s="5">
        <f t="shared" si="119"/>
        <v>54800</v>
      </c>
      <c r="BB154" s="32" t="str">
        <f t="shared" si="96"/>
        <v>29/01/2024</v>
      </c>
      <c r="BC154" s="33">
        <f t="shared" si="96"/>
        <v>57630</v>
      </c>
      <c r="BD154" s="4" t="str">
        <f t="shared" si="96"/>
        <v>A3</v>
      </c>
      <c r="BE154">
        <f t="shared" si="120"/>
        <v>55826.25</v>
      </c>
      <c r="BF154">
        <f t="shared" si="121"/>
        <v>55671.25</v>
      </c>
      <c r="BG154">
        <f t="shared" si="122"/>
        <v>55903.75</v>
      </c>
      <c r="BH154">
        <f t="shared" si="123"/>
        <v>55593.75</v>
      </c>
      <c r="BI154">
        <f t="shared" si="124"/>
        <v>55787.5</v>
      </c>
      <c r="BJ154">
        <f t="shared" si="125"/>
        <v>55710</v>
      </c>
      <c r="BK154">
        <f t="shared" si="126"/>
        <v>56058.75</v>
      </c>
      <c r="BL154">
        <f t="shared" si="127"/>
        <v>55438.75</v>
      </c>
      <c r="BM154">
        <f t="shared" si="128"/>
        <v>55774.583333333328</v>
      </c>
      <c r="BN154">
        <f t="shared" si="129"/>
        <v>55722.916666666672</v>
      </c>
      <c r="BO154" s="38">
        <f t="shared" si="130"/>
        <v>56213.75</v>
      </c>
      <c r="BP154">
        <f t="shared" si="131"/>
        <v>55283.75</v>
      </c>
      <c r="BQ154" s="7">
        <f>BO154</f>
        <v>56213.75</v>
      </c>
      <c r="BS154" s="30">
        <f t="shared" si="97"/>
        <v>57630</v>
      </c>
      <c r="BT154" s="4">
        <f t="shared" si="98"/>
        <v>56213.75</v>
      </c>
      <c r="BU154" s="37">
        <f t="shared" si="99"/>
        <v>1416.25</v>
      </c>
      <c r="BV154">
        <f t="shared" si="100"/>
        <v>1416.25</v>
      </c>
      <c r="BW154" s="35">
        <f t="shared" si="101"/>
        <v>2.4574874197466599E-2</v>
      </c>
    </row>
    <row r="155" spans="1:75">
      <c r="A155" s="1" t="s">
        <v>156</v>
      </c>
      <c r="B155" s="1">
        <v>58290</v>
      </c>
      <c r="Q155">
        <v>152</v>
      </c>
      <c r="R155" s="27" t="str">
        <f t="shared" si="92"/>
        <v>30/01/2024</v>
      </c>
      <c r="S155" s="27">
        <f t="shared" si="92"/>
        <v>58410</v>
      </c>
      <c r="T155" s="4" t="str">
        <f t="shared" si="93"/>
        <v>A3</v>
      </c>
      <c r="V155">
        <v>152</v>
      </c>
      <c r="W155" s="28" t="str">
        <f t="shared" si="91"/>
        <v>30/01/2024</v>
      </c>
      <c r="X155" s="28">
        <f t="shared" si="91"/>
        <v>58410</v>
      </c>
      <c r="Y155" s="28" t="str">
        <f t="shared" si="91"/>
        <v>A3</v>
      </c>
      <c r="Z155" s="5" t="str">
        <f t="shared" si="102"/>
        <v>A3</v>
      </c>
      <c r="AA155" s="5" t="str">
        <f t="shared" si="103"/>
        <v>A3</v>
      </c>
      <c r="AG155" s="29" t="str">
        <f t="shared" si="94"/>
        <v>30/01/2024</v>
      </c>
      <c r="AH155" s="30">
        <f t="shared" si="94"/>
        <v>58410</v>
      </c>
      <c r="AI155" s="4" t="str">
        <f t="shared" si="95"/>
        <v>A3</v>
      </c>
      <c r="AJ155" s="5" t="str">
        <f t="shared" si="104"/>
        <v>A3</v>
      </c>
      <c r="AK155">
        <f t="shared" si="105"/>
        <v>55767.5</v>
      </c>
      <c r="AL155" t="str">
        <f t="shared" si="106"/>
        <v>A3</v>
      </c>
      <c r="AM155">
        <f t="shared" si="107"/>
        <v>55767.5</v>
      </c>
      <c r="AN155" s="6">
        <f t="shared" si="108"/>
        <v>520</v>
      </c>
      <c r="AO155">
        <f t="shared" si="109"/>
        <v>57890</v>
      </c>
      <c r="AP155">
        <f t="shared" si="132"/>
        <v>57370</v>
      </c>
      <c r="AQ155" s="33">
        <f t="shared" si="110"/>
        <v>58150</v>
      </c>
      <c r="AR155" s="33">
        <f t="shared" si="111"/>
        <v>57110</v>
      </c>
      <c r="AS155">
        <f t="shared" si="112"/>
        <v>57760</v>
      </c>
      <c r="AT155" s="5">
        <f t="shared" si="113"/>
        <v>57500</v>
      </c>
      <c r="AU155" s="5">
        <f t="shared" si="114"/>
        <v>58670</v>
      </c>
      <c r="AV155" s="5">
        <f t="shared" si="115"/>
        <v>56590</v>
      </c>
      <c r="AW155" s="5">
        <f t="shared" si="116"/>
        <v>57716.666666666664</v>
      </c>
      <c r="AX155" s="5">
        <f t="shared" si="117"/>
        <v>57543.333333333336</v>
      </c>
      <c r="AY155" s="5">
        <f t="shared" si="118"/>
        <v>59190</v>
      </c>
      <c r="AZ155" s="5">
        <f t="shared" si="119"/>
        <v>56070</v>
      </c>
      <c r="BB155" s="32" t="str">
        <f t="shared" si="96"/>
        <v>30/01/2024</v>
      </c>
      <c r="BC155" s="33">
        <f t="shared" si="96"/>
        <v>58410</v>
      </c>
      <c r="BD155" s="4" t="str">
        <f t="shared" si="96"/>
        <v>A3</v>
      </c>
      <c r="BE155">
        <f t="shared" si="120"/>
        <v>56828.75</v>
      </c>
      <c r="BF155">
        <f t="shared" si="121"/>
        <v>56568.75</v>
      </c>
      <c r="BG155">
        <f t="shared" si="122"/>
        <v>56958.75</v>
      </c>
      <c r="BH155">
        <f t="shared" si="123"/>
        <v>56438.75</v>
      </c>
      <c r="BI155">
        <f t="shared" si="124"/>
        <v>56763.75</v>
      </c>
      <c r="BJ155">
        <f t="shared" si="125"/>
        <v>56633.75</v>
      </c>
      <c r="BK155">
        <f t="shared" si="126"/>
        <v>57218.75</v>
      </c>
      <c r="BL155">
        <f t="shared" si="127"/>
        <v>56178.75</v>
      </c>
      <c r="BM155">
        <f t="shared" si="128"/>
        <v>56742.083333333328</v>
      </c>
      <c r="BN155">
        <f t="shared" si="129"/>
        <v>56655.416666666672</v>
      </c>
      <c r="BO155" s="38">
        <f t="shared" si="130"/>
        <v>57478.75</v>
      </c>
      <c r="BP155">
        <f t="shared" si="131"/>
        <v>55918.75</v>
      </c>
      <c r="BQ155" s="7">
        <f>BO155</f>
        <v>57478.75</v>
      </c>
      <c r="BS155" s="30">
        <f t="shared" si="97"/>
        <v>58410</v>
      </c>
      <c r="BT155" s="4">
        <f t="shared" si="98"/>
        <v>57478.75</v>
      </c>
      <c r="BU155" s="37">
        <f t="shared" si="99"/>
        <v>931.25</v>
      </c>
      <c r="BV155">
        <f t="shared" si="100"/>
        <v>931.25</v>
      </c>
      <c r="BW155" s="35">
        <f t="shared" si="101"/>
        <v>1.5943331621297723E-2</v>
      </c>
    </row>
    <row r="156" spans="1:75">
      <c r="A156" s="1" t="s">
        <v>157</v>
      </c>
      <c r="B156" s="1">
        <v>58800</v>
      </c>
      <c r="Q156">
        <v>153</v>
      </c>
      <c r="R156" s="27" t="str">
        <f t="shared" si="92"/>
        <v>31/01/2024</v>
      </c>
      <c r="S156" s="27">
        <f t="shared" si="92"/>
        <v>57490</v>
      </c>
      <c r="T156" s="4" t="str">
        <f t="shared" si="93"/>
        <v>A3</v>
      </c>
      <c r="V156">
        <v>153</v>
      </c>
      <c r="W156" s="28" t="str">
        <f t="shared" si="91"/>
        <v>31/01/2024</v>
      </c>
      <c r="X156" s="28">
        <f t="shared" si="91"/>
        <v>57490</v>
      </c>
      <c r="Y156" s="28" t="str">
        <f t="shared" si="91"/>
        <v>A3</v>
      </c>
      <c r="Z156" s="5" t="str">
        <f t="shared" si="102"/>
        <v>A3</v>
      </c>
      <c r="AA156" s="5" t="str">
        <f t="shared" si="103"/>
        <v>A3</v>
      </c>
      <c r="AG156" s="29" t="str">
        <f t="shared" si="94"/>
        <v>31/01/2024</v>
      </c>
      <c r="AH156" s="30">
        <f t="shared" si="94"/>
        <v>57490</v>
      </c>
      <c r="AI156" s="4" t="str">
        <f t="shared" si="95"/>
        <v>A3</v>
      </c>
      <c r="AJ156" s="5" t="str">
        <f t="shared" si="104"/>
        <v>A3</v>
      </c>
      <c r="AK156">
        <f t="shared" si="105"/>
        <v>55767.5</v>
      </c>
      <c r="AL156" t="str">
        <f t="shared" si="106"/>
        <v>A3</v>
      </c>
      <c r="AM156">
        <f t="shared" si="107"/>
        <v>55767.5</v>
      </c>
      <c r="AN156" s="6">
        <f t="shared" si="108"/>
        <v>1120</v>
      </c>
      <c r="AO156">
        <f t="shared" si="109"/>
        <v>58970</v>
      </c>
      <c r="AP156">
        <f t="shared" si="132"/>
        <v>57850</v>
      </c>
      <c r="AQ156" s="33">
        <f t="shared" si="110"/>
        <v>59530</v>
      </c>
      <c r="AR156" s="33">
        <f t="shared" si="111"/>
        <v>57290</v>
      </c>
      <c r="AS156">
        <f t="shared" si="112"/>
        <v>58690</v>
      </c>
      <c r="AT156" s="5">
        <f t="shared" si="113"/>
        <v>58130</v>
      </c>
      <c r="AU156" s="5">
        <f t="shared" si="114"/>
        <v>60650</v>
      </c>
      <c r="AV156" s="5">
        <f t="shared" si="115"/>
        <v>56170</v>
      </c>
      <c r="AW156" s="5">
        <f t="shared" si="116"/>
        <v>58596.666666666664</v>
      </c>
      <c r="AX156" s="5">
        <f t="shared" si="117"/>
        <v>58223.333333333336</v>
      </c>
      <c r="AY156" s="5">
        <f t="shared" si="118"/>
        <v>61770</v>
      </c>
      <c r="AZ156" s="5">
        <f t="shared" si="119"/>
        <v>55050</v>
      </c>
      <c r="BB156" s="32" t="str">
        <f t="shared" si="96"/>
        <v>31/01/2024</v>
      </c>
      <c r="BC156" s="33">
        <f t="shared" si="96"/>
        <v>57490</v>
      </c>
      <c r="BD156" s="4" t="str">
        <f t="shared" si="96"/>
        <v>A3</v>
      </c>
      <c r="BE156" s="38">
        <f t="shared" si="120"/>
        <v>57368.75</v>
      </c>
      <c r="BF156">
        <f t="shared" si="121"/>
        <v>56808.75</v>
      </c>
      <c r="BG156">
        <f t="shared" si="122"/>
        <v>57648.75</v>
      </c>
      <c r="BH156">
        <f t="shared" si="123"/>
        <v>56528.75</v>
      </c>
      <c r="BI156">
        <f t="shared" si="124"/>
        <v>57228.75</v>
      </c>
      <c r="BJ156">
        <f t="shared" si="125"/>
        <v>56948.75</v>
      </c>
      <c r="BK156">
        <f t="shared" si="126"/>
        <v>58208.75</v>
      </c>
      <c r="BL156">
        <f t="shared" si="127"/>
        <v>55968.75</v>
      </c>
      <c r="BM156">
        <f t="shared" si="128"/>
        <v>57182.083333333328</v>
      </c>
      <c r="BN156">
        <f t="shared" si="129"/>
        <v>56995.416666666672</v>
      </c>
      <c r="BO156">
        <f t="shared" si="130"/>
        <v>58768.75</v>
      </c>
      <c r="BP156">
        <f t="shared" si="131"/>
        <v>55408.75</v>
      </c>
      <c r="BQ156" s="7">
        <f>BE156</f>
        <v>57368.75</v>
      </c>
      <c r="BS156" s="30">
        <f t="shared" si="97"/>
        <v>57490</v>
      </c>
      <c r="BT156" s="4">
        <f t="shared" si="98"/>
        <v>57368.75</v>
      </c>
      <c r="BU156" s="37">
        <f t="shared" si="99"/>
        <v>121.25</v>
      </c>
      <c r="BV156">
        <f t="shared" si="100"/>
        <v>121.25</v>
      </c>
      <c r="BW156" s="35">
        <f t="shared" si="101"/>
        <v>2.1090624456427203E-3</v>
      </c>
    </row>
    <row r="157" spans="1:75">
      <c r="A157" s="1" t="s">
        <v>158</v>
      </c>
      <c r="B157" s="1">
        <v>60580</v>
      </c>
      <c r="Q157">
        <v>154</v>
      </c>
      <c r="R157" s="27" t="str">
        <f t="shared" si="92"/>
        <v>01/02/2024</v>
      </c>
      <c r="S157" s="27">
        <f t="shared" si="92"/>
        <v>58290</v>
      </c>
      <c r="T157" s="4" t="str">
        <f t="shared" si="93"/>
        <v>A3</v>
      </c>
      <c r="V157">
        <v>154</v>
      </c>
      <c r="W157" s="28" t="str">
        <f t="shared" si="91"/>
        <v>01/02/2024</v>
      </c>
      <c r="X157" s="28">
        <f t="shared" si="91"/>
        <v>58290</v>
      </c>
      <c r="Y157" s="28" t="str">
        <f t="shared" si="91"/>
        <v>A3</v>
      </c>
      <c r="Z157" s="5" t="str">
        <f t="shared" si="102"/>
        <v>A3</v>
      </c>
      <c r="AA157" s="5" t="str">
        <f t="shared" si="103"/>
        <v>A3</v>
      </c>
      <c r="AG157" s="29" t="str">
        <f t="shared" si="94"/>
        <v>01/02/2024</v>
      </c>
      <c r="AH157" s="30">
        <f t="shared" si="94"/>
        <v>58290</v>
      </c>
      <c r="AI157" s="4" t="str">
        <f t="shared" si="95"/>
        <v>A3</v>
      </c>
      <c r="AJ157" s="5" t="str">
        <f t="shared" si="104"/>
        <v>A3</v>
      </c>
      <c r="AK157">
        <f t="shared" si="105"/>
        <v>55767.5</v>
      </c>
      <c r="AL157" t="str">
        <f t="shared" si="106"/>
        <v>A3</v>
      </c>
      <c r="AM157">
        <f t="shared" si="107"/>
        <v>55767.5</v>
      </c>
      <c r="AN157" s="6">
        <f t="shared" si="108"/>
        <v>140</v>
      </c>
      <c r="AO157">
        <f t="shared" si="109"/>
        <v>57560</v>
      </c>
      <c r="AP157">
        <f t="shared" si="132"/>
        <v>57420</v>
      </c>
      <c r="AQ157" s="33">
        <f t="shared" si="110"/>
        <v>57630</v>
      </c>
      <c r="AR157" s="33">
        <f t="shared" si="111"/>
        <v>57350</v>
      </c>
      <c r="AS157">
        <f t="shared" si="112"/>
        <v>57525</v>
      </c>
      <c r="AT157" s="5">
        <f t="shared" si="113"/>
        <v>57455</v>
      </c>
      <c r="AU157" s="5">
        <f t="shared" si="114"/>
        <v>57770</v>
      </c>
      <c r="AV157" s="5">
        <f t="shared" si="115"/>
        <v>57210</v>
      </c>
      <c r="AW157" s="5">
        <f t="shared" si="116"/>
        <v>57513.333333333336</v>
      </c>
      <c r="AX157" s="5">
        <f t="shared" si="117"/>
        <v>57466.666666666664</v>
      </c>
      <c r="AY157" s="5">
        <f t="shared" si="118"/>
        <v>57910</v>
      </c>
      <c r="AZ157" s="5">
        <f t="shared" si="119"/>
        <v>57070</v>
      </c>
      <c r="BB157" s="32" t="str">
        <f t="shared" si="96"/>
        <v>01/02/2024</v>
      </c>
      <c r="BC157" s="33">
        <f t="shared" si="96"/>
        <v>58290</v>
      </c>
      <c r="BD157" s="4" t="str">
        <f t="shared" si="96"/>
        <v>A3</v>
      </c>
      <c r="BE157">
        <f t="shared" si="120"/>
        <v>56663.75</v>
      </c>
      <c r="BF157">
        <f t="shared" si="121"/>
        <v>56593.75</v>
      </c>
      <c r="BG157">
        <f t="shared" si="122"/>
        <v>56698.75</v>
      </c>
      <c r="BH157">
        <f t="shared" si="123"/>
        <v>56558.75</v>
      </c>
      <c r="BI157">
        <f t="shared" si="124"/>
        <v>56646.25</v>
      </c>
      <c r="BJ157">
        <f t="shared" si="125"/>
        <v>56611.25</v>
      </c>
      <c r="BK157">
        <f t="shared" si="126"/>
        <v>56768.75</v>
      </c>
      <c r="BL157">
        <f t="shared" si="127"/>
        <v>56488.75</v>
      </c>
      <c r="BM157">
        <f t="shared" si="128"/>
        <v>56640.416666666672</v>
      </c>
      <c r="BN157">
        <f t="shared" si="129"/>
        <v>56617.083333333328</v>
      </c>
      <c r="BO157" s="38">
        <f t="shared" si="130"/>
        <v>56838.75</v>
      </c>
      <c r="BP157">
        <f t="shared" si="131"/>
        <v>56418.75</v>
      </c>
      <c r="BQ157" s="7">
        <f>BO157</f>
        <v>56838.75</v>
      </c>
      <c r="BS157" s="30">
        <f t="shared" si="97"/>
        <v>58290</v>
      </c>
      <c r="BT157" s="4">
        <f t="shared" si="98"/>
        <v>56838.75</v>
      </c>
      <c r="BU157" s="37">
        <f t="shared" si="99"/>
        <v>1451.25</v>
      </c>
      <c r="BV157">
        <f t="shared" si="100"/>
        <v>1451.25</v>
      </c>
      <c r="BW157" s="35">
        <f t="shared" si="101"/>
        <v>2.4897066392177047E-2</v>
      </c>
    </row>
    <row r="158" spans="1:75">
      <c r="A158" s="1" t="s">
        <v>159</v>
      </c>
      <c r="B158" s="1">
        <v>61560</v>
      </c>
      <c r="Q158">
        <v>155</v>
      </c>
      <c r="R158" s="27" t="str">
        <f t="shared" si="92"/>
        <v>02/02/2024</v>
      </c>
      <c r="S158" s="27">
        <f t="shared" si="92"/>
        <v>58800</v>
      </c>
      <c r="T158" s="4" t="str">
        <f t="shared" si="93"/>
        <v>A4</v>
      </c>
      <c r="V158">
        <v>155</v>
      </c>
      <c r="W158" s="28" t="str">
        <f t="shared" si="91"/>
        <v>02/02/2024</v>
      </c>
      <c r="X158" s="28">
        <f t="shared" si="91"/>
        <v>58800</v>
      </c>
      <c r="Y158" s="28" t="str">
        <f t="shared" si="91"/>
        <v>A4</v>
      </c>
      <c r="Z158" s="5" t="str">
        <f t="shared" si="102"/>
        <v>A3</v>
      </c>
      <c r="AA158" s="5" t="str">
        <f t="shared" si="103"/>
        <v>A3</v>
      </c>
      <c r="AG158" s="29" t="str">
        <f t="shared" si="94"/>
        <v>02/02/2024</v>
      </c>
      <c r="AH158" s="30">
        <f t="shared" si="94"/>
        <v>58800</v>
      </c>
      <c r="AI158" s="4" t="str">
        <f t="shared" si="95"/>
        <v>A4</v>
      </c>
      <c r="AJ158" s="5" t="str">
        <f t="shared" si="104"/>
        <v>A3</v>
      </c>
      <c r="AK158">
        <f t="shared" si="105"/>
        <v>55767.5</v>
      </c>
      <c r="AL158" t="str">
        <f t="shared" si="106"/>
        <v>A3</v>
      </c>
      <c r="AM158">
        <f t="shared" si="107"/>
        <v>55767.5</v>
      </c>
      <c r="AN158" s="6">
        <f t="shared" si="108"/>
        <v>120</v>
      </c>
      <c r="AO158">
        <f t="shared" si="109"/>
        <v>58350</v>
      </c>
      <c r="AP158">
        <f t="shared" si="132"/>
        <v>58230</v>
      </c>
      <c r="AQ158" s="33">
        <f t="shared" si="110"/>
        <v>58410</v>
      </c>
      <c r="AR158" s="33">
        <f t="shared" si="111"/>
        <v>58170</v>
      </c>
      <c r="AS158">
        <f t="shared" si="112"/>
        <v>58320</v>
      </c>
      <c r="AT158" s="5">
        <f t="shared" si="113"/>
        <v>58260</v>
      </c>
      <c r="AU158" s="5">
        <f t="shared" si="114"/>
        <v>58530</v>
      </c>
      <c r="AV158" s="5">
        <f t="shared" si="115"/>
        <v>58050</v>
      </c>
      <c r="AW158" s="5">
        <f t="shared" si="116"/>
        <v>58310</v>
      </c>
      <c r="AX158" s="5">
        <f t="shared" si="117"/>
        <v>58270</v>
      </c>
      <c r="AY158" s="5">
        <f t="shared" si="118"/>
        <v>58650</v>
      </c>
      <c r="AZ158" s="5">
        <f t="shared" si="119"/>
        <v>57930</v>
      </c>
      <c r="BB158" s="32" t="str">
        <f t="shared" si="96"/>
        <v>02/02/2024</v>
      </c>
      <c r="BC158" s="33">
        <f t="shared" si="96"/>
        <v>58800</v>
      </c>
      <c r="BD158" s="4" t="str">
        <f t="shared" si="96"/>
        <v>A4</v>
      </c>
      <c r="BE158">
        <f t="shared" si="120"/>
        <v>57058.75</v>
      </c>
      <c r="BF158">
        <f t="shared" si="121"/>
        <v>56998.75</v>
      </c>
      <c r="BG158">
        <f t="shared" si="122"/>
        <v>57088.75</v>
      </c>
      <c r="BH158">
        <f t="shared" si="123"/>
        <v>56968.75</v>
      </c>
      <c r="BI158">
        <f t="shared" si="124"/>
        <v>57043.75</v>
      </c>
      <c r="BJ158">
        <f t="shared" si="125"/>
        <v>57013.75</v>
      </c>
      <c r="BK158">
        <f t="shared" si="126"/>
        <v>57148.75</v>
      </c>
      <c r="BL158">
        <f t="shared" si="127"/>
        <v>56908.75</v>
      </c>
      <c r="BM158">
        <f t="shared" si="128"/>
        <v>57038.75</v>
      </c>
      <c r="BN158">
        <f t="shared" si="129"/>
        <v>57018.75</v>
      </c>
      <c r="BO158" s="38">
        <f t="shared" si="130"/>
        <v>57208.75</v>
      </c>
      <c r="BP158">
        <f t="shared" si="131"/>
        <v>56848.75</v>
      </c>
      <c r="BQ158" s="7">
        <f>BO158</f>
        <v>57208.75</v>
      </c>
      <c r="BS158" s="30">
        <f t="shared" si="97"/>
        <v>58800</v>
      </c>
      <c r="BT158" s="4">
        <f t="shared" si="98"/>
        <v>57208.75</v>
      </c>
      <c r="BU158" s="37">
        <f t="shared" si="99"/>
        <v>1591.25</v>
      </c>
      <c r="BV158">
        <f t="shared" si="100"/>
        <v>1591.25</v>
      </c>
      <c r="BW158" s="35">
        <f t="shared" si="101"/>
        <v>2.7062074829931972E-2</v>
      </c>
    </row>
    <row r="159" spans="1:75">
      <c r="A159" s="1" t="s">
        <v>160</v>
      </c>
      <c r="B159" s="1">
        <v>65410</v>
      </c>
      <c r="Q159">
        <v>156</v>
      </c>
      <c r="R159" s="27" t="str">
        <f t="shared" si="92"/>
        <v>03/02/2024</v>
      </c>
      <c r="S159" s="27">
        <f t="shared" si="92"/>
        <v>60580</v>
      </c>
      <c r="T159" s="4" t="str">
        <f t="shared" si="93"/>
        <v>A4</v>
      </c>
      <c r="V159">
        <v>156</v>
      </c>
      <c r="W159" s="28" t="str">
        <f t="shared" si="91"/>
        <v>03/02/2024</v>
      </c>
      <c r="X159" s="28">
        <f t="shared" si="91"/>
        <v>60580</v>
      </c>
      <c r="Y159" s="28" t="str">
        <f t="shared" si="91"/>
        <v>A4</v>
      </c>
      <c r="Z159" s="5" t="str">
        <f t="shared" si="102"/>
        <v>A3</v>
      </c>
      <c r="AA159" s="5" t="str">
        <f t="shared" si="103"/>
        <v>A4</v>
      </c>
      <c r="AG159" s="29" t="str">
        <f t="shared" si="94"/>
        <v>03/02/2024</v>
      </c>
      <c r="AH159" s="30">
        <f t="shared" si="94"/>
        <v>60580</v>
      </c>
      <c r="AI159" s="4" t="str">
        <f t="shared" si="95"/>
        <v>A4</v>
      </c>
      <c r="AJ159" s="5" t="str">
        <f t="shared" si="104"/>
        <v>A3</v>
      </c>
      <c r="AK159">
        <f t="shared" si="105"/>
        <v>55767.5</v>
      </c>
      <c r="AL159" t="str">
        <f t="shared" si="106"/>
        <v>A4</v>
      </c>
      <c r="AM159">
        <f t="shared" si="107"/>
        <v>61798.5</v>
      </c>
      <c r="AN159" s="6">
        <f t="shared" si="108"/>
        <v>290</v>
      </c>
      <c r="AO159">
        <f t="shared" si="109"/>
        <v>58945</v>
      </c>
      <c r="AP159">
        <f t="shared" si="132"/>
        <v>58655</v>
      </c>
      <c r="AQ159" s="33">
        <f t="shared" si="110"/>
        <v>59090</v>
      </c>
      <c r="AR159" s="33">
        <f t="shared" si="111"/>
        <v>58510</v>
      </c>
      <c r="AS159">
        <f t="shared" si="112"/>
        <v>58872.5</v>
      </c>
      <c r="AT159" s="5">
        <f t="shared" si="113"/>
        <v>58727.5</v>
      </c>
      <c r="AU159" s="5">
        <f t="shared" si="114"/>
        <v>59380</v>
      </c>
      <c r="AV159" s="5">
        <f t="shared" si="115"/>
        <v>58220</v>
      </c>
      <c r="AW159" s="5">
        <f t="shared" si="116"/>
        <v>58848.333333333336</v>
      </c>
      <c r="AX159" s="5">
        <f t="shared" si="117"/>
        <v>58751.666666666664</v>
      </c>
      <c r="AY159" s="5">
        <f t="shared" si="118"/>
        <v>59670</v>
      </c>
      <c r="AZ159" s="5">
        <f t="shared" si="119"/>
        <v>57930</v>
      </c>
      <c r="BB159" s="32" t="str">
        <f t="shared" si="96"/>
        <v>03/02/2024</v>
      </c>
      <c r="BC159" s="33">
        <f t="shared" si="96"/>
        <v>60580</v>
      </c>
      <c r="BD159" s="4" t="str">
        <f t="shared" si="96"/>
        <v>A4</v>
      </c>
      <c r="BE159">
        <f t="shared" si="120"/>
        <v>60371.75</v>
      </c>
      <c r="BF159">
        <f t="shared" si="121"/>
        <v>60226.75</v>
      </c>
      <c r="BG159">
        <f t="shared" si="122"/>
        <v>60444.25</v>
      </c>
      <c r="BH159">
        <f t="shared" si="123"/>
        <v>60154.25</v>
      </c>
      <c r="BI159">
        <f t="shared" si="124"/>
        <v>60335.5</v>
      </c>
      <c r="BJ159">
        <f t="shared" si="125"/>
        <v>60263</v>
      </c>
      <c r="BK159" s="38">
        <f t="shared" si="126"/>
        <v>60589.25</v>
      </c>
      <c r="BL159">
        <f t="shared" si="127"/>
        <v>60009.25</v>
      </c>
      <c r="BM159">
        <f t="shared" si="128"/>
        <v>60323.416666666672</v>
      </c>
      <c r="BN159">
        <f t="shared" si="129"/>
        <v>60275.083333333328</v>
      </c>
      <c r="BO159">
        <f t="shared" si="130"/>
        <v>60734.25</v>
      </c>
      <c r="BP159">
        <f t="shared" si="131"/>
        <v>59864.25</v>
      </c>
      <c r="BQ159" s="7">
        <f>BK159</f>
        <v>60589.25</v>
      </c>
      <c r="BS159" s="30">
        <f t="shared" si="97"/>
        <v>60580</v>
      </c>
      <c r="BT159" s="4">
        <f t="shared" si="98"/>
        <v>60589.25</v>
      </c>
      <c r="BU159" s="37">
        <f t="shared" si="99"/>
        <v>-9.25</v>
      </c>
      <c r="BV159">
        <f t="shared" si="100"/>
        <v>9.25</v>
      </c>
      <c r="BW159" s="35">
        <f t="shared" si="101"/>
        <v>1.5269065698250248E-4</v>
      </c>
    </row>
    <row r="160" spans="1:75">
      <c r="A160" s="1" t="s">
        <v>161</v>
      </c>
      <c r="B160" s="1">
        <v>65900</v>
      </c>
      <c r="Q160">
        <v>157</v>
      </c>
      <c r="R160" s="27" t="str">
        <f t="shared" si="92"/>
        <v>04/02/2024</v>
      </c>
      <c r="S160" s="27">
        <f t="shared" si="92"/>
        <v>61560</v>
      </c>
      <c r="T160" s="4" t="str">
        <f t="shared" si="93"/>
        <v>A4</v>
      </c>
      <c r="V160">
        <v>157</v>
      </c>
      <c r="W160" s="28" t="str">
        <f t="shared" si="91"/>
        <v>04/02/2024</v>
      </c>
      <c r="X160" s="28">
        <f t="shared" si="91"/>
        <v>61560</v>
      </c>
      <c r="Y160" s="28" t="str">
        <f t="shared" si="91"/>
        <v>A4</v>
      </c>
      <c r="Z160" s="5" t="str">
        <f t="shared" si="102"/>
        <v>A4</v>
      </c>
      <c r="AA160" s="5" t="str">
        <f t="shared" si="103"/>
        <v>A4</v>
      </c>
      <c r="AG160" s="29" t="str">
        <f t="shared" si="94"/>
        <v>04/02/2024</v>
      </c>
      <c r="AH160" s="30">
        <f t="shared" si="94"/>
        <v>61560</v>
      </c>
      <c r="AI160" s="4" t="str">
        <f t="shared" si="95"/>
        <v>A4</v>
      </c>
      <c r="AJ160" s="5" t="str">
        <f t="shared" si="104"/>
        <v>A4</v>
      </c>
      <c r="AK160">
        <f t="shared" si="105"/>
        <v>61798.5</v>
      </c>
      <c r="AL160" t="str">
        <f t="shared" si="106"/>
        <v>A4</v>
      </c>
      <c r="AM160">
        <f t="shared" si="107"/>
        <v>61798.5</v>
      </c>
      <c r="AN160" s="6">
        <f t="shared" si="108"/>
        <v>1270</v>
      </c>
      <c r="AO160">
        <f t="shared" si="109"/>
        <v>61215</v>
      </c>
      <c r="AP160">
        <f t="shared" si="132"/>
        <v>59945</v>
      </c>
      <c r="AQ160" s="33">
        <f t="shared" si="110"/>
        <v>61850</v>
      </c>
      <c r="AR160" s="33">
        <f t="shared" si="111"/>
        <v>59310</v>
      </c>
      <c r="AS160">
        <f t="shared" si="112"/>
        <v>60897.5</v>
      </c>
      <c r="AT160" s="5">
        <f t="shared" si="113"/>
        <v>60262.5</v>
      </c>
      <c r="AU160" s="5">
        <f t="shared" si="114"/>
        <v>63120</v>
      </c>
      <c r="AV160" s="5">
        <f t="shared" si="115"/>
        <v>58040</v>
      </c>
      <c r="AW160" s="5">
        <f t="shared" si="116"/>
        <v>60791.666666666664</v>
      </c>
      <c r="AX160" s="5">
        <f t="shared" si="117"/>
        <v>60368.333333333336</v>
      </c>
      <c r="AY160" s="5">
        <f t="shared" si="118"/>
        <v>64390</v>
      </c>
      <c r="AZ160" s="5">
        <f t="shared" si="119"/>
        <v>56770</v>
      </c>
      <c r="BB160" s="32" t="str">
        <f t="shared" si="96"/>
        <v>04/02/2024</v>
      </c>
      <c r="BC160" s="33">
        <f t="shared" si="96"/>
        <v>61560</v>
      </c>
      <c r="BD160" s="4" t="str">
        <f t="shared" si="96"/>
        <v>A4</v>
      </c>
      <c r="BE160" s="38">
        <f t="shared" si="120"/>
        <v>61506.75</v>
      </c>
      <c r="BF160">
        <f t="shared" si="121"/>
        <v>60871.75</v>
      </c>
      <c r="BG160">
        <f t="shared" si="122"/>
        <v>61824.25</v>
      </c>
      <c r="BH160">
        <f t="shared" si="123"/>
        <v>60554.25</v>
      </c>
      <c r="BI160">
        <f t="shared" si="124"/>
        <v>61348</v>
      </c>
      <c r="BJ160">
        <f t="shared" si="125"/>
        <v>61030.5</v>
      </c>
      <c r="BK160">
        <f t="shared" si="126"/>
        <v>62459.25</v>
      </c>
      <c r="BL160">
        <f t="shared" si="127"/>
        <v>59919.25</v>
      </c>
      <c r="BM160">
        <f t="shared" si="128"/>
        <v>61295.083333333328</v>
      </c>
      <c r="BN160">
        <f t="shared" si="129"/>
        <v>61083.416666666672</v>
      </c>
      <c r="BO160">
        <f t="shared" si="130"/>
        <v>63094.25</v>
      </c>
      <c r="BP160">
        <f t="shared" si="131"/>
        <v>59284.25</v>
      </c>
      <c r="BQ160" s="7">
        <f>BE160</f>
        <v>61506.75</v>
      </c>
      <c r="BS160" s="30">
        <f t="shared" si="97"/>
        <v>61560</v>
      </c>
      <c r="BT160" s="4">
        <f t="shared" si="98"/>
        <v>61506.75</v>
      </c>
      <c r="BU160" s="37">
        <f t="shared" si="99"/>
        <v>53.25</v>
      </c>
      <c r="BV160">
        <f t="shared" si="100"/>
        <v>53.25</v>
      </c>
      <c r="BW160" s="35">
        <f t="shared" si="101"/>
        <v>8.65009746588694E-4</v>
      </c>
    </row>
    <row r="161" spans="1:75">
      <c r="A161" s="1" t="s">
        <v>162</v>
      </c>
      <c r="B161" s="1">
        <v>66070</v>
      </c>
      <c r="Q161">
        <v>158</v>
      </c>
      <c r="R161" s="27" t="str">
        <f t="shared" si="92"/>
        <v>05/02/2024</v>
      </c>
      <c r="S161" s="27">
        <f t="shared" si="92"/>
        <v>65410</v>
      </c>
      <c r="T161" s="4" t="str">
        <f t="shared" si="93"/>
        <v>A5</v>
      </c>
      <c r="V161">
        <v>158</v>
      </c>
      <c r="W161" s="28" t="str">
        <f t="shared" si="91"/>
        <v>05/02/2024</v>
      </c>
      <c r="X161" s="28">
        <f t="shared" si="91"/>
        <v>65410</v>
      </c>
      <c r="Y161" s="28" t="str">
        <f t="shared" si="91"/>
        <v>A5</v>
      </c>
      <c r="Z161" s="5" t="str">
        <f t="shared" si="102"/>
        <v>A4</v>
      </c>
      <c r="AA161" s="5" t="str">
        <f t="shared" si="103"/>
        <v>A4</v>
      </c>
      <c r="AG161" s="29" t="str">
        <f t="shared" si="94"/>
        <v>05/02/2024</v>
      </c>
      <c r="AH161" s="30">
        <f t="shared" si="94"/>
        <v>65410</v>
      </c>
      <c r="AI161" s="4" t="str">
        <f t="shared" si="95"/>
        <v>A5</v>
      </c>
      <c r="AJ161" s="5" t="str">
        <f t="shared" si="104"/>
        <v>A4</v>
      </c>
      <c r="AK161">
        <f t="shared" si="105"/>
        <v>61798.5</v>
      </c>
      <c r="AL161" t="str">
        <f t="shared" si="106"/>
        <v>A4</v>
      </c>
      <c r="AM161">
        <f t="shared" si="107"/>
        <v>61798.5</v>
      </c>
      <c r="AN161" s="6">
        <f t="shared" si="108"/>
        <v>800</v>
      </c>
      <c r="AO161">
        <f t="shared" si="109"/>
        <v>61960</v>
      </c>
      <c r="AP161">
        <f t="shared" si="132"/>
        <v>61160</v>
      </c>
      <c r="AQ161" s="33">
        <f t="shared" si="110"/>
        <v>62360</v>
      </c>
      <c r="AR161" s="33">
        <f t="shared" si="111"/>
        <v>60760</v>
      </c>
      <c r="AS161">
        <f t="shared" si="112"/>
        <v>61760</v>
      </c>
      <c r="AT161" s="5">
        <f t="shared" si="113"/>
        <v>61360</v>
      </c>
      <c r="AU161" s="5">
        <f t="shared" si="114"/>
        <v>63160</v>
      </c>
      <c r="AV161" s="5">
        <f t="shared" si="115"/>
        <v>59960</v>
      </c>
      <c r="AW161" s="5">
        <f t="shared" si="116"/>
        <v>61693.333333333336</v>
      </c>
      <c r="AX161" s="5">
        <f t="shared" si="117"/>
        <v>61426.666666666664</v>
      </c>
      <c r="AY161" s="5">
        <f t="shared" si="118"/>
        <v>63960</v>
      </c>
      <c r="AZ161" s="5">
        <f t="shared" si="119"/>
        <v>59160</v>
      </c>
      <c r="BB161" s="32" t="str">
        <f t="shared" si="96"/>
        <v>05/02/2024</v>
      </c>
      <c r="BC161" s="33">
        <f t="shared" si="96"/>
        <v>65410</v>
      </c>
      <c r="BD161" s="4" t="str">
        <f t="shared" si="96"/>
        <v>A5</v>
      </c>
      <c r="BE161">
        <f t="shared" si="120"/>
        <v>61879.25</v>
      </c>
      <c r="BF161">
        <f t="shared" si="121"/>
        <v>61479.25</v>
      </c>
      <c r="BG161">
        <f t="shared" si="122"/>
        <v>62079.25</v>
      </c>
      <c r="BH161">
        <f t="shared" si="123"/>
        <v>61279.25</v>
      </c>
      <c r="BI161">
        <f t="shared" si="124"/>
        <v>61779.25</v>
      </c>
      <c r="BJ161">
        <f t="shared" si="125"/>
        <v>61579.25</v>
      </c>
      <c r="BK161">
        <f t="shared" si="126"/>
        <v>62479.25</v>
      </c>
      <c r="BL161">
        <f t="shared" si="127"/>
        <v>60879.25</v>
      </c>
      <c r="BM161">
        <f t="shared" si="128"/>
        <v>61745.916666666672</v>
      </c>
      <c r="BN161">
        <f t="shared" si="129"/>
        <v>61612.583333333328</v>
      </c>
      <c r="BO161" s="38">
        <f t="shared" si="130"/>
        <v>62879.25</v>
      </c>
      <c r="BP161">
        <f t="shared" si="131"/>
        <v>60479.25</v>
      </c>
      <c r="BQ161" s="7">
        <f>BO161</f>
        <v>62879.25</v>
      </c>
      <c r="BS161" s="30">
        <f t="shared" si="97"/>
        <v>65410</v>
      </c>
      <c r="BT161" s="4">
        <f t="shared" si="98"/>
        <v>62879.25</v>
      </c>
      <c r="BU161" s="37">
        <f t="shared" si="99"/>
        <v>2530.75</v>
      </c>
      <c r="BV161">
        <f t="shared" si="100"/>
        <v>2530.75</v>
      </c>
      <c r="BW161" s="35">
        <f t="shared" si="101"/>
        <v>3.8690567191560922E-2</v>
      </c>
    </row>
    <row r="162" spans="1:75">
      <c r="A162" s="1" t="s">
        <v>163</v>
      </c>
      <c r="B162" s="1">
        <v>68160</v>
      </c>
      <c r="Q162">
        <v>159</v>
      </c>
      <c r="R162" s="27" t="str">
        <f t="shared" si="92"/>
        <v>06/02/2024</v>
      </c>
      <c r="S162" s="27">
        <f t="shared" si="92"/>
        <v>65900</v>
      </c>
      <c r="T162" s="4" t="str">
        <f t="shared" si="93"/>
        <v>A5</v>
      </c>
      <c r="V162">
        <v>159</v>
      </c>
      <c r="W162" s="28" t="str">
        <f t="shared" si="91"/>
        <v>06/02/2024</v>
      </c>
      <c r="X162" s="28">
        <f t="shared" si="91"/>
        <v>65900</v>
      </c>
      <c r="Y162" s="28" t="str">
        <f t="shared" si="91"/>
        <v>A5</v>
      </c>
      <c r="Z162" s="5" t="str">
        <f t="shared" si="102"/>
        <v>A4</v>
      </c>
      <c r="AA162" s="5" t="str">
        <f t="shared" si="103"/>
        <v>A5</v>
      </c>
      <c r="AG162" s="29" t="str">
        <f t="shared" si="94"/>
        <v>06/02/2024</v>
      </c>
      <c r="AH162" s="30">
        <f t="shared" si="94"/>
        <v>65900</v>
      </c>
      <c r="AI162" s="4" t="str">
        <f t="shared" si="95"/>
        <v>A5</v>
      </c>
      <c r="AJ162" s="5" t="str">
        <f t="shared" si="104"/>
        <v>A4</v>
      </c>
      <c r="AK162">
        <f t="shared" si="105"/>
        <v>61798.5</v>
      </c>
      <c r="AL162" t="str">
        <f t="shared" si="106"/>
        <v>A5</v>
      </c>
      <c r="AM162">
        <f t="shared" si="107"/>
        <v>67829.5</v>
      </c>
      <c r="AN162" s="6">
        <f t="shared" si="108"/>
        <v>2870</v>
      </c>
      <c r="AO162">
        <f t="shared" si="109"/>
        <v>66845</v>
      </c>
      <c r="AP162">
        <f t="shared" si="132"/>
        <v>63975</v>
      </c>
      <c r="AQ162" s="33">
        <f t="shared" si="110"/>
        <v>68280</v>
      </c>
      <c r="AR162" s="33">
        <f t="shared" si="111"/>
        <v>62540</v>
      </c>
      <c r="AS162">
        <f t="shared" si="112"/>
        <v>66127.5</v>
      </c>
      <c r="AT162" s="5">
        <f t="shared" si="113"/>
        <v>64692.5</v>
      </c>
      <c r="AU162" s="5">
        <f t="shared" si="114"/>
        <v>71150</v>
      </c>
      <c r="AV162" s="5">
        <f t="shared" si="115"/>
        <v>59670</v>
      </c>
      <c r="AW162" s="5">
        <f t="shared" si="116"/>
        <v>65888.333333333328</v>
      </c>
      <c r="AX162" s="5">
        <f t="shared" si="117"/>
        <v>64931.666666666664</v>
      </c>
      <c r="AY162" s="5">
        <f t="shared" si="118"/>
        <v>74020</v>
      </c>
      <c r="AZ162" s="5">
        <f t="shared" si="119"/>
        <v>56800</v>
      </c>
      <c r="BB162" s="32" t="str">
        <f t="shared" si="96"/>
        <v>06/02/2024</v>
      </c>
      <c r="BC162" s="33">
        <f t="shared" si="96"/>
        <v>65900</v>
      </c>
      <c r="BD162" s="4" t="str">
        <f t="shared" si="96"/>
        <v>A5</v>
      </c>
      <c r="BE162">
        <f t="shared" si="120"/>
        <v>67337.25</v>
      </c>
      <c r="BF162" s="38">
        <f t="shared" si="121"/>
        <v>65902.25</v>
      </c>
      <c r="BG162">
        <f t="shared" si="122"/>
        <v>68054.75</v>
      </c>
      <c r="BH162">
        <f t="shared" si="123"/>
        <v>65184.75</v>
      </c>
      <c r="BI162">
        <f t="shared" si="124"/>
        <v>66978.5</v>
      </c>
      <c r="BJ162">
        <f t="shared" si="125"/>
        <v>66261</v>
      </c>
      <c r="BK162">
        <f t="shared" si="126"/>
        <v>69489.75</v>
      </c>
      <c r="BL162">
        <f t="shared" si="127"/>
        <v>63749.75</v>
      </c>
      <c r="BM162">
        <f t="shared" si="128"/>
        <v>66858.916666666657</v>
      </c>
      <c r="BN162">
        <f t="shared" si="129"/>
        <v>66380.583333333328</v>
      </c>
      <c r="BO162">
        <f t="shared" si="130"/>
        <v>70924.75</v>
      </c>
      <c r="BP162">
        <f t="shared" si="131"/>
        <v>62314.75</v>
      </c>
      <c r="BQ162" s="7">
        <f>BF162</f>
        <v>65902.25</v>
      </c>
      <c r="BS162" s="30">
        <f t="shared" si="97"/>
        <v>65900</v>
      </c>
      <c r="BT162" s="4">
        <f t="shared" si="98"/>
        <v>65902.25</v>
      </c>
      <c r="BU162" s="37">
        <f t="shared" si="99"/>
        <v>-2.25</v>
      </c>
      <c r="BV162">
        <f t="shared" si="100"/>
        <v>2.25</v>
      </c>
      <c r="BW162" s="35">
        <f t="shared" si="101"/>
        <v>3.4142640364188162E-5</v>
      </c>
    </row>
    <row r="163" spans="1:75">
      <c r="A163" s="1" t="s">
        <v>164</v>
      </c>
      <c r="B163" s="1">
        <v>72200</v>
      </c>
      <c r="Q163">
        <v>160</v>
      </c>
      <c r="R163" s="27" t="str">
        <f t="shared" si="92"/>
        <v>07/02/2024</v>
      </c>
      <c r="S163" s="27">
        <f t="shared" si="92"/>
        <v>66070</v>
      </c>
      <c r="T163" s="4" t="str">
        <f t="shared" si="93"/>
        <v>A5</v>
      </c>
      <c r="V163">
        <v>160</v>
      </c>
      <c r="W163" s="28" t="str">
        <f t="shared" si="91"/>
        <v>07/02/2024</v>
      </c>
      <c r="X163" s="28">
        <f t="shared" si="91"/>
        <v>66070</v>
      </c>
      <c r="Y163" s="28" t="str">
        <f t="shared" si="91"/>
        <v>A5</v>
      </c>
      <c r="Z163" s="5" t="str">
        <f t="shared" si="102"/>
        <v>A5</v>
      </c>
      <c r="AA163" s="5" t="str">
        <f t="shared" si="103"/>
        <v>A5</v>
      </c>
      <c r="AG163" s="29" t="str">
        <f t="shared" si="94"/>
        <v>07/02/2024</v>
      </c>
      <c r="AH163" s="30">
        <f t="shared" si="94"/>
        <v>66070</v>
      </c>
      <c r="AI163" s="4" t="str">
        <f t="shared" si="95"/>
        <v>A5</v>
      </c>
      <c r="AJ163" s="5" t="str">
        <f t="shared" si="104"/>
        <v>A5</v>
      </c>
      <c r="AK163">
        <f t="shared" si="105"/>
        <v>67829.5</v>
      </c>
      <c r="AL163" t="str">
        <f t="shared" si="106"/>
        <v>A5</v>
      </c>
      <c r="AM163">
        <f t="shared" si="107"/>
        <v>67829.5</v>
      </c>
      <c r="AN163" s="6">
        <f t="shared" si="108"/>
        <v>3360</v>
      </c>
      <c r="AO163">
        <f t="shared" si="109"/>
        <v>67580</v>
      </c>
      <c r="AP163">
        <f t="shared" si="132"/>
        <v>64220</v>
      </c>
      <c r="AQ163" s="33">
        <f t="shared" si="110"/>
        <v>69260</v>
      </c>
      <c r="AR163" s="33">
        <f t="shared" si="111"/>
        <v>62540</v>
      </c>
      <c r="AS163">
        <f t="shared" si="112"/>
        <v>66740</v>
      </c>
      <c r="AT163" s="5">
        <f t="shared" si="113"/>
        <v>65060</v>
      </c>
      <c r="AU163" s="5">
        <f t="shared" si="114"/>
        <v>72620</v>
      </c>
      <c r="AV163" s="5">
        <f t="shared" si="115"/>
        <v>59180</v>
      </c>
      <c r="AW163" s="5">
        <f t="shared" si="116"/>
        <v>66460</v>
      </c>
      <c r="AX163" s="5">
        <f t="shared" si="117"/>
        <v>65340</v>
      </c>
      <c r="AY163" s="5">
        <f t="shared" si="118"/>
        <v>75980</v>
      </c>
      <c r="AZ163" s="5">
        <f t="shared" si="119"/>
        <v>55820</v>
      </c>
      <c r="BB163" s="32" t="str">
        <f t="shared" si="96"/>
        <v>07/02/2024</v>
      </c>
      <c r="BC163" s="33">
        <f t="shared" si="96"/>
        <v>66070</v>
      </c>
      <c r="BD163" s="4" t="str">
        <f t="shared" si="96"/>
        <v>A5</v>
      </c>
      <c r="BE163">
        <f t="shared" si="120"/>
        <v>67704.75</v>
      </c>
      <c r="BF163" s="38">
        <f t="shared" si="121"/>
        <v>66024.75</v>
      </c>
      <c r="BG163">
        <f t="shared" si="122"/>
        <v>68544.75</v>
      </c>
      <c r="BH163">
        <f t="shared" si="123"/>
        <v>65184.75</v>
      </c>
      <c r="BI163">
        <f t="shared" si="124"/>
        <v>67284.75</v>
      </c>
      <c r="BJ163">
        <f t="shared" si="125"/>
        <v>66444.75</v>
      </c>
      <c r="BK163">
        <f t="shared" si="126"/>
        <v>70224.75</v>
      </c>
      <c r="BL163">
        <f t="shared" si="127"/>
        <v>63504.75</v>
      </c>
      <c r="BM163">
        <f t="shared" si="128"/>
        <v>67144.75</v>
      </c>
      <c r="BN163">
        <f t="shared" si="129"/>
        <v>66584.75</v>
      </c>
      <c r="BO163">
        <f t="shared" si="130"/>
        <v>71904.75</v>
      </c>
      <c r="BP163">
        <f t="shared" si="131"/>
        <v>61824.75</v>
      </c>
      <c r="BQ163" s="7">
        <f>BF163</f>
        <v>66024.75</v>
      </c>
      <c r="BS163" s="30">
        <f t="shared" si="97"/>
        <v>66070</v>
      </c>
      <c r="BT163" s="4">
        <f t="shared" si="98"/>
        <v>66024.75</v>
      </c>
      <c r="BU163" s="37">
        <f t="shared" si="99"/>
        <v>45.25</v>
      </c>
      <c r="BV163">
        <f t="shared" si="100"/>
        <v>45.25</v>
      </c>
      <c r="BW163" s="35">
        <f t="shared" si="101"/>
        <v>6.8487967307401243E-4</v>
      </c>
    </row>
    <row r="164" spans="1:75">
      <c r="A164" s="1" t="s">
        <v>165</v>
      </c>
      <c r="B164" s="1">
        <v>71770</v>
      </c>
      <c r="Q164">
        <v>161</v>
      </c>
      <c r="R164" s="27" t="str">
        <f t="shared" si="92"/>
        <v>08/02/2024</v>
      </c>
      <c r="S164" s="27">
        <f t="shared" si="92"/>
        <v>68160</v>
      </c>
      <c r="T164" s="4" t="str">
        <f t="shared" si="93"/>
        <v>A5</v>
      </c>
      <c r="V164">
        <v>161</v>
      </c>
      <c r="W164" s="28" t="str">
        <f t="shared" si="91"/>
        <v>08/02/2024</v>
      </c>
      <c r="X164" s="28">
        <f t="shared" si="91"/>
        <v>68160</v>
      </c>
      <c r="Y164" s="28" t="str">
        <f t="shared" si="91"/>
        <v>A5</v>
      </c>
      <c r="Z164" s="5" t="str">
        <f t="shared" si="102"/>
        <v>A5</v>
      </c>
      <c r="AA164" s="5" t="str">
        <f t="shared" si="103"/>
        <v>A5</v>
      </c>
      <c r="AG164" s="29" t="str">
        <f t="shared" si="94"/>
        <v>08/02/2024</v>
      </c>
      <c r="AH164" s="30">
        <f t="shared" si="94"/>
        <v>68160</v>
      </c>
      <c r="AI164" s="4" t="str">
        <f t="shared" si="95"/>
        <v>A5</v>
      </c>
      <c r="AJ164" s="5" t="str">
        <f t="shared" si="104"/>
        <v>A5</v>
      </c>
      <c r="AK164">
        <f t="shared" si="105"/>
        <v>67829.5</v>
      </c>
      <c r="AL164" t="str">
        <f t="shared" si="106"/>
        <v>A5</v>
      </c>
      <c r="AM164">
        <f t="shared" si="107"/>
        <v>67829.5</v>
      </c>
      <c r="AN164" s="6">
        <f t="shared" si="108"/>
        <v>320</v>
      </c>
      <c r="AO164">
        <f t="shared" si="109"/>
        <v>66230</v>
      </c>
      <c r="AP164">
        <f t="shared" si="132"/>
        <v>65910</v>
      </c>
      <c r="AQ164" s="33">
        <f t="shared" si="110"/>
        <v>66390</v>
      </c>
      <c r="AR164" s="33">
        <f t="shared" si="111"/>
        <v>65750</v>
      </c>
      <c r="AS164">
        <f t="shared" si="112"/>
        <v>66150</v>
      </c>
      <c r="AT164" s="5">
        <f t="shared" si="113"/>
        <v>65990</v>
      </c>
      <c r="AU164" s="5">
        <f t="shared" si="114"/>
        <v>66710</v>
      </c>
      <c r="AV164" s="5">
        <f t="shared" si="115"/>
        <v>65430</v>
      </c>
      <c r="AW164" s="5">
        <f t="shared" si="116"/>
        <v>66123.333333333328</v>
      </c>
      <c r="AX164" s="5">
        <f t="shared" si="117"/>
        <v>66016.666666666672</v>
      </c>
      <c r="AY164" s="5">
        <f t="shared" si="118"/>
        <v>67030</v>
      </c>
      <c r="AZ164" s="5">
        <f t="shared" si="119"/>
        <v>65110</v>
      </c>
      <c r="BB164" s="32" t="str">
        <f t="shared" si="96"/>
        <v>08/02/2024</v>
      </c>
      <c r="BC164" s="33">
        <f t="shared" si="96"/>
        <v>68160</v>
      </c>
      <c r="BD164" s="4" t="str">
        <f t="shared" si="96"/>
        <v>A5</v>
      </c>
      <c r="BE164">
        <f t="shared" si="120"/>
        <v>67029.75</v>
      </c>
      <c r="BF164">
        <f t="shared" si="121"/>
        <v>66869.75</v>
      </c>
      <c r="BG164">
        <f t="shared" si="122"/>
        <v>67109.75</v>
      </c>
      <c r="BH164">
        <f t="shared" si="123"/>
        <v>66789.75</v>
      </c>
      <c r="BI164">
        <f t="shared" si="124"/>
        <v>66989.75</v>
      </c>
      <c r="BJ164">
        <f t="shared" si="125"/>
        <v>66909.75</v>
      </c>
      <c r="BK164">
        <f t="shared" si="126"/>
        <v>67269.75</v>
      </c>
      <c r="BL164">
        <f t="shared" si="127"/>
        <v>66629.75</v>
      </c>
      <c r="BM164">
        <f t="shared" si="128"/>
        <v>66976.416666666657</v>
      </c>
      <c r="BN164">
        <f t="shared" si="129"/>
        <v>66923.083333333343</v>
      </c>
      <c r="BO164" s="38">
        <f t="shared" si="130"/>
        <v>67429.75</v>
      </c>
      <c r="BP164">
        <f t="shared" si="131"/>
        <v>66469.75</v>
      </c>
      <c r="BQ164" s="7">
        <f>BO164</f>
        <v>67429.75</v>
      </c>
      <c r="BS164" s="30">
        <f t="shared" si="97"/>
        <v>68160</v>
      </c>
      <c r="BT164" s="4">
        <f t="shared" si="98"/>
        <v>67429.75</v>
      </c>
      <c r="BU164" s="37">
        <f t="shared" si="99"/>
        <v>730.25</v>
      </c>
      <c r="BV164">
        <f t="shared" si="100"/>
        <v>730.25</v>
      </c>
      <c r="BW164" s="35">
        <f t="shared" si="101"/>
        <v>1.0713761737089203E-2</v>
      </c>
    </row>
    <row r="165" spans="1:75">
      <c r="A165" s="1" t="s">
        <v>166</v>
      </c>
      <c r="B165" s="1">
        <v>72720</v>
      </c>
      <c r="Q165">
        <v>162</v>
      </c>
      <c r="R165" s="27" t="str">
        <f t="shared" si="92"/>
        <v>09/02/2024</v>
      </c>
      <c r="S165" s="27">
        <f t="shared" si="92"/>
        <v>72200</v>
      </c>
      <c r="T165" s="4" t="str">
        <f t="shared" si="93"/>
        <v>A6</v>
      </c>
      <c r="V165">
        <v>162</v>
      </c>
      <c r="W165" s="28" t="str">
        <f t="shared" si="91"/>
        <v>09/02/2024</v>
      </c>
      <c r="X165" s="28">
        <f t="shared" si="91"/>
        <v>72200</v>
      </c>
      <c r="Y165" s="28" t="str">
        <f t="shared" si="91"/>
        <v>A6</v>
      </c>
      <c r="Z165" s="5" t="str">
        <f t="shared" si="102"/>
        <v>A5</v>
      </c>
      <c r="AA165" s="5" t="str">
        <f t="shared" si="103"/>
        <v>A5</v>
      </c>
      <c r="AG165" s="29" t="str">
        <f t="shared" si="94"/>
        <v>09/02/2024</v>
      </c>
      <c r="AH165" s="30">
        <f t="shared" si="94"/>
        <v>72200</v>
      </c>
      <c r="AI165" s="4" t="str">
        <f t="shared" si="95"/>
        <v>A6</v>
      </c>
      <c r="AJ165" s="5" t="str">
        <f t="shared" si="104"/>
        <v>A5</v>
      </c>
      <c r="AK165">
        <f t="shared" si="105"/>
        <v>67829.5</v>
      </c>
      <c r="AL165" t="str">
        <f t="shared" si="106"/>
        <v>A5</v>
      </c>
      <c r="AM165">
        <f t="shared" si="107"/>
        <v>67829.5</v>
      </c>
      <c r="AN165" s="6">
        <f t="shared" si="108"/>
        <v>1920</v>
      </c>
      <c r="AO165">
        <f t="shared" si="109"/>
        <v>69120</v>
      </c>
      <c r="AP165">
        <f t="shared" si="132"/>
        <v>67200</v>
      </c>
      <c r="AQ165" s="33">
        <f t="shared" si="110"/>
        <v>70080</v>
      </c>
      <c r="AR165" s="33">
        <f t="shared" si="111"/>
        <v>66240</v>
      </c>
      <c r="AS165">
        <f t="shared" si="112"/>
        <v>68640</v>
      </c>
      <c r="AT165" s="5">
        <f t="shared" si="113"/>
        <v>67680</v>
      </c>
      <c r="AU165" s="5">
        <f t="shared" si="114"/>
        <v>72000</v>
      </c>
      <c r="AV165" s="5">
        <f t="shared" si="115"/>
        <v>64320</v>
      </c>
      <c r="AW165" s="5">
        <f t="shared" si="116"/>
        <v>68480</v>
      </c>
      <c r="AX165" s="5">
        <f t="shared" si="117"/>
        <v>67840</v>
      </c>
      <c r="AY165" s="5">
        <f t="shared" si="118"/>
        <v>73920</v>
      </c>
      <c r="AZ165" s="5">
        <f t="shared" si="119"/>
        <v>62400</v>
      </c>
      <c r="BB165" s="32" t="str">
        <f t="shared" si="96"/>
        <v>09/02/2024</v>
      </c>
      <c r="BC165" s="33">
        <f t="shared" si="96"/>
        <v>72200</v>
      </c>
      <c r="BD165" s="4" t="str">
        <f t="shared" si="96"/>
        <v>A6</v>
      </c>
      <c r="BE165">
        <f t="shared" si="120"/>
        <v>68474.75</v>
      </c>
      <c r="BF165">
        <f t="shared" si="121"/>
        <v>67514.75</v>
      </c>
      <c r="BG165">
        <f t="shared" si="122"/>
        <v>68954.75</v>
      </c>
      <c r="BH165">
        <f t="shared" si="123"/>
        <v>67034.75</v>
      </c>
      <c r="BI165">
        <f t="shared" si="124"/>
        <v>68234.75</v>
      </c>
      <c r="BJ165">
        <f t="shared" si="125"/>
        <v>67754.75</v>
      </c>
      <c r="BK165">
        <f t="shared" si="126"/>
        <v>69914.75</v>
      </c>
      <c r="BL165">
        <f t="shared" si="127"/>
        <v>66074.75</v>
      </c>
      <c r="BM165">
        <f t="shared" si="128"/>
        <v>68154.75</v>
      </c>
      <c r="BN165">
        <f t="shared" si="129"/>
        <v>67834.75</v>
      </c>
      <c r="BO165" s="38">
        <f t="shared" si="130"/>
        <v>70874.75</v>
      </c>
      <c r="BP165">
        <f t="shared" si="131"/>
        <v>65114.75</v>
      </c>
      <c r="BQ165" s="7">
        <f>BO165</f>
        <v>70874.75</v>
      </c>
      <c r="BS165" s="30">
        <f t="shared" si="97"/>
        <v>72200</v>
      </c>
      <c r="BT165" s="4">
        <f t="shared" si="98"/>
        <v>70874.75</v>
      </c>
      <c r="BU165" s="37">
        <f t="shared" si="99"/>
        <v>1325.25</v>
      </c>
      <c r="BV165">
        <f t="shared" si="100"/>
        <v>1325.25</v>
      </c>
      <c r="BW165" s="35">
        <f t="shared" si="101"/>
        <v>1.8355263157894736E-2</v>
      </c>
    </row>
    <row r="166" spans="1:75">
      <c r="A166" s="1" t="s">
        <v>167</v>
      </c>
      <c r="B166" s="1">
        <v>75240</v>
      </c>
      <c r="Q166">
        <v>163</v>
      </c>
      <c r="R166" s="27" t="str">
        <f t="shared" si="92"/>
        <v>10/02/2024</v>
      </c>
      <c r="S166" s="27">
        <f t="shared" si="92"/>
        <v>71770</v>
      </c>
      <c r="T166" s="4" t="str">
        <f t="shared" si="93"/>
        <v>A6</v>
      </c>
      <c r="V166">
        <v>163</v>
      </c>
      <c r="W166" s="28" t="str">
        <f t="shared" si="91"/>
        <v>10/02/2024</v>
      </c>
      <c r="X166" s="28">
        <f t="shared" si="91"/>
        <v>71770</v>
      </c>
      <c r="Y166" s="28" t="str">
        <f t="shared" si="91"/>
        <v>A6</v>
      </c>
      <c r="Z166" s="5" t="str">
        <f t="shared" si="102"/>
        <v>A5</v>
      </c>
      <c r="AA166" s="5" t="str">
        <f t="shared" si="103"/>
        <v>A6</v>
      </c>
      <c r="AG166" s="29" t="str">
        <f t="shared" si="94"/>
        <v>10/02/2024</v>
      </c>
      <c r="AH166" s="30">
        <f t="shared" si="94"/>
        <v>71770</v>
      </c>
      <c r="AI166" s="4" t="str">
        <f t="shared" si="95"/>
        <v>A6</v>
      </c>
      <c r="AJ166" s="5" t="str">
        <f t="shared" si="104"/>
        <v>A5</v>
      </c>
      <c r="AK166">
        <f t="shared" si="105"/>
        <v>67829.5</v>
      </c>
      <c r="AL166" t="str">
        <f t="shared" si="106"/>
        <v>A6</v>
      </c>
      <c r="AM166">
        <f t="shared" si="107"/>
        <v>73860.5</v>
      </c>
      <c r="AN166" s="6">
        <f t="shared" si="108"/>
        <v>1950</v>
      </c>
      <c r="AO166">
        <f t="shared" si="109"/>
        <v>73175</v>
      </c>
      <c r="AP166">
        <f t="shared" si="132"/>
        <v>71225</v>
      </c>
      <c r="AQ166" s="33">
        <f t="shared" si="110"/>
        <v>74150</v>
      </c>
      <c r="AR166" s="33">
        <f t="shared" si="111"/>
        <v>70250</v>
      </c>
      <c r="AS166">
        <f t="shared" si="112"/>
        <v>72687.5</v>
      </c>
      <c r="AT166" s="5">
        <f t="shared" si="113"/>
        <v>71712.5</v>
      </c>
      <c r="AU166" s="5">
        <f t="shared" si="114"/>
        <v>76100</v>
      </c>
      <c r="AV166" s="5">
        <f t="shared" si="115"/>
        <v>68300</v>
      </c>
      <c r="AW166" s="5">
        <f t="shared" si="116"/>
        <v>72525</v>
      </c>
      <c r="AX166" s="5">
        <f t="shared" si="117"/>
        <v>71875</v>
      </c>
      <c r="AY166" s="5">
        <f t="shared" si="118"/>
        <v>78050</v>
      </c>
      <c r="AZ166" s="5">
        <f t="shared" si="119"/>
        <v>66350</v>
      </c>
      <c r="BB166" s="32" t="str">
        <f t="shared" si="96"/>
        <v>10/02/2024</v>
      </c>
      <c r="BC166" s="33">
        <f t="shared" si="96"/>
        <v>71770</v>
      </c>
      <c r="BD166" s="4" t="str">
        <f t="shared" si="96"/>
        <v>A6</v>
      </c>
      <c r="BE166">
        <f t="shared" si="120"/>
        <v>73517.75</v>
      </c>
      <c r="BF166">
        <f t="shared" si="121"/>
        <v>72542.75</v>
      </c>
      <c r="BG166">
        <f t="shared" si="122"/>
        <v>74005.25</v>
      </c>
      <c r="BH166" s="38">
        <f t="shared" si="123"/>
        <v>72055.25</v>
      </c>
      <c r="BI166">
        <f t="shared" si="124"/>
        <v>73274</v>
      </c>
      <c r="BJ166">
        <f t="shared" si="125"/>
        <v>72786.5</v>
      </c>
      <c r="BK166">
        <f t="shared" si="126"/>
        <v>74980.25</v>
      </c>
      <c r="BL166">
        <f t="shared" si="127"/>
        <v>71080.25</v>
      </c>
      <c r="BM166">
        <f t="shared" si="128"/>
        <v>73192.75</v>
      </c>
      <c r="BN166">
        <f t="shared" si="129"/>
        <v>72867.75</v>
      </c>
      <c r="BO166">
        <f t="shared" si="130"/>
        <v>75955.25</v>
      </c>
      <c r="BP166">
        <f t="shared" si="131"/>
        <v>70105.25</v>
      </c>
      <c r="BQ166" s="7">
        <f>BH166</f>
        <v>72055.25</v>
      </c>
      <c r="BS166" s="30">
        <f t="shared" si="97"/>
        <v>71770</v>
      </c>
      <c r="BT166" s="4">
        <f t="shared" si="98"/>
        <v>72055.25</v>
      </c>
      <c r="BU166" s="37">
        <f t="shared" si="99"/>
        <v>-285.25</v>
      </c>
      <c r="BV166">
        <f t="shared" si="100"/>
        <v>285.25</v>
      </c>
      <c r="BW166" s="35">
        <f t="shared" si="101"/>
        <v>3.9745018810087782E-3</v>
      </c>
    </row>
    <row r="167" spans="1:75">
      <c r="A167" s="1" t="s">
        <v>168</v>
      </c>
      <c r="B167" s="1">
        <v>77190</v>
      </c>
      <c r="Q167">
        <v>164</v>
      </c>
      <c r="R167" s="27" t="str">
        <f t="shared" si="92"/>
        <v>11/02/2024</v>
      </c>
      <c r="S167" s="27">
        <f t="shared" si="92"/>
        <v>72720</v>
      </c>
      <c r="T167" s="4" t="str">
        <f t="shared" si="93"/>
        <v>A6</v>
      </c>
      <c r="V167">
        <v>164</v>
      </c>
      <c r="W167" s="28" t="str">
        <f t="shared" si="91"/>
        <v>11/02/2024</v>
      </c>
      <c r="X167" s="28">
        <f t="shared" si="91"/>
        <v>72720</v>
      </c>
      <c r="Y167" s="28" t="str">
        <f t="shared" si="91"/>
        <v>A6</v>
      </c>
      <c r="Z167" s="5" t="str">
        <f t="shared" si="102"/>
        <v>A6</v>
      </c>
      <c r="AA167" s="5" t="str">
        <f t="shared" si="103"/>
        <v>A6</v>
      </c>
      <c r="AG167" s="29" t="str">
        <f t="shared" si="94"/>
        <v>11/02/2024</v>
      </c>
      <c r="AH167" s="30">
        <f t="shared" si="94"/>
        <v>72720</v>
      </c>
      <c r="AI167" s="4" t="str">
        <f t="shared" si="95"/>
        <v>A6</v>
      </c>
      <c r="AJ167" s="5" t="str">
        <f t="shared" si="104"/>
        <v>A6</v>
      </c>
      <c r="AK167">
        <f t="shared" si="105"/>
        <v>73860.5</v>
      </c>
      <c r="AL167" t="str">
        <f t="shared" si="106"/>
        <v>A6</v>
      </c>
      <c r="AM167">
        <f t="shared" si="107"/>
        <v>73860.5</v>
      </c>
      <c r="AN167" s="6">
        <f t="shared" si="108"/>
        <v>3610</v>
      </c>
      <c r="AO167">
        <f t="shared" si="109"/>
        <v>73575</v>
      </c>
      <c r="AP167">
        <f t="shared" si="132"/>
        <v>69965</v>
      </c>
      <c r="AQ167" s="33">
        <f t="shared" si="110"/>
        <v>75380</v>
      </c>
      <c r="AR167" s="33">
        <f t="shared" si="111"/>
        <v>68160</v>
      </c>
      <c r="AS167">
        <f t="shared" si="112"/>
        <v>72672.5</v>
      </c>
      <c r="AT167" s="5">
        <f t="shared" si="113"/>
        <v>70867.5</v>
      </c>
      <c r="AU167" s="5">
        <f t="shared" si="114"/>
        <v>78990</v>
      </c>
      <c r="AV167" s="5">
        <f t="shared" si="115"/>
        <v>64550</v>
      </c>
      <c r="AW167" s="5">
        <f t="shared" si="116"/>
        <v>72371.666666666672</v>
      </c>
      <c r="AX167" s="5">
        <f t="shared" si="117"/>
        <v>71168.333333333328</v>
      </c>
      <c r="AY167" s="5">
        <f t="shared" si="118"/>
        <v>82600</v>
      </c>
      <c r="AZ167" s="5">
        <f t="shared" si="119"/>
        <v>60940</v>
      </c>
      <c r="BB167" s="32" t="str">
        <f t="shared" si="96"/>
        <v>11/02/2024</v>
      </c>
      <c r="BC167" s="33">
        <f t="shared" si="96"/>
        <v>72720</v>
      </c>
      <c r="BD167" s="4" t="str">
        <f t="shared" si="96"/>
        <v>A6</v>
      </c>
      <c r="BE167">
        <f t="shared" si="120"/>
        <v>73717.75</v>
      </c>
      <c r="BF167">
        <f t="shared" si="121"/>
        <v>71912.75</v>
      </c>
      <c r="BG167">
        <f t="shared" si="122"/>
        <v>74620.25</v>
      </c>
      <c r="BH167">
        <f t="shared" si="123"/>
        <v>71010.25</v>
      </c>
      <c r="BI167">
        <f t="shared" si="124"/>
        <v>73266.5</v>
      </c>
      <c r="BJ167">
        <f t="shared" si="125"/>
        <v>72364</v>
      </c>
      <c r="BK167">
        <f t="shared" si="126"/>
        <v>76425.25</v>
      </c>
      <c r="BL167">
        <f t="shared" si="127"/>
        <v>69205.25</v>
      </c>
      <c r="BM167">
        <f t="shared" si="128"/>
        <v>73116.083333333343</v>
      </c>
      <c r="BN167" s="38">
        <f t="shared" si="129"/>
        <v>72514.416666666657</v>
      </c>
      <c r="BO167">
        <f t="shared" si="130"/>
        <v>78230.25</v>
      </c>
      <c r="BP167">
        <f t="shared" si="131"/>
        <v>67400.25</v>
      </c>
      <c r="BQ167" s="7">
        <f>BN167</f>
        <v>72514.416666666657</v>
      </c>
      <c r="BS167" s="30">
        <f t="shared" si="97"/>
        <v>72720</v>
      </c>
      <c r="BT167" s="4">
        <f t="shared" si="98"/>
        <v>72514.416666666657</v>
      </c>
      <c r="BU167" s="37">
        <f t="shared" si="99"/>
        <v>205.58333333334303</v>
      </c>
      <c r="BV167">
        <f t="shared" si="100"/>
        <v>205.58333333334303</v>
      </c>
      <c r="BW167" s="35">
        <f t="shared" si="101"/>
        <v>2.8270535386873356E-3</v>
      </c>
    </row>
    <row r="168" spans="1:75">
      <c r="A168" s="1" t="s">
        <v>169</v>
      </c>
      <c r="B168" s="1">
        <v>79680</v>
      </c>
      <c r="Q168">
        <v>165</v>
      </c>
      <c r="R168" s="27" t="str">
        <f t="shared" si="92"/>
        <v>12/02/2024</v>
      </c>
      <c r="S168" s="27">
        <f t="shared" si="92"/>
        <v>75240</v>
      </c>
      <c r="T168" s="4" t="str">
        <f t="shared" si="93"/>
        <v>A6</v>
      </c>
      <c r="V168">
        <v>165</v>
      </c>
      <c r="W168" s="28" t="str">
        <f t="shared" si="91"/>
        <v>12/02/2024</v>
      </c>
      <c r="X168" s="28">
        <f t="shared" si="91"/>
        <v>75240</v>
      </c>
      <c r="Y168" s="28" t="str">
        <f t="shared" si="91"/>
        <v>A6</v>
      </c>
      <c r="Z168" s="5" t="str">
        <f t="shared" si="102"/>
        <v>A6</v>
      </c>
      <c r="AA168" s="5" t="str">
        <f t="shared" si="103"/>
        <v>A6</v>
      </c>
      <c r="AG168" s="29" t="str">
        <f t="shared" si="94"/>
        <v>12/02/2024</v>
      </c>
      <c r="AH168" s="30">
        <f t="shared" si="94"/>
        <v>75240</v>
      </c>
      <c r="AI168" s="4" t="str">
        <f t="shared" si="95"/>
        <v>A6</v>
      </c>
      <c r="AJ168" s="5" t="str">
        <f t="shared" si="104"/>
        <v>A6</v>
      </c>
      <c r="AK168">
        <f t="shared" si="105"/>
        <v>73860.5</v>
      </c>
      <c r="AL168" t="str">
        <f t="shared" si="106"/>
        <v>A6</v>
      </c>
      <c r="AM168">
        <f t="shared" si="107"/>
        <v>73860.5</v>
      </c>
      <c r="AN168" s="6">
        <f t="shared" si="108"/>
        <v>520</v>
      </c>
      <c r="AO168">
        <f t="shared" si="109"/>
        <v>72980</v>
      </c>
      <c r="AP168">
        <f t="shared" si="132"/>
        <v>72460</v>
      </c>
      <c r="AQ168" s="33">
        <f t="shared" si="110"/>
        <v>73240</v>
      </c>
      <c r="AR168" s="33">
        <f t="shared" si="111"/>
        <v>72200</v>
      </c>
      <c r="AS168">
        <f t="shared" si="112"/>
        <v>72850</v>
      </c>
      <c r="AT168" s="5">
        <f t="shared" si="113"/>
        <v>72590</v>
      </c>
      <c r="AU168" s="5">
        <f t="shared" si="114"/>
        <v>73760</v>
      </c>
      <c r="AV168" s="5">
        <f t="shared" si="115"/>
        <v>71680</v>
      </c>
      <c r="AW168" s="5">
        <f t="shared" si="116"/>
        <v>72806.666666666672</v>
      </c>
      <c r="AX168" s="5">
        <f t="shared" si="117"/>
        <v>72633.333333333328</v>
      </c>
      <c r="AY168" s="5">
        <f t="shared" si="118"/>
        <v>74280</v>
      </c>
      <c r="AZ168" s="5">
        <f t="shared" si="119"/>
        <v>71160</v>
      </c>
      <c r="BB168" s="32" t="str">
        <f t="shared" si="96"/>
        <v>12/02/2024</v>
      </c>
      <c r="BC168" s="33">
        <f t="shared" si="96"/>
        <v>75240</v>
      </c>
      <c r="BD168" s="4" t="str">
        <f t="shared" si="96"/>
        <v>A6</v>
      </c>
      <c r="BE168">
        <f t="shared" si="120"/>
        <v>73420.25</v>
      </c>
      <c r="BF168">
        <f t="shared" si="121"/>
        <v>73160.25</v>
      </c>
      <c r="BG168">
        <f t="shared" si="122"/>
        <v>73550.25</v>
      </c>
      <c r="BH168">
        <f t="shared" si="123"/>
        <v>73030.25</v>
      </c>
      <c r="BI168">
        <f t="shared" si="124"/>
        <v>73355.25</v>
      </c>
      <c r="BJ168">
        <f t="shared" si="125"/>
        <v>73225.25</v>
      </c>
      <c r="BK168">
        <f t="shared" si="126"/>
        <v>73810.25</v>
      </c>
      <c r="BL168">
        <f t="shared" si="127"/>
        <v>72770.25</v>
      </c>
      <c r="BM168">
        <f t="shared" si="128"/>
        <v>73333.583333333343</v>
      </c>
      <c r="BN168">
        <f t="shared" si="129"/>
        <v>73246.916666666657</v>
      </c>
      <c r="BO168" s="38">
        <f t="shared" si="130"/>
        <v>74070.25</v>
      </c>
      <c r="BP168">
        <f t="shared" si="131"/>
        <v>72510.25</v>
      </c>
      <c r="BQ168" s="7">
        <f>BO168</f>
        <v>74070.25</v>
      </c>
      <c r="BS168" s="30">
        <f t="shared" si="97"/>
        <v>75240</v>
      </c>
      <c r="BT168" s="4">
        <f t="shared" si="98"/>
        <v>74070.25</v>
      </c>
      <c r="BU168" s="37">
        <f t="shared" si="99"/>
        <v>1169.75</v>
      </c>
      <c r="BV168">
        <f t="shared" si="100"/>
        <v>1169.75</v>
      </c>
      <c r="BW168" s="35">
        <f t="shared" si="101"/>
        <v>1.5546916533758639E-2</v>
      </c>
    </row>
    <row r="169" spans="1:75">
      <c r="A169" s="1" t="s">
        <v>170</v>
      </c>
      <c r="B169" s="1">
        <v>81720</v>
      </c>
      <c r="Q169">
        <v>166</v>
      </c>
      <c r="R169" s="27" t="str">
        <f t="shared" si="92"/>
        <v>13/02/2024</v>
      </c>
      <c r="S169" s="27">
        <f t="shared" si="92"/>
        <v>77190</v>
      </c>
      <c r="T169" s="4" t="str">
        <f t="shared" si="93"/>
        <v>A7</v>
      </c>
      <c r="V169">
        <v>166</v>
      </c>
      <c r="W169" s="28" t="str">
        <f t="shared" si="91"/>
        <v>13/02/2024</v>
      </c>
      <c r="X169" s="28">
        <f t="shared" si="91"/>
        <v>77190</v>
      </c>
      <c r="Y169" s="28" t="str">
        <f t="shared" si="91"/>
        <v>A7</v>
      </c>
      <c r="Z169" s="5" t="str">
        <f t="shared" si="102"/>
        <v>A6</v>
      </c>
      <c r="AA169" s="5" t="str">
        <f t="shared" si="103"/>
        <v>A6</v>
      </c>
      <c r="AG169" s="29" t="str">
        <f t="shared" si="94"/>
        <v>13/02/2024</v>
      </c>
      <c r="AH169" s="30">
        <f t="shared" si="94"/>
        <v>77190</v>
      </c>
      <c r="AI169" s="4" t="str">
        <f t="shared" si="95"/>
        <v>A7</v>
      </c>
      <c r="AJ169" s="5" t="str">
        <f t="shared" si="104"/>
        <v>A6</v>
      </c>
      <c r="AK169">
        <f t="shared" si="105"/>
        <v>73860.5</v>
      </c>
      <c r="AL169" t="str">
        <f t="shared" si="106"/>
        <v>A6</v>
      </c>
      <c r="AM169">
        <f t="shared" si="107"/>
        <v>73860.5</v>
      </c>
      <c r="AN169" s="6">
        <f t="shared" si="108"/>
        <v>1570</v>
      </c>
      <c r="AO169">
        <f t="shared" si="109"/>
        <v>76025</v>
      </c>
      <c r="AP169">
        <f t="shared" si="132"/>
        <v>74455</v>
      </c>
      <c r="AQ169" s="33">
        <f t="shared" si="110"/>
        <v>76810</v>
      </c>
      <c r="AR169" s="33">
        <f t="shared" si="111"/>
        <v>73670</v>
      </c>
      <c r="AS169">
        <f t="shared" si="112"/>
        <v>75632.5</v>
      </c>
      <c r="AT169" s="5">
        <f t="shared" si="113"/>
        <v>74847.5</v>
      </c>
      <c r="AU169" s="5">
        <f t="shared" si="114"/>
        <v>78380</v>
      </c>
      <c r="AV169" s="5">
        <f t="shared" si="115"/>
        <v>72100</v>
      </c>
      <c r="AW169" s="5">
        <f t="shared" si="116"/>
        <v>75501.666666666672</v>
      </c>
      <c r="AX169" s="5">
        <f t="shared" si="117"/>
        <v>74978.333333333328</v>
      </c>
      <c r="AY169" s="5">
        <f t="shared" si="118"/>
        <v>79950</v>
      </c>
      <c r="AZ169" s="5">
        <f t="shared" si="119"/>
        <v>70530</v>
      </c>
      <c r="BB169" s="32" t="str">
        <f t="shared" si="96"/>
        <v>13/02/2024</v>
      </c>
      <c r="BC169" s="33">
        <f t="shared" si="96"/>
        <v>77190</v>
      </c>
      <c r="BD169" s="4" t="str">
        <f t="shared" si="96"/>
        <v>A7</v>
      </c>
      <c r="BE169">
        <f t="shared" si="120"/>
        <v>74942.75</v>
      </c>
      <c r="BF169">
        <f t="shared" si="121"/>
        <v>74157.75</v>
      </c>
      <c r="BG169">
        <f t="shared" si="122"/>
        <v>75335.25</v>
      </c>
      <c r="BH169">
        <f t="shared" si="123"/>
        <v>73765.25</v>
      </c>
      <c r="BI169">
        <f t="shared" si="124"/>
        <v>74746.5</v>
      </c>
      <c r="BJ169">
        <f t="shared" si="125"/>
        <v>74354</v>
      </c>
      <c r="BK169">
        <f t="shared" si="126"/>
        <v>76120.25</v>
      </c>
      <c r="BL169">
        <f t="shared" si="127"/>
        <v>72980.25</v>
      </c>
      <c r="BM169">
        <f t="shared" si="128"/>
        <v>74681.083333333343</v>
      </c>
      <c r="BN169">
        <f t="shared" si="129"/>
        <v>74419.416666666657</v>
      </c>
      <c r="BO169" s="38">
        <f t="shared" si="130"/>
        <v>76905.25</v>
      </c>
      <c r="BP169">
        <f t="shared" si="131"/>
        <v>72195.25</v>
      </c>
      <c r="BQ169" s="7">
        <f>BO169</f>
        <v>76905.25</v>
      </c>
      <c r="BS169" s="30">
        <f t="shared" si="97"/>
        <v>77190</v>
      </c>
      <c r="BT169" s="4">
        <f t="shared" si="98"/>
        <v>76905.25</v>
      </c>
      <c r="BU169" s="37">
        <f t="shared" si="99"/>
        <v>284.75</v>
      </c>
      <c r="BV169">
        <f t="shared" si="100"/>
        <v>284.75</v>
      </c>
      <c r="BW169" s="35">
        <f t="shared" si="101"/>
        <v>3.6889493457701776E-3</v>
      </c>
    </row>
    <row r="170" spans="1:75">
      <c r="A170" s="1" t="s">
        <v>171</v>
      </c>
      <c r="B170" s="1">
        <v>79710</v>
      </c>
      <c r="Q170">
        <v>167</v>
      </c>
      <c r="R170" s="27" t="str">
        <f t="shared" si="92"/>
        <v>14/02/2024</v>
      </c>
      <c r="S170" s="27">
        <f t="shared" si="92"/>
        <v>79680</v>
      </c>
      <c r="T170" s="4" t="str">
        <f t="shared" si="93"/>
        <v>A7</v>
      </c>
      <c r="V170">
        <v>167</v>
      </c>
      <c r="W170" s="28" t="str">
        <f t="shared" si="91"/>
        <v>14/02/2024</v>
      </c>
      <c r="X170" s="28">
        <f t="shared" si="91"/>
        <v>79680</v>
      </c>
      <c r="Y170" s="28" t="str">
        <f t="shared" si="91"/>
        <v>A7</v>
      </c>
      <c r="Z170" s="5" t="str">
        <f t="shared" si="102"/>
        <v>A6</v>
      </c>
      <c r="AA170" s="5" t="str">
        <f t="shared" si="103"/>
        <v>A7</v>
      </c>
      <c r="AG170" s="29" t="str">
        <f t="shared" si="94"/>
        <v>14/02/2024</v>
      </c>
      <c r="AH170" s="30">
        <f t="shared" si="94"/>
        <v>79680</v>
      </c>
      <c r="AI170" s="4" t="str">
        <f t="shared" si="95"/>
        <v>A7</v>
      </c>
      <c r="AJ170" s="5" t="str">
        <f t="shared" si="104"/>
        <v>A6</v>
      </c>
      <c r="AK170">
        <f t="shared" si="105"/>
        <v>73860.5</v>
      </c>
      <c r="AL170" t="str">
        <f t="shared" si="106"/>
        <v>A7</v>
      </c>
      <c r="AM170">
        <f t="shared" si="107"/>
        <v>79891.5</v>
      </c>
      <c r="AN170" s="6">
        <f t="shared" si="108"/>
        <v>570</v>
      </c>
      <c r="AO170">
        <f t="shared" si="109"/>
        <v>77475</v>
      </c>
      <c r="AP170">
        <f t="shared" si="132"/>
        <v>76905</v>
      </c>
      <c r="AQ170" s="33">
        <f t="shared" si="110"/>
        <v>77760</v>
      </c>
      <c r="AR170" s="33">
        <f t="shared" si="111"/>
        <v>76620</v>
      </c>
      <c r="AS170">
        <f t="shared" si="112"/>
        <v>77332.5</v>
      </c>
      <c r="AT170" s="5">
        <f t="shared" si="113"/>
        <v>77047.5</v>
      </c>
      <c r="AU170" s="5">
        <f t="shared" si="114"/>
        <v>78330</v>
      </c>
      <c r="AV170" s="5">
        <f t="shared" si="115"/>
        <v>76050</v>
      </c>
      <c r="AW170" s="5">
        <f t="shared" si="116"/>
        <v>77285</v>
      </c>
      <c r="AX170" s="5">
        <f t="shared" si="117"/>
        <v>77095</v>
      </c>
      <c r="AY170" s="5">
        <f t="shared" si="118"/>
        <v>78900</v>
      </c>
      <c r="AZ170" s="5">
        <f t="shared" si="119"/>
        <v>75480</v>
      </c>
      <c r="BB170" s="32" t="str">
        <f t="shared" si="96"/>
        <v>14/02/2024</v>
      </c>
      <c r="BC170" s="33">
        <f t="shared" si="96"/>
        <v>79680</v>
      </c>
      <c r="BD170" s="4" t="str">
        <f t="shared" si="96"/>
        <v>A7</v>
      </c>
      <c r="BE170">
        <f t="shared" si="120"/>
        <v>78683.25</v>
      </c>
      <c r="BF170">
        <f t="shared" si="121"/>
        <v>78398.25</v>
      </c>
      <c r="BG170">
        <f t="shared" si="122"/>
        <v>78825.75</v>
      </c>
      <c r="BH170">
        <f t="shared" si="123"/>
        <v>78255.75</v>
      </c>
      <c r="BI170">
        <f t="shared" si="124"/>
        <v>78612</v>
      </c>
      <c r="BJ170">
        <f t="shared" si="125"/>
        <v>78469.5</v>
      </c>
      <c r="BK170">
        <f t="shared" si="126"/>
        <v>79110.75</v>
      </c>
      <c r="BL170">
        <f t="shared" si="127"/>
        <v>77970.75</v>
      </c>
      <c r="BM170">
        <f t="shared" si="128"/>
        <v>78588.25</v>
      </c>
      <c r="BN170">
        <f t="shared" si="129"/>
        <v>78493.25</v>
      </c>
      <c r="BO170" s="38">
        <f t="shared" si="130"/>
        <v>79395.75</v>
      </c>
      <c r="BP170">
        <f t="shared" si="131"/>
        <v>77685.75</v>
      </c>
      <c r="BQ170" s="7">
        <f>BO170</f>
        <v>79395.75</v>
      </c>
      <c r="BS170" s="30">
        <f t="shared" si="97"/>
        <v>79680</v>
      </c>
      <c r="BT170" s="4">
        <f t="shared" si="98"/>
        <v>79395.75</v>
      </c>
      <c r="BU170" s="37">
        <f t="shared" si="99"/>
        <v>284.25</v>
      </c>
      <c r="BV170">
        <f t="shared" si="100"/>
        <v>284.25</v>
      </c>
      <c r="BW170" s="35">
        <f t="shared" si="101"/>
        <v>3.567394578313253E-3</v>
      </c>
    </row>
    <row r="171" spans="1:75">
      <c r="A171" s="1" t="s">
        <v>172</v>
      </c>
      <c r="B171" s="1">
        <v>82580</v>
      </c>
      <c r="Q171">
        <v>168</v>
      </c>
      <c r="R171" s="27" t="str">
        <f t="shared" si="92"/>
        <v>15/02/2024</v>
      </c>
      <c r="S171" s="27">
        <f t="shared" si="92"/>
        <v>81720</v>
      </c>
      <c r="T171" s="4" t="str">
        <f t="shared" si="93"/>
        <v>A7</v>
      </c>
      <c r="V171">
        <v>168</v>
      </c>
      <c r="W171" s="28" t="str">
        <f t="shared" si="91"/>
        <v>15/02/2024</v>
      </c>
      <c r="X171" s="28">
        <f t="shared" si="91"/>
        <v>81720</v>
      </c>
      <c r="Y171" s="28" t="str">
        <f t="shared" si="91"/>
        <v>A7</v>
      </c>
      <c r="Z171" s="5" t="str">
        <f t="shared" si="102"/>
        <v>A7</v>
      </c>
      <c r="AA171" s="5" t="str">
        <f t="shared" si="103"/>
        <v>A7</v>
      </c>
      <c r="AG171" s="29" t="str">
        <f t="shared" si="94"/>
        <v>15/02/2024</v>
      </c>
      <c r="AH171" s="30">
        <f t="shared" si="94"/>
        <v>81720</v>
      </c>
      <c r="AI171" s="4" t="str">
        <f t="shared" si="95"/>
        <v>A7</v>
      </c>
      <c r="AJ171" s="5" t="str">
        <f t="shared" si="104"/>
        <v>A7</v>
      </c>
      <c r="AK171">
        <f t="shared" si="105"/>
        <v>79891.5</v>
      </c>
      <c r="AL171" t="str">
        <f t="shared" si="106"/>
        <v>A7</v>
      </c>
      <c r="AM171">
        <f t="shared" si="107"/>
        <v>79891.5</v>
      </c>
      <c r="AN171" s="6">
        <f t="shared" si="108"/>
        <v>540</v>
      </c>
      <c r="AO171">
        <f t="shared" si="109"/>
        <v>79950</v>
      </c>
      <c r="AP171">
        <f t="shared" si="132"/>
        <v>79410</v>
      </c>
      <c r="AQ171" s="33">
        <f t="shared" si="110"/>
        <v>80220</v>
      </c>
      <c r="AR171" s="33">
        <f t="shared" si="111"/>
        <v>79140</v>
      </c>
      <c r="AS171">
        <f t="shared" si="112"/>
        <v>79815</v>
      </c>
      <c r="AT171" s="5">
        <f t="shared" si="113"/>
        <v>79545</v>
      </c>
      <c r="AU171" s="5">
        <f t="shared" si="114"/>
        <v>80760</v>
      </c>
      <c r="AV171" s="5">
        <f t="shared" si="115"/>
        <v>78600</v>
      </c>
      <c r="AW171" s="5">
        <f t="shared" si="116"/>
        <v>79770</v>
      </c>
      <c r="AX171" s="5">
        <f t="shared" si="117"/>
        <v>79590</v>
      </c>
      <c r="AY171" s="5">
        <f t="shared" si="118"/>
        <v>81300</v>
      </c>
      <c r="AZ171" s="5">
        <f t="shared" si="119"/>
        <v>78060</v>
      </c>
      <c r="BB171" s="32" t="str">
        <f t="shared" si="96"/>
        <v>15/02/2024</v>
      </c>
      <c r="BC171" s="33">
        <f t="shared" si="96"/>
        <v>81720</v>
      </c>
      <c r="BD171" s="4" t="str">
        <f t="shared" si="96"/>
        <v>A7</v>
      </c>
      <c r="BE171">
        <f t="shared" si="120"/>
        <v>79920.75</v>
      </c>
      <c r="BF171">
        <f t="shared" si="121"/>
        <v>79650.75</v>
      </c>
      <c r="BG171">
        <f t="shared" si="122"/>
        <v>80055.75</v>
      </c>
      <c r="BH171">
        <f t="shared" si="123"/>
        <v>79515.75</v>
      </c>
      <c r="BI171">
        <f t="shared" si="124"/>
        <v>79853.25</v>
      </c>
      <c r="BJ171">
        <f t="shared" si="125"/>
        <v>79718.25</v>
      </c>
      <c r="BK171">
        <f t="shared" si="126"/>
        <v>80325.75</v>
      </c>
      <c r="BL171">
        <f t="shared" si="127"/>
        <v>79245.75</v>
      </c>
      <c r="BM171">
        <f t="shared" si="128"/>
        <v>79830.75</v>
      </c>
      <c r="BN171">
        <f t="shared" si="129"/>
        <v>79740.75</v>
      </c>
      <c r="BO171" s="38">
        <f t="shared" si="130"/>
        <v>80595.75</v>
      </c>
      <c r="BP171">
        <f t="shared" si="131"/>
        <v>78975.75</v>
      </c>
      <c r="BQ171" s="7">
        <f>BO171</f>
        <v>80595.75</v>
      </c>
      <c r="BS171" s="30">
        <f t="shared" si="97"/>
        <v>81720</v>
      </c>
      <c r="BT171" s="4">
        <f t="shared" si="98"/>
        <v>80595.75</v>
      </c>
      <c r="BU171" s="37">
        <f t="shared" si="99"/>
        <v>1124.25</v>
      </c>
      <c r="BV171">
        <f t="shared" si="100"/>
        <v>1124.25</v>
      </c>
      <c r="BW171" s="35">
        <f t="shared" si="101"/>
        <v>1.3757342143906021E-2</v>
      </c>
    </row>
    <row r="172" spans="1:75">
      <c r="A172" s="1" t="s">
        <v>173</v>
      </c>
      <c r="B172" s="1">
        <v>82230</v>
      </c>
      <c r="Q172">
        <v>169</v>
      </c>
      <c r="R172" s="27" t="str">
        <f t="shared" si="92"/>
        <v>16/02/2024</v>
      </c>
      <c r="S172" s="27">
        <f t="shared" si="92"/>
        <v>79710</v>
      </c>
      <c r="T172" s="4" t="str">
        <f t="shared" si="93"/>
        <v>A7</v>
      </c>
      <c r="V172">
        <v>169</v>
      </c>
      <c r="W172" s="28" t="str">
        <f t="shared" si="91"/>
        <v>16/02/2024</v>
      </c>
      <c r="X172" s="28">
        <f t="shared" si="91"/>
        <v>79710</v>
      </c>
      <c r="Y172" s="28" t="str">
        <f t="shared" si="91"/>
        <v>A7</v>
      </c>
      <c r="Z172" s="5" t="str">
        <f t="shared" si="102"/>
        <v>A7</v>
      </c>
      <c r="AA172" s="5" t="str">
        <f t="shared" si="103"/>
        <v>A7</v>
      </c>
      <c r="AG172" s="29" t="str">
        <f t="shared" si="94"/>
        <v>16/02/2024</v>
      </c>
      <c r="AH172" s="30">
        <f t="shared" si="94"/>
        <v>79710</v>
      </c>
      <c r="AI172" s="4" t="str">
        <f t="shared" si="95"/>
        <v>A7</v>
      </c>
      <c r="AJ172" s="5" t="str">
        <f t="shared" si="104"/>
        <v>A7</v>
      </c>
      <c r="AK172">
        <f t="shared" si="105"/>
        <v>79891.5</v>
      </c>
      <c r="AL172" t="str">
        <f t="shared" si="106"/>
        <v>A7</v>
      </c>
      <c r="AM172">
        <f t="shared" si="107"/>
        <v>79891.5</v>
      </c>
      <c r="AN172" s="6">
        <f t="shared" si="108"/>
        <v>450</v>
      </c>
      <c r="AO172">
        <f t="shared" si="109"/>
        <v>81945</v>
      </c>
      <c r="AP172">
        <f t="shared" si="132"/>
        <v>81495</v>
      </c>
      <c r="AQ172" s="33">
        <f t="shared" si="110"/>
        <v>82170</v>
      </c>
      <c r="AR172" s="33">
        <f t="shared" si="111"/>
        <v>81270</v>
      </c>
      <c r="AS172">
        <f t="shared" si="112"/>
        <v>81832.5</v>
      </c>
      <c r="AT172" s="5">
        <f t="shared" si="113"/>
        <v>81607.5</v>
      </c>
      <c r="AU172" s="5">
        <f t="shared" si="114"/>
        <v>82620</v>
      </c>
      <c r="AV172" s="5">
        <f t="shared" si="115"/>
        <v>80820</v>
      </c>
      <c r="AW172" s="5">
        <f t="shared" si="116"/>
        <v>81795</v>
      </c>
      <c r="AX172" s="5">
        <f t="shared" si="117"/>
        <v>81645</v>
      </c>
      <c r="AY172" s="5">
        <f t="shared" si="118"/>
        <v>83070</v>
      </c>
      <c r="AZ172" s="5">
        <f t="shared" si="119"/>
        <v>80370</v>
      </c>
      <c r="BB172" s="32" t="str">
        <f t="shared" si="96"/>
        <v>16/02/2024</v>
      </c>
      <c r="BC172" s="33">
        <f t="shared" si="96"/>
        <v>79710</v>
      </c>
      <c r="BD172" s="4" t="str">
        <f t="shared" si="96"/>
        <v>A7</v>
      </c>
      <c r="BE172">
        <f t="shared" si="120"/>
        <v>80918.25</v>
      </c>
      <c r="BF172">
        <f t="shared" si="121"/>
        <v>80693.25</v>
      </c>
      <c r="BG172">
        <f t="shared" si="122"/>
        <v>81030.75</v>
      </c>
      <c r="BH172">
        <f t="shared" si="123"/>
        <v>80580.75</v>
      </c>
      <c r="BI172">
        <f t="shared" si="124"/>
        <v>80862</v>
      </c>
      <c r="BJ172">
        <f t="shared" si="125"/>
        <v>80749.5</v>
      </c>
      <c r="BK172">
        <f t="shared" si="126"/>
        <v>81255.75</v>
      </c>
      <c r="BL172">
        <f t="shared" si="127"/>
        <v>80355.75</v>
      </c>
      <c r="BM172">
        <f t="shared" si="128"/>
        <v>80843.25</v>
      </c>
      <c r="BN172">
        <f t="shared" si="129"/>
        <v>80768.25</v>
      </c>
      <c r="BO172">
        <f t="shared" si="130"/>
        <v>81480.75</v>
      </c>
      <c r="BP172" s="38">
        <f t="shared" si="131"/>
        <v>80130.75</v>
      </c>
      <c r="BQ172" s="7">
        <f>BP172</f>
        <v>80130.75</v>
      </c>
      <c r="BS172" s="30">
        <f t="shared" si="97"/>
        <v>79710</v>
      </c>
      <c r="BT172" s="4">
        <f t="shared" si="98"/>
        <v>80130.75</v>
      </c>
      <c r="BU172" s="37">
        <f t="shared" si="99"/>
        <v>-420.75</v>
      </c>
      <c r="BV172">
        <f t="shared" si="100"/>
        <v>420.75</v>
      </c>
      <c r="BW172" s="35">
        <f t="shared" si="101"/>
        <v>5.2785095972901772E-3</v>
      </c>
    </row>
    <row r="173" spans="1:75">
      <c r="A173" s="1" t="s">
        <v>174</v>
      </c>
      <c r="B173" s="1">
        <v>84830</v>
      </c>
      <c r="Q173">
        <v>170</v>
      </c>
      <c r="R173" s="27" t="str">
        <f t="shared" si="92"/>
        <v>17/02/2024</v>
      </c>
      <c r="S173" s="27">
        <f t="shared" si="92"/>
        <v>82580</v>
      </c>
      <c r="T173" s="4" t="str">
        <f t="shared" si="93"/>
        <v>A7</v>
      </c>
      <c r="V173">
        <v>170</v>
      </c>
      <c r="W173" s="28" t="str">
        <f t="shared" si="91"/>
        <v>17/02/2024</v>
      </c>
      <c r="X173" s="28">
        <f t="shared" si="91"/>
        <v>82580</v>
      </c>
      <c r="Y173" s="28" t="str">
        <f t="shared" si="91"/>
        <v>A7</v>
      </c>
      <c r="Z173" s="5" t="str">
        <f t="shared" si="102"/>
        <v>A7</v>
      </c>
      <c r="AA173" s="5" t="str">
        <f t="shared" si="103"/>
        <v>A7</v>
      </c>
      <c r="AG173" s="29" t="str">
        <f t="shared" si="94"/>
        <v>17/02/2024</v>
      </c>
      <c r="AH173" s="30">
        <f t="shared" si="94"/>
        <v>82580</v>
      </c>
      <c r="AI173" s="4" t="str">
        <f t="shared" si="95"/>
        <v>A7</v>
      </c>
      <c r="AJ173" s="5" t="str">
        <f t="shared" si="104"/>
        <v>A7</v>
      </c>
      <c r="AK173">
        <f t="shared" si="105"/>
        <v>79891.5</v>
      </c>
      <c r="AL173" t="str">
        <f t="shared" si="106"/>
        <v>A7</v>
      </c>
      <c r="AM173">
        <f t="shared" si="107"/>
        <v>79891.5</v>
      </c>
      <c r="AN173" s="6">
        <f t="shared" si="108"/>
        <v>30</v>
      </c>
      <c r="AO173">
        <f t="shared" si="109"/>
        <v>79725</v>
      </c>
      <c r="AP173">
        <f t="shared" si="132"/>
        <v>79695</v>
      </c>
      <c r="AQ173" s="33">
        <f t="shared" si="110"/>
        <v>79740</v>
      </c>
      <c r="AR173" s="33">
        <f t="shared" si="111"/>
        <v>79680</v>
      </c>
      <c r="AS173">
        <f t="shared" si="112"/>
        <v>79717.5</v>
      </c>
      <c r="AT173" s="5">
        <f t="shared" si="113"/>
        <v>79702.5</v>
      </c>
      <c r="AU173" s="5">
        <f t="shared" si="114"/>
        <v>79770</v>
      </c>
      <c r="AV173" s="5">
        <f t="shared" si="115"/>
        <v>79650</v>
      </c>
      <c r="AW173" s="5">
        <f t="shared" si="116"/>
        <v>79715</v>
      </c>
      <c r="AX173" s="5">
        <f t="shared" si="117"/>
        <v>79705</v>
      </c>
      <c r="AY173" s="5">
        <f t="shared" si="118"/>
        <v>79800</v>
      </c>
      <c r="AZ173" s="5">
        <f t="shared" si="119"/>
        <v>79620</v>
      </c>
      <c r="BB173" s="32" t="str">
        <f t="shared" si="96"/>
        <v>17/02/2024</v>
      </c>
      <c r="BC173" s="33">
        <f t="shared" si="96"/>
        <v>82580</v>
      </c>
      <c r="BD173" s="4" t="str">
        <f t="shared" si="96"/>
        <v>A7</v>
      </c>
      <c r="BE173">
        <f t="shared" si="120"/>
        <v>79808.25</v>
      </c>
      <c r="BF173">
        <f t="shared" si="121"/>
        <v>79793.25</v>
      </c>
      <c r="BG173">
        <f t="shared" si="122"/>
        <v>79815.75</v>
      </c>
      <c r="BH173">
        <f t="shared" si="123"/>
        <v>79785.75</v>
      </c>
      <c r="BI173">
        <f t="shared" si="124"/>
        <v>79804.5</v>
      </c>
      <c r="BJ173">
        <f t="shared" si="125"/>
        <v>79797</v>
      </c>
      <c r="BK173">
        <f t="shared" si="126"/>
        <v>79830.75</v>
      </c>
      <c r="BL173">
        <f t="shared" si="127"/>
        <v>79770.75</v>
      </c>
      <c r="BM173">
        <f t="shared" si="128"/>
        <v>79803.25</v>
      </c>
      <c r="BN173">
        <f t="shared" si="129"/>
        <v>79798.25</v>
      </c>
      <c r="BO173" s="38">
        <f t="shared" si="130"/>
        <v>79845.75</v>
      </c>
      <c r="BP173">
        <f t="shared" si="131"/>
        <v>79755.75</v>
      </c>
      <c r="BQ173" s="7">
        <f>BO173</f>
        <v>79845.75</v>
      </c>
      <c r="BS173" s="30">
        <f t="shared" si="97"/>
        <v>82580</v>
      </c>
      <c r="BT173" s="4">
        <f t="shared" si="98"/>
        <v>79845.75</v>
      </c>
      <c r="BU173" s="37">
        <f t="shared" si="99"/>
        <v>2734.25</v>
      </c>
      <c r="BV173">
        <f t="shared" si="100"/>
        <v>2734.25</v>
      </c>
      <c r="BW173" s="35">
        <f t="shared" si="101"/>
        <v>3.3110317268103658E-2</v>
      </c>
    </row>
    <row r="174" spans="1:75">
      <c r="A174" s="1" t="s">
        <v>175</v>
      </c>
      <c r="B174" s="1">
        <v>88560</v>
      </c>
      <c r="Q174">
        <v>171</v>
      </c>
      <c r="R174" s="27" t="str">
        <f t="shared" si="92"/>
        <v>18/02/2024</v>
      </c>
      <c r="S174" s="27">
        <f t="shared" si="92"/>
        <v>82230</v>
      </c>
      <c r="T174" s="4" t="str">
        <f t="shared" si="93"/>
        <v>A7</v>
      </c>
      <c r="V174">
        <v>171</v>
      </c>
      <c r="W174" s="28" t="str">
        <f t="shared" si="91"/>
        <v>18/02/2024</v>
      </c>
      <c r="X174" s="28">
        <f t="shared" si="91"/>
        <v>82230</v>
      </c>
      <c r="Y174" s="28" t="str">
        <f t="shared" si="91"/>
        <v>A7</v>
      </c>
      <c r="Z174" s="5" t="str">
        <f t="shared" si="102"/>
        <v>A7</v>
      </c>
      <c r="AA174" s="5" t="str">
        <f t="shared" si="103"/>
        <v>A7</v>
      </c>
      <c r="AG174" s="29" t="str">
        <f t="shared" si="94"/>
        <v>18/02/2024</v>
      </c>
      <c r="AH174" s="30">
        <f t="shared" si="94"/>
        <v>82230</v>
      </c>
      <c r="AI174" s="4" t="str">
        <f t="shared" si="95"/>
        <v>A7</v>
      </c>
      <c r="AJ174" s="5" t="str">
        <f t="shared" si="104"/>
        <v>A7</v>
      </c>
      <c r="AK174">
        <f t="shared" si="105"/>
        <v>79891.5</v>
      </c>
      <c r="AL174" t="str">
        <f t="shared" si="106"/>
        <v>A7</v>
      </c>
      <c r="AM174">
        <f t="shared" si="107"/>
        <v>79891.5</v>
      </c>
      <c r="AN174" s="6">
        <f t="shared" si="108"/>
        <v>860</v>
      </c>
      <c r="AO174">
        <f t="shared" si="109"/>
        <v>83010</v>
      </c>
      <c r="AP174">
        <f t="shared" si="132"/>
        <v>82150</v>
      </c>
      <c r="AQ174" s="33">
        <f t="shared" si="110"/>
        <v>83440</v>
      </c>
      <c r="AR174" s="33">
        <f t="shared" si="111"/>
        <v>81720</v>
      </c>
      <c r="AS174">
        <f t="shared" si="112"/>
        <v>82795</v>
      </c>
      <c r="AT174" s="5">
        <f t="shared" si="113"/>
        <v>82365</v>
      </c>
      <c r="AU174" s="5">
        <f t="shared" si="114"/>
        <v>84300</v>
      </c>
      <c r="AV174" s="5">
        <f t="shared" si="115"/>
        <v>80860</v>
      </c>
      <c r="AW174" s="5">
        <f t="shared" si="116"/>
        <v>82723.333333333328</v>
      </c>
      <c r="AX174" s="5">
        <f t="shared" si="117"/>
        <v>82436.666666666672</v>
      </c>
      <c r="AY174" s="5">
        <f t="shared" si="118"/>
        <v>85160</v>
      </c>
      <c r="AZ174" s="5">
        <f t="shared" si="119"/>
        <v>80000</v>
      </c>
      <c r="BB174" s="32" t="str">
        <f t="shared" si="96"/>
        <v>18/02/2024</v>
      </c>
      <c r="BC174" s="33">
        <f t="shared" si="96"/>
        <v>82230</v>
      </c>
      <c r="BD174" s="4" t="str">
        <f t="shared" si="96"/>
        <v>A7</v>
      </c>
      <c r="BE174">
        <f t="shared" si="120"/>
        <v>81450.75</v>
      </c>
      <c r="BF174">
        <f t="shared" si="121"/>
        <v>81020.75</v>
      </c>
      <c r="BG174">
        <f t="shared" si="122"/>
        <v>81665.75</v>
      </c>
      <c r="BH174">
        <f t="shared" si="123"/>
        <v>80805.75</v>
      </c>
      <c r="BI174">
        <f t="shared" si="124"/>
        <v>81343.25</v>
      </c>
      <c r="BJ174">
        <f t="shared" si="125"/>
        <v>81128.25</v>
      </c>
      <c r="BK174" s="38">
        <f t="shared" si="126"/>
        <v>82095.75</v>
      </c>
      <c r="BL174">
        <f t="shared" si="127"/>
        <v>80375.75</v>
      </c>
      <c r="BM174">
        <f t="shared" si="128"/>
        <v>81307.416666666657</v>
      </c>
      <c r="BN174">
        <f t="shared" si="129"/>
        <v>81164.083333333343</v>
      </c>
      <c r="BO174">
        <f t="shared" si="130"/>
        <v>82525.75</v>
      </c>
      <c r="BP174">
        <f t="shared" si="131"/>
        <v>79945.75</v>
      </c>
      <c r="BQ174" s="7">
        <f>BK174</f>
        <v>82095.75</v>
      </c>
      <c r="BS174" s="30">
        <f t="shared" si="97"/>
        <v>82230</v>
      </c>
      <c r="BT174" s="4">
        <f t="shared" si="98"/>
        <v>82095.75</v>
      </c>
      <c r="BU174" s="37">
        <f t="shared" si="99"/>
        <v>134.25</v>
      </c>
      <c r="BV174">
        <f t="shared" si="100"/>
        <v>134.25</v>
      </c>
      <c r="BW174" s="35">
        <f t="shared" si="101"/>
        <v>1.6326158336373586E-3</v>
      </c>
    </row>
    <row r="175" spans="1:75">
      <c r="A175" s="1" t="s">
        <v>176</v>
      </c>
      <c r="B175" s="1">
        <v>92150</v>
      </c>
      <c r="Q175">
        <v>172</v>
      </c>
      <c r="R175" s="27" t="str">
        <f t="shared" si="92"/>
        <v>19/02/2024</v>
      </c>
      <c r="S175" s="27">
        <f t="shared" si="92"/>
        <v>84830</v>
      </c>
      <c r="T175" s="4" t="str">
        <f t="shared" si="93"/>
        <v>A8</v>
      </c>
      <c r="V175">
        <v>172</v>
      </c>
      <c r="W175" s="28" t="str">
        <f t="shared" si="91"/>
        <v>19/02/2024</v>
      </c>
      <c r="X175" s="28">
        <f t="shared" si="91"/>
        <v>84830</v>
      </c>
      <c r="Y175" s="28" t="str">
        <f t="shared" si="91"/>
        <v>A8</v>
      </c>
      <c r="Z175" s="5" t="str">
        <f t="shared" si="102"/>
        <v>A7</v>
      </c>
      <c r="AA175" s="5" t="str">
        <f t="shared" si="103"/>
        <v>A7</v>
      </c>
      <c r="AG175" s="29" t="str">
        <f t="shared" si="94"/>
        <v>19/02/2024</v>
      </c>
      <c r="AH175" s="30">
        <f t="shared" si="94"/>
        <v>84830</v>
      </c>
      <c r="AI175" s="4" t="str">
        <f t="shared" si="95"/>
        <v>A8</v>
      </c>
      <c r="AJ175" s="5" t="str">
        <f t="shared" si="104"/>
        <v>A7</v>
      </c>
      <c r="AK175">
        <f t="shared" si="105"/>
        <v>79891.5</v>
      </c>
      <c r="AL175" t="str">
        <f t="shared" si="106"/>
        <v>A7</v>
      </c>
      <c r="AM175">
        <f t="shared" si="107"/>
        <v>79891.5</v>
      </c>
      <c r="AN175" s="6">
        <f t="shared" si="108"/>
        <v>2520</v>
      </c>
      <c r="AO175">
        <f t="shared" si="109"/>
        <v>83490</v>
      </c>
      <c r="AP175">
        <f t="shared" si="132"/>
        <v>80970</v>
      </c>
      <c r="AQ175" s="33">
        <f t="shared" si="110"/>
        <v>84750</v>
      </c>
      <c r="AR175" s="33">
        <f t="shared" si="111"/>
        <v>79710</v>
      </c>
      <c r="AS175">
        <f t="shared" si="112"/>
        <v>82860</v>
      </c>
      <c r="AT175" s="5">
        <f t="shared" si="113"/>
        <v>81600</v>
      </c>
      <c r="AU175" s="5">
        <f t="shared" si="114"/>
        <v>87270</v>
      </c>
      <c r="AV175" s="5">
        <f t="shared" si="115"/>
        <v>77190</v>
      </c>
      <c r="AW175" s="5">
        <f t="shared" si="116"/>
        <v>82650</v>
      </c>
      <c r="AX175" s="5">
        <f t="shared" si="117"/>
        <v>81810</v>
      </c>
      <c r="AY175" s="5">
        <f t="shared" si="118"/>
        <v>89790</v>
      </c>
      <c r="AZ175" s="5">
        <f t="shared" si="119"/>
        <v>74670</v>
      </c>
      <c r="BB175" s="32" t="str">
        <f t="shared" si="96"/>
        <v>19/02/2024</v>
      </c>
      <c r="BC175" s="33">
        <f t="shared" si="96"/>
        <v>84830</v>
      </c>
      <c r="BD175" s="4" t="str">
        <f t="shared" si="96"/>
        <v>A8</v>
      </c>
      <c r="BE175">
        <f t="shared" si="120"/>
        <v>81690.75</v>
      </c>
      <c r="BF175">
        <f t="shared" si="121"/>
        <v>80430.75</v>
      </c>
      <c r="BG175">
        <f t="shared" si="122"/>
        <v>82320.75</v>
      </c>
      <c r="BH175">
        <f t="shared" si="123"/>
        <v>79800.75</v>
      </c>
      <c r="BI175">
        <f t="shared" si="124"/>
        <v>81375.75</v>
      </c>
      <c r="BJ175">
        <f t="shared" si="125"/>
        <v>80745.75</v>
      </c>
      <c r="BK175">
        <f t="shared" si="126"/>
        <v>83580.75</v>
      </c>
      <c r="BL175">
        <f t="shared" si="127"/>
        <v>78540.75</v>
      </c>
      <c r="BM175">
        <f t="shared" si="128"/>
        <v>81270.75</v>
      </c>
      <c r="BN175">
        <f t="shared" si="129"/>
        <v>80850.75</v>
      </c>
      <c r="BO175" s="38">
        <f t="shared" si="130"/>
        <v>84840.75</v>
      </c>
      <c r="BP175">
        <f t="shared" si="131"/>
        <v>77280.75</v>
      </c>
      <c r="BQ175" s="7">
        <f>BO175</f>
        <v>84840.75</v>
      </c>
      <c r="BS175" s="30">
        <f t="shared" si="97"/>
        <v>84830</v>
      </c>
      <c r="BT175" s="4">
        <f t="shared" si="98"/>
        <v>84840.75</v>
      </c>
      <c r="BU175" s="37">
        <f t="shared" si="99"/>
        <v>-10.75</v>
      </c>
      <c r="BV175">
        <f t="shared" si="100"/>
        <v>10.75</v>
      </c>
      <c r="BW175" s="35">
        <f t="shared" si="101"/>
        <v>1.2672403630790993E-4</v>
      </c>
    </row>
    <row r="176" spans="1:75">
      <c r="A176" s="1" t="s">
        <v>177</v>
      </c>
      <c r="B176" s="1">
        <v>92570</v>
      </c>
      <c r="Q176">
        <v>173</v>
      </c>
      <c r="R176" s="27" t="str">
        <f t="shared" si="92"/>
        <v>20/02/2024</v>
      </c>
      <c r="S176" s="27">
        <f t="shared" si="92"/>
        <v>88560</v>
      </c>
      <c r="T176" s="4" t="str">
        <f t="shared" si="93"/>
        <v>A8</v>
      </c>
      <c r="V176">
        <v>173</v>
      </c>
      <c r="W176" s="28" t="str">
        <f t="shared" si="91"/>
        <v>20/02/2024</v>
      </c>
      <c r="X176" s="28">
        <f t="shared" si="91"/>
        <v>88560</v>
      </c>
      <c r="Y176" s="28" t="str">
        <f t="shared" si="91"/>
        <v>A8</v>
      </c>
      <c r="Z176" s="5" t="str">
        <f t="shared" si="102"/>
        <v>A7</v>
      </c>
      <c r="AA176" s="5" t="str">
        <f t="shared" si="103"/>
        <v>A8</v>
      </c>
      <c r="AG176" s="29" t="str">
        <f t="shared" si="94"/>
        <v>20/02/2024</v>
      </c>
      <c r="AH176" s="30">
        <f t="shared" si="94"/>
        <v>88560</v>
      </c>
      <c r="AI176" s="4" t="str">
        <f t="shared" si="95"/>
        <v>A8</v>
      </c>
      <c r="AJ176" s="5" t="str">
        <f t="shared" si="104"/>
        <v>A7</v>
      </c>
      <c r="AK176">
        <f t="shared" si="105"/>
        <v>79891.5</v>
      </c>
      <c r="AL176" t="str">
        <f t="shared" si="106"/>
        <v>A8</v>
      </c>
      <c r="AM176">
        <f t="shared" si="107"/>
        <v>85922.5</v>
      </c>
      <c r="AN176" s="6">
        <f t="shared" si="108"/>
        <v>2250</v>
      </c>
      <c r="AO176">
        <f t="shared" si="109"/>
        <v>85955</v>
      </c>
      <c r="AP176">
        <f t="shared" si="132"/>
        <v>83705</v>
      </c>
      <c r="AQ176" s="33">
        <f t="shared" si="110"/>
        <v>87080</v>
      </c>
      <c r="AR176" s="33">
        <f t="shared" si="111"/>
        <v>82580</v>
      </c>
      <c r="AS176">
        <f t="shared" si="112"/>
        <v>85392.5</v>
      </c>
      <c r="AT176" s="5">
        <f t="shared" si="113"/>
        <v>84267.5</v>
      </c>
      <c r="AU176" s="5">
        <f t="shared" si="114"/>
        <v>89330</v>
      </c>
      <c r="AV176" s="5">
        <f t="shared" si="115"/>
        <v>80330</v>
      </c>
      <c r="AW176" s="5">
        <f t="shared" si="116"/>
        <v>85205</v>
      </c>
      <c r="AX176" s="5">
        <f t="shared" si="117"/>
        <v>84455</v>
      </c>
      <c r="AY176" s="5">
        <f t="shared" si="118"/>
        <v>91580</v>
      </c>
      <c r="AZ176" s="5">
        <f t="shared" si="119"/>
        <v>78080</v>
      </c>
      <c r="BB176" s="32" t="str">
        <f t="shared" si="96"/>
        <v>20/02/2024</v>
      </c>
      <c r="BC176" s="33">
        <f t="shared" si="96"/>
        <v>88560</v>
      </c>
      <c r="BD176" s="4" t="str">
        <f t="shared" si="96"/>
        <v>A8</v>
      </c>
      <c r="BE176">
        <f t="shared" si="120"/>
        <v>85938.75</v>
      </c>
      <c r="BF176">
        <f t="shared" si="121"/>
        <v>84813.75</v>
      </c>
      <c r="BG176">
        <f t="shared" si="122"/>
        <v>86501.25</v>
      </c>
      <c r="BH176">
        <f t="shared" si="123"/>
        <v>84251.25</v>
      </c>
      <c r="BI176">
        <f t="shared" si="124"/>
        <v>85657.5</v>
      </c>
      <c r="BJ176">
        <f t="shared" si="125"/>
        <v>85095</v>
      </c>
      <c r="BK176">
        <f t="shared" si="126"/>
        <v>87626.25</v>
      </c>
      <c r="BL176">
        <f t="shared" si="127"/>
        <v>83126.25</v>
      </c>
      <c r="BM176">
        <f t="shared" si="128"/>
        <v>85563.75</v>
      </c>
      <c r="BN176">
        <f t="shared" si="129"/>
        <v>85188.75</v>
      </c>
      <c r="BO176" s="38">
        <f t="shared" si="130"/>
        <v>88751.25</v>
      </c>
      <c r="BP176">
        <f t="shared" si="131"/>
        <v>82001.25</v>
      </c>
      <c r="BQ176" s="7">
        <f>BO176</f>
        <v>88751.25</v>
      </c>
      <c r="BS176" s="30">
        <f t="shared" si="97"/>
        <v>88560</v>
      </c>
      <c r="BT176" s="4">
        <f t="shared" si="98"/>
        <v>88751.25</v>
      </c>
      <c r="BU176" s="37">
        <f t="shared" si="99"/>
        <v>-191.25</v>
      </c>
      <c r="BV176">
        <f t="shared" si="100"/>
        <v>191.25</v>
      </c>
      <c r="BW176" s="35">
        <f t="shared" si="101"/>
        <v>2.1595528455284553E-3</v>
      </c>
    </row>
    <row r="177" spans="1:75">
      <c r="A177" s="1" t="s">
        <v>178</v>
      </c>
      <c r="B177" s="1">
        <v>92260</v>
      </c>
      <c r="Q177">
        <v>174</v>
      </c>
      <c r="R177" s="27" t="str">
        <f t="shared" si="92"/>
        <v>21/02/2024</v>
      </c>
      <c r="S177" s="27">
        <f t="shared" si="92"/>
        <v>92150</v>
      </c>
      <c r="T177" s="4" t="str">
        <f t="shared" si="93"/>
        <v>A9</v>
      </c>
      <c r="V177">
        <v>174</v>
      </c>
      <c r="W177" s="28" t="str">
        <f t="shared" si="91"/>
        <v>21/02/2024</v>
      </c>
      <c r="X177" s="28">
        <f t="shared" si="91"/>
        <v>92150</v>
      </c>
      <c r="Y177" s="28" t="str">
        <f t="shared" si="91"/>
        <v>A9</v>
      </c>
      <c r="Z177" s="5" t="str">
        <f t="shared" si="102"/>
        <v>A8</v>
      </c>
      <c r="AA177" s="5" t="str">
        <f t="shared" si="103"/>
        <v>A8</v>
      </c>
      <c r="AG177" s="29" t="str">
        <f t="shared" si="94"/>
        <v>21/02/2024</v>
      </c>
      <c r="AH177" s="30">
        <f t="shared" si="94"/>
        <v>92150</v>
      </c>
      <c r="AI177" s="4" t="str">
        <f t="shared" si="95"/>
        <v>A9</v>
      </c>
      <c r="AJ177" s="5" t="str">
        <f t="shared" si="104"/>
        <v>A8</v>
      </c>
      <c r="AK177">
        <f t="shared" si="105"/>
        <v>85922.5</v>
      </c>
      <c r="AL177" t="str">
        <f t="shared" si="106"/>
        <v>A8</v>
      </c>
      <c r="AM177">
        <f t="shared" si="107"/>
        <v>85922.5</v>
      </c>
      <c r="AN177" s="6">
        <f t="shared" si="108"/>
        <v>1130</v>
      </c>
      <c r="AO177">
        <f t="shared" si="109"/>
        <v>89125</v>
      </c>
      <c r="AP177">
        <f t="shared" si="132"/>
        <v>87995</v>
      </c>
      <c r="AQ177" s="33">
        <f t="shared" si="110"/>
        <v>89690</v>
      </c>
      <c r="AR177" s="33">
        <f t="shared" si="111"/>
        <v>87430</v>
      </c>
      <c r="AS177">
        <f t="shared" si="112"/>
        <v>88842.5</v>
      </c>
      <c r="AT177" s="5">
        <f t="shared" si="113"/>
        <v>88277.5</v>
      </c>
      <c r="AU177" s="5">
        <f t="shared" si="114"/>
        <v>90820</v>
      </c>
      <c r="AV177" s="5">
        <f t="shared" si="115"/>
        <v>86300</v>
      </c>
      <c r="AW177" s="5">
        <f t="shared" si="116"/>
        <v>88748.333333333328</v>
      </c>
      <c r="AX177" s="5">
        <f t="shared" si="117"/>
        <v>88371.666666666672</v>
      </c>
      <c r="AY177" s="5">
        <f t="shared" si="118"/>
        <v>91950</v>
      </c>
      <c r="AZ177" s="5">
        <f t="shared" si="119"/>
        <v>85170</v>
      </c>
      <c r="BB177" s="32" t="str">
        <f t="shared" si="96"/>
        <v>21/02/2024</v>
      </c>
      <c r="BC177" s="33">
        <f t="shared" si="96"/>
        <v>92150</v>
      </c>
      <c r="BD177" s="4" t="str">
        <f t="shared" si="96"/>
        <v>A9</v>
      </c>
      <c r="BE177">
        <f t="shared" si="120"/>
        <v>87523.75</v>
      </c>
      <c r="BF177">
        <f t="shared" si="121"/>
        <v>86958.75</v>
      </c>
      <c r="BG177">
        <f t="shared" si="122"/>
        <v>87806.25</v>
      </c>
      <c r="BH177">
        <f t="shared" si="123"/>
        <v>86676.25</v>
      </c>
      <c r="BI177">
        <f t="shared" si="124"/>
        <v>87382.5</v>
      </c>
      <c r="BJ177">
        <f t="shared" si="125"/>
        <v>87100</v>
      </c>
      <c r="BK177">
        <f t="shared" si="126"/>
        <v>88371.25</v>
      </c>
      <c r="BL177">
        <f t="shared" si="127"/>
        <v>86111.25</v>
      </c>
      <c r="BM177">
        <f t="shared" si="128"/>
        <v>87335.416666666657</v>
      </c>
      <c r="BN177">
        <f t="shared" si="129"/>
        <v>87147.083333333343</v>
      </c>
      <c r="BO177" s="38">
        <f t="shared" si="130"/>
        <v>88936.25</v>
      </c>
      <c r="BP177">
        <f t="shared" si="131"/>
        <v>85546.25</v>
      </c>
      <c r="BQ177" s="7">
        <f>BO177</f>
        <v>88936.25</v>
      </c>
      <c r="BS177" s="30">
        <f t="shared" si="97"/>
        <v>92150</v>
      </c>
      <c r="BT177" s="4">
        <f t="shared" si="98"/>
        <v>88936.25</v>
      </c>
      <c r="BU177" s="37">
        <f t="shared" si="99"/>
        <v>3213.75</v>
      </c>
      <c r="BV177">
        <f t="shared" si="100"/>
        <v>3213.75</v>
      </c>
      <c r="BW177" s="35">
        <f t="shared" si="101"/>
        <v>3.4875203472599023E-2</v>
      </c>
    </row>
    <row r="178" spans="1:75">
      <c r="A178" s="1" t="s">
        <v>179</v>
      </c>
      <c r="B178" s="1">
        <v>95070</v>
      </c>
      <c r="Q178">
        <v>175</v>
      </c>
      <c r="R178" s="27" t="str">
        <f t="shared" si="92"/>
        <v>22/02/2024</v>
      </c>
      <c r="S178" s="27">
        <f t="shared" si="92"/>
        <v>92570</v>
      </c>
      <c r="T178" s="4" t="str">
        <f t="shared" si="93"/>
        <v>A9</v>
      </c>
      <c r="V178">
        <v>175</v>
      </c>
      <c r="W178" s="28" t="str">
        <f t="shared" si="91"/>
        <v>22/02/2024</v>
      </c>
      <c r="X178" s="28">
        <f t="shared" si="91"/>
        <v>92570</v>
      </c>
      <c r="Y178" s="28" t="str">
        <f t="shared" si="91"/>
        <v>A9</v>
      </c>
      <c r="Z178" s="5" t="str">
        <f t="shared" si="102"/>
        <v>A8</v>
      </c>
      <c r="AA178" s="5" t="str">
        <f t="shared" si="103"/>
        <v>A9</v>
      </c>
      <c r="AG178" s="29" t="str">
        <f t="shared" si="94"/>
        <v>22/02/2024</v>
      </c>
      <c r="AH178" s="30">
        <f t="shared" si="94"/>
        <v>92570</v>
      </c>
      <c r="AI178" s="4" t="str">
        <f t="shared" si="95"/>
        <v>A9</v>
      </c>
      <c r="AJ178" s="5" t="str">
        <f t="shared" si="104"/>
        <v>A8</v>
      </c>
      <c r="AK178">
        <f t="shared" si="105"/>
        <v>85922.5</v>
      </c>
      <c r="AL178" t="str">
        <f t="shared" si="106"/>
        <v>A9</v>
      </c>
      <c r="AM178">
        <f t="shared" si="107"/>
        <v>91953.5</v>
      </c>
      <c r="AN178" s="6">
        <f t="shared" si="108"/>
        <v>140</v>
      </c>
      <c r="AO178">
        <f t="shared" si="109"/>
        <v>92220</v>
      </c>
      <c r="AP178">
        <f t="shared" si="132"/>
        <v>92080</v>
      </c>
      <c r="AQ178" s="33">
        <f t="shared" si="110"/>
        <v>92290</v>
      </c>
      <c r="AR178" s="33">
        <f t="shared" si="111"/>
        <v>92010</v>
      </c>
      <c r="AS178">
        <f t="shared" si="112"/>
        <v>92185</v>
      </c>
      <c r="AT178" s="5">
        <f t="shared" si="113"/>
        <v>92115</v>
      </c>
      <c r="AU178" s="5">
        <f t="shared" si="114"/>
        <v>92430</v>
      </c>
      <c r="AV178" s="5">
        <f t="shared" si="115"/>
        <v>91870</v>
      </c>
      <c r="AW178" s="5">
        <f t="shared" si="116"/>
        <v>92173.333333333328</v>
      </c>
      <c r="AX178" s="5">
        <f t="shared" si="117"/>
        <v>92126.666666666672</v>
      </c>
      <c r="AY178" s="5">
        <f t="shared" si="118"/>
        <v>92570</v>
      </c>
      <c r="AZ178" s="5">
        <f t="shared" si="119"/>
        <v>91730</v>
      </c>
      <c r="BB178" s="32" t="str">
        <f t="shared" si="96"/>
        <v>22/02/2024</v>
      </c>
      <c r="BC178" s="33">
        <f t="shared" si="96"/>
        <v>92570</v>
      </c>
      <c r="BD178" s="4" t="str">
        <f t="shared" si="96"/>
        <v>A9</v>
      </c>
      <c r="BE178">
        <f t="shared" si="120"/>
        <v>92086.75</v>
      </c>
      <c r="BF178">
        <f t="shared" si="121"/>
        <v>92016.75</v>
      </c>
      <c r="BG178">
        <f t="shared" si="122"/>
        <v>92121.75</v>
      </c>
      <c r="BH178">
        <f t="shared" si="123"/>
        <v>91981.75</v>
      </c>
      <c r="BI178">
        <f t="shared" si="124"/>
        <v>92069.25</v>
      </c>
      <c r="BJ178">
        <f t="shared" si="125"/>
        <v>92034.25</v>
      </c>
      <c r="BK178">
        <f t="shared" si="126"/>
        <v>92191.75</v>
      </c>
      <c r="BL178">
        <f t="shared" si="127"/>
        <v>91911.75</v>
      </c>
      <c r="BM178">
        <f t="shared" si="128"/>
        <v>92063.416666666657</v>
      </c>
      <c r="BN178" s="38">
        <f t="shared" si="129"/>
        <v>92040.083333333343</v>
      </c>
      <c r="BO178">
        <f t="shared" si="130"/>
        <v>92261.75</v>
      </c>
      <c r="BP178">
        <f t="shared" si="131"/>
        <v>91841.75</v>
      </c>
      <c r="BQ178" s="7">
        <f>BN178</f>
        <v>92040.083333333343</v>
      </c>
      <c r="BS178" s="30">
        <f t="shared" si="97"/>
        <v>92570</v>
      </c>
      <c r="BT178" s="4">
        <f t="shared" si="98"/>
        <v>92040.083333333343</v>
      </c>
      <c r="BU178" s="37">
        <f t="shared" si="99"/>
        <v>529.91666666665697</v>
      </c>
      <c r="BV178">
        <f t="shared" si="100"/>
        <v>529.91666666665697</v>
      </c>
      <c r="BW178" s="35">
        <f t="shared" si="101"/>
        <v>5.7244967772135356E-3</v>
      </c>
    </row>
    <row r="179" spans="1:75">
      <c r="A179" s="1" t="s">
        <v>180</v>
      </c>
      <c r="B179" s="1">
        <v>92870</v>
      </c>
      <c r="Q179">
        <v>176</v>
      </c>
      <c r="R179" s="27" t="str">
        <f t="shared" si="92"/>
        <v>23/02/2024</v>
      </c>
      <c r="S179" s="27">
        <f t="shared" si="92"/>
        <v>92260</v>
      </c>
      <c r="T179" s="4" t="str">
        <f t="shared" si="93"/>
        <v>A9</v>
      </c>
      <c r="V179">
        <v>176</v>
      </c>
      <c r="W179" s="28" t="str">
        <f t="shared" si="91"/>
        <v>23/02/2024</v>
      </c>
      <c r="X179" s="28">
        <f t="shared" si="91"/>
        <v>92260</v>
      </c>
      <c r="Y179" s="28" t="str">
        <f t="shared" si="91"/>
        <v>A9</v>
      </c>
      <c r="Z179" s="5" t="str">
        <f t="shared" si="102"/>
        <v>A9</v>
      </c>
      <c r="AA179" s="5" t="str">
        <f t="shared" si="103"/>
        <v>A9</v>
      </c>
      <c r="AG179" s="29" t="str">
        <f t="shared" si="94"/>
        <v>23/02/2024</v>
      </c>
      <c r="AH179" s="30">
        <f t="shared" si="94"/>
        <v>92260</v>
      </c>
      <c r="AI179" s="4" t="str">
        <f t="shared" si="95"/>
        <v>A9</v>
      </c>
      <c r="AJ179" s="5" t="str">
        <f t="shared" si="104"/>
        <v>A9</v>
      </c>
      <c r="AK179">
        <f t="shared" si="105"/>
        <v>91953.5</v>
      </c>
      <c r="AL179" t="str">
        <f t="shared" si="106"/>
        <v>A9</v>
      </c>
      <c r="AM179">
        <f t="shared" si="107"/>
        <v>91953.5</v>
      </c>
      <c r="AN179" s="6">
        <f t="shared" si="108"/>
        <v>3170</v>
      </c>
      <c r="AO179">
        <f t="shared" si="109"/>
        <v>94155</v>
      </c>
      <c r="AP179">
        <f t="shared" si="132"/>
        <v>90985</v>
      </c>
      <c r="AQ179" s="33">
        <f t="shared" si="110"/>
        <v>95740</v>
      </c>
      <c r="AR179" s="33">
        <f t="shared" si="111"/>
        <v>89400</v>
      </c>
      <c r="AS179">
        <f t="shared" si="112"/>
        <v>93362.5</v>
      </c>
      <c r="AT179" s="5">
        <f t="shared" si="113"/>
        <v>91777.5</v>
      </c>
      <c r="AU179" s="5">
        <f t="shared" si="114"/>
        <v>98910</v>
      </c>
      <c r="AV179" s="5">
        <f t="shared" si="115"/>
        <v>86230</v>
      </c>
      <c r="AW179" s="5">
        <f t="shared" si="116"/>
        <v>93098.333333333328</v>
      </c>
      <c r="AX179" s="5">
        <f t="shared" si="117"/>
        <v>92041.666666666672</v>
      </c>
      <c r="AY179" s="5">
        <f t="shared" si="118"/>
        <v>102080</v>
      </c>
      <c r="AZ179" s="5">
        <f t="shared" si="119"/>
        <v>83060</v>
      </c>
      <c r="BB179" s="32" t="str">
        <f t="shared" si="96"/>
        <v>23/02/2024</v>
      </c>
      <c r="BC179" s="33">
        <f t="shared" si="96"/>
        <v>92260</v>
      </c>
      <c r="BD179" s="4" t="str">
        <f t="shared" si="96"/>
        <v>A9</v>
      </c>
      <c r="BE179">
        <f t="shared" si="120"/>
        <v>93054.25</v>
      </c>
      <c r="BF179">
        <f t="shared" si="121"/>
        <v>91469.25</v>
      </c>
      <c r="BG179">
        <f t="shared" si="122"/>
        <v>93846.75</v>
      </c>
      <c r="BH179">
        <f t="shared" si="123"/>
        <v>90676.75</v>
      </c>
      <c r="BI179">
        <f t="shared" si="124"/>
        <v>92658</v>
      </c>
      <c r="BJ179">
        <f t="shared" si="125"/>
        <v>91865.5</v>
      </c>
      <c r="BK179">
        <f t="shared" si="126"/>
        <v>95431.75</v>
      </c>
      <c r="BL179">
        <f t="shared" si="127"/>
        <v>89091.75</v>
      </c>
      <c r="BM179" s="38">
        <f t="shared" si="128"/>
        <v>92525.916666666657</v>
      </c>
      <c r="BN179">
        <f t="shared" si="129"/>
        <v>91997.583333333343</v>
      </c>
      <c r="BO179">
        <f t="shared" si="130"/>
        <v>97016.75</v>
      </c>
      <c r="BP179">
        <f t="shared" si="131"/>
        <v>87506.75</v>
      </c>
      <c r="BQ179" s="7">
        <f>BM179</f>
        <v>92525.916666666657</v>
      </c>
      <c r="BS179" s="30">
        <f t="shared" si="97"/>
        <v>92260</v>
      </c>
      <c r="BT179" s="4">
        <f t="shared" si="98"/>
        <v>92525.916666666657</v>
      </c>
      <c r="BU179" s="37">
        <f t="shared" si="99"/>
        <v>-265.91666666665697</v>
      </c>
      <c r="BV179">
        <f t="shared" si="100"/>
        <v>265.91666666665697</v>
      </c>
      <c r="BW179" s="35">
        <f t="shared" si="101"/>
        <v>2.8822530529661497E-3</v>
      </c>
    </row>
    <row r="180" spans="1:75">
      <c r="A180" s="1" t="s">
        <v>181</v>
      </c>
      <c r="B180" s="1">
        <v>93460</v>
      </c>
      <c r="Q180">
        <v>177</v>
      </c>
      <c r="R180" s="27" t="str">
        <f t="shared" si="92"/>
        <v>24/02/2024</v>
      </c>
      <c r="S180" s="27">
        <f t="shared" si="92"/>
        <v>95070</v>
      </c>
      <c r="T180" s="4" t="str">
        <f t="shared" si="93"/>
        <v>A10</v>
      </c>
      <c r="V180">
        <v>177</v>
      </c>
      <c r="W180" s="28" t="str">
        <f t="shared" si="91"/>
        <v>24/02/2024</v>
      </c>
      <c r="X180" s="28">
        <f t="shared" si="91"/>
        <v>95070</v>
      </c>
      <c r="Y180" s="28" t="str">
        <f t="shared" si="91"/>
        <v>A10</v>
      </c>
      <c r="Z180" s="5" t="str">
        <f t="shared" si="102"/>
        <v>A9</v>
      </c>
      <c r="AA180" s="5" t="str">
        <f t="shared" si="103"/>
        <v>A9</v>
      </c>
      <c r="AG180" s="29" t="str">
        <f t="shared" si="94"/>
        <v>24/02/2024</v>
      </c>
      <c r="AH180" s="30">
        <f t="shared" si="94"/>
        <v>95070</v>
      </c>
      <c r="AI180" s="4" t="str">
        <f t="shared" si="95"/>
        <v>A10</v>
      </c>
      <c r="AJ180" s="5" t="str">
        <f t="shared" si="104"/>
        <v>A9</v>
      </c>
      <c r="AK180">
        <f t="shared" si="105"/>
        <v>91953.5</v>
      </c>
      <c r="AL180" t="str">
        <f t="shared" si="106"/>
        <v>A9</v>
      </c>
      <c r="AM180">
        <f t="shared" si="107"/>
        <v>91953.5</v>
      </c>
      <c r="AN180" s="6">
        <f t="shared" si="108"/>
        <v>110</v>
      </c>
      <c r="AO180">
        <f t="shared" si="109"/>
        <v>92315</v>
      </c>
      <c r="AP180">
        <f t="shared" si="132"/>
        <v>92205</v>
      </c>
      <c r="AQ180" s="33">
        <f t="shared" si="110"/>
        <v>92370</v>
      </c>
      <c r="AR180" s="33">
        <f t="shared" si="111"/>
        <v>92150</v>
      </c>
      <c r="AS180">
        <f t="shared" si="112"/>
        <v>92287.5</v>
      </c>
      <c r="AT180" s="5">
        <f t="shared" si="113"/>
        <v>92232.5</v>
      </c>
      <c r="AU180" s="5">
        <f t="shared" si="114"/>
        <v>92480</v>
      </c>
      <c r="AV180" s="5">
        <f t="shared" si="115"/>
        <v>92040</v>
      </c>
      <c r="AW180" s="5">
        <f t="shared" si="116"/>
        <v>92278.333333333328</v>
      </c>
      <c r="AX180" s="5">
        <f t="shared" si="117"/>
        <v>92241.666666666672</v>
      </c>
      <c r="AY180" s="5">
        <f t="shared" si="118"/>
        <v>92590</v>
      </c>
      <c r="AZ180" s="5">
        <f t="shared" si="119"/>
        <v>91930</v>
      </c>
      <c r="BB180" s="32" t="str">
        <f t="shared" si="96"/>
        <v>24/02/2024</v>
      </c>
      <c r="BC180" s="33">
        <f t="shared" si="96"/>
        <v>95070</v>
      </c>
      <c r="BD180" s="4" t="str">
        <f t="shared" si="96"/>
        <v>A10</v>
      </c>
      <c r="BE180">
        <f t="shared" si="120"/>
        <v>92134.25</v>
      </c>
      <c r="BF180">
        <f t="shared" si="121"/>
        <v>92079.25</v>
      </c>
      <c r="BG180">
        <f t="shared" si="122"/>
        <v>92161.75</v>
      </c>
      <c r="BH180">
        <f t="shared" si="123"/>
        <v>92051.75</v>
      </c>
      <c r="BI180">
        <f t="shared" si="124"/>
        <v>92120.5</v>
      </c>
      <c r="BJ180">
        <f t="shared" si="125"/>
        <v>92093</v>
      </c>
      <c r="BK180">
        <f t="shared" si="126"/>
        <v>92216.75</v>
      </c>
      <c r="BL180">
        <f t="shared" si="127"/>
        <v>91996.75</v>
      </c>
      <c r="BM180">
        <f t="shared" si="128"/>
        <v>92115.916666666657</v>
      </c>
      <c r="BN180">
        <f t="shared" si="129"/>
        <v>92097.583333333343</v>
      </c>
      <c r="BO180" s="38">
        <f t="shared" si="130"/>
        <v>92271.75</v>
      </c>
      <c r="BP180">
        <f t="shared" si="131"/>
        <v>91941.75</v>
      </c>
      <c r="BQ180" s="7">
        <f>BO180</f>
        <v>92271.75</v>
      </c>
      <c r="BS180" s="30">
        <f t="shared" si="97"/>
        <v>95070</v>
      </c>
      <c r="BT180" s="4">
        <f t="shared" si="98"/>
        <v>92271.75</v>
      </c>
      <c r="BU180" s="37">
        <f t="shared" si="99"/>
        <v>2798.25</v>
      </c>
      <c r="BV180">
        <f t="shared" si="100"/>
        <v>2798.25</v>
      </c>
      <c r="BW180" s="35">
        <f t="shared" si="101"/>
        <v>2.943357526033449E-2</v>
      </c>
    </row>
    <row r="181" spans="1:75">
      <c r="A181" s="1" t="s">
        <v>182</v>
      </c>
      <c r="B181" s="1">
        <v>93770</v>
      </c>
      <c r="Q181">
        <v>178</v>
      </c>
      <c r="R181" s="27" t="str">
        <f t="shared" si="92"/>
        <v>25/02/2024</v>
      </c>
      <c r="S181" s="27">
        <f t="shared" si="92"/>
        <v>92870</v>
      </c>
      <c r="T181" s="4" t="str">
        <f t="shared" si="93"/>
        <v>A9</v>
      </c>
      <c r="V181">
        <v>178</v>
      </c>
      <c r="W181" s="28" t="str">
        <f t="shared" si="91"/>
        <v>25/02/2024</v>
      </c>
      <c r="X181" s="28">
        <f t="shared" si="91"/>
        <v>92870</v>
      </c>
      <c r="Y181" s="28" t="str">
        <f t="shared" si="91"/>
        <v>A9</v>
      </c>
      <c r="Z181" s="5" t="str">
        <f t="shared" si="102"/>
        <v>A9</v>
      </c>
      <c r="AA181" s="5" t="str">
        <f t="shared" si="103"/>
        <v>A10</v>
      </c>
      <c r="AG181" s="29" t="str">
        <f t="shared" si="94"/>
        <v>25/02/2024</v>
      </c>
      <c r="AH181" s="30">
        <f t="shared" si="94"/>
        <v>92870</v>
      </c>
      <c r="AI181" s="4" t="str">
        <f t="shared" si="95"/>
        <v>A9</v>
      </c>
      <c r="AJ181" s="5" t="str">
        <f t="shared" si="104"/>
        <v>A9</v>
      </c>
      <c r="AK181">
        <f t="shared" si="105"/>
        <v>91953.5</v>
      </c>
      <c r="AL181" t="str">
        <f t="shared" si="106"/>
        <v>A10</v>
      </c>
      <c r="AM181">
        <f t="shared" si="107"/>
        <v>97984.5</v>
      </c>
      <c r="AN181" s="6">
        <f t="shared" si="108"/>
        <v>2500</v>
      </c>
      <c r="AO181">
        <f t="shared" si="109"/>
        <v>96320</v>
      </c>
      <c r="AP181">
        <f t="shared" si="132"/>
        <v>93820</v>
      </c>
      <c r="AQ181" s="33">
        <f t="shared" si="110"/>
        <v>97570</v>
      </c>
      <c r="AR181" s="33">
        <f t="shared" si="111"/>
        <v>92570</v>
      </c>
      <c r="AS181">
        <f t="shared" si="112"/>
        <v>95695</v>
      </c>
      <c r="AT181" s="5">
        <f t="shared" si="113"/>
        <v>94445</v>
      </c>
      <c r="AU181" s="5">
        <f t="shared" si="114"/>
        <v>100070</v>
      </c>
      <c r="AV181" s="5">
        <f t="shared" si="115"/>
        <v>90070</v>
      </c>
      <c r="AW181" s="5">
        <f t="shared" si="116"/>
        <v>95486.666666666672</v>
      </c>
      <c r="AX181" s="5">
        <f t="shared" si="117"/>
        <v>94653.333333333328</v>
      </c>
      <c r="AY181" s="5">
        <f t="shared" si="118"/>
        <v>102570</v>
      </c>
      <c r="AZ181" s="5">
        <f t="shared" si="119"/>
        <v>87570</v>
      </c>
      <c r="BB181" s="32" t="str">
        <f t="shared" si="96"/>
        <v>25/02/2024</v>
      </c>
      <c r="BC181" s="33">
        <f t="shared" si="96"/>
        <v>92870</v>
      </c>
      <c r="BD181" s="4" t="str">
        <f t="shared" si="96"/>
        <v>A9</v>
      </c>
      <c r="BE181">
        <f t="shared" si="120"/>
        <v>97152.25</v>
      </c>
      <c r="BF181">
        <f t="shared" si="121"/>
        <v>95902.25</v>
      </c>
      <c r="BG181">
        <f t="shared" si="122"/>
        <v>97777.25</v>
      </c>
      <c r="BH181">
        <f t="shared" si="123"/>
        <v>95277.25</v>
      </c>
      <c r="BI181">
        <f t="shared" si="124"/>
        <v>96839.75</v>
      </c>
      <c r="BJ181">
        <f t="shared" si="125"/>
        <v>96214.75</v>
      </c>
      <c r="BK181">
        <f t="shared" si="126"/>
        <v>99027.25</v>
      </c>
      <c r="BL181">
        <f t="shared" si="127"/>
        <v>94027.25</v>
      </c>
      <c r="BM181">
        <f t="shared" si="128"/>
        <v>96735.583333333343</v>
      </c>
      <c r="BN181">
        <f t="shared" si="129"/>
        <v>96318.916666666657</v>
      </c>
      <c r="BO181">
        <f t="shared" si="130"/>
        <v>100277.25</v>
      </c>
      <c r="BP181" s="38">
        <f t="shared" si="131"/>
        <v>92777.25</v>
      </c>
      <c r="BQ181" s="7">
        <f>BP181</f>
        <v>92777.25</v>
      </c>
      <c r="BS181" s="30">
        <f t="shared" si="97"/>
        <v>92870</v>
      </c>
      <c r="BT181" s="4">
        <f t="shared" si="98"/>
        <v>92777.25</v>
      </c>
      <c r="BU181" s="37">
        <f t="shared" si="99"/>
        <v>92.75</v>
      </c>
      <c r="BV181">
        <f t="shared" si="100"/>
        <v>92.75</v>
      </c>
      <c r="BW181" s="35">
        <f t="shared" si="101"/>
        <v>9.9870787121783132E-4</v>
      </c>
    </row>
    <row r="182" spans="1:75">
      <c r="A182" s="1" t="s">
        <v>183</v>
      </c>
      <c r="B182" s="1">
        <v>95170</v>
      </c>
      <c r="Q182">
        <v>179</v>
      </c>
      <c r="R182" s="27" t="str">
        <f t="shared" si="92"/>
        <v>26/02/2024</v>
      </c>
      <c r="S182" s="27">
        <f t="shared" si="92"/>
        <v>93460</v>
      </c>
      <c r="T182" s="4" t="str">
        <f t="shared" si="93"/>
        <v>A9</v>
      </c>
      <c r="V182">
        <v>179</v>
      </c>
      <c r="W182" s="28" t="str">
        <f t="shared" si="91"/>
        <v>26/02/2024</v>
      </c>
      <c r="X182" s="28">
        <f t="shared" si="91"/>
        <v>93460</v>
      </c>
      <c r="Y182" s="28" t="str">
        <f t="shared" si="91"/>
        <v>A9</v>
      </c>
      <c r="Z182" s="5" t="str">
        <f t="shared" si="102"/>
        <v>A10</v>
      </c>
      <c r="AA182" s="5" t="str">
        <f t="shared" si="103"/>
        <v>A9</v>
      </c>
      <c r="AG182" s="29" t="str">
        <f t="shared" si="94"/>
        <v>26/02/2024</v>
      </c>
      <c r="AH182" s="30">
        <f t="shared" si="94"/>
        <v>93460</v>
      </c>
      <c r="AI182" s="4" t="str">
        <f t="shared" si="95"/>
        <v>A9</v>
      </c>
      <c r="AJ182" s="5" t="str">
        <f t="shared" si="104"/>
        <v>A10</v>
      </c>
      <c r="AK182">
        <f t="shared" si="105"/>
        <v>97984.5</v>
      </c>
      <c r="AL182" t="str">
        <f t="shared" si="106"/>
        <v>A9</v>
      </c>
      <c r="AM182">
        <f t="shared" si="107"/>
        <v>91953.5</v>
      </c>
      <c r="AN182" s="6">
        <f t="shared" si="108"/>
        <v>610</v>
      </c>
      <c r="AO182">
        <f t="shared" si="109"/>
        <v>93175</v>
      </c>
      <c r="AP182">
        <f t="shared" si="132"/>
        <v>92565</v>
      </c>
      <c r="AQ182" s="33">
        <f t="shared" si="110"/>
        <v>93480</v>
      </c>
      <c r="AR182" s="33">
        <f t="shared" si="111"/>
        <v>92260</v>
      </c>
      <c r="AS182">
        <f t="shared" si="112"/>
        <v>93022.5</v>
      </c>
      <c r="AT182" s="5">
        <f t="shared" si="113"/>
        <v>92717.5</v>
      </c>
      <c r="AU182" s="5">
        <f t="shared" si="114"/>
        <v>94090</v>
      </c>
      <c r="AV182" s="5">
        <f t="shared" si="115"/>
        <v>91650</v>
      </c>
      <c r="AW182" s="5">
        <f t="shared" si="116"/>
        <v>92971.666666666672</v>
      </c>
      <c r="AX182" s="5">
        <f t="shared" si="117"/>
        <v>92768.333333333328</v>
      </c>
      <c r="AY182" s="5">
        <f t="shared" si="118"/>
        <v>94700</v>
      </c>
      <c r="AZ182" s="5">
        <f t="shared" si="119"/>
        <v>91040</v>
      </c>
      <c r="BB182" s="32" t="str">
        <f t="shared" si="96"/>
        <v>26/02/2024</v>
      </c>
      <c r="BC182" s="33">
        <f t="shared" si="96"/>
        <v>93460</v>
      </c>
      <c r="BD182" s="4" t="str">
        <f t="shared" si="96"/>
        <v>A9</v>
      </c>
      <c r="BE182">
        <f t="shared" si="120"/>
        <v>92564.25</v>
      </c>
      <c r="BF182">
        <f t="shared" si="121"/>
        <v>92259.25</v>
      </c>
      <c r="BG182">
        <f t="shared" si="122"/>
        <v>92716.75</v>
      </c>
      <c r="BH182">
        <f t="shared" si="123"/>
        <v>92106.75</v>
      </c>
      <c r="BI182">
        <f t="shared" si="124"/>
        <v>92488</v>
      </c>
      <c r="BJ182">
        <f t="shared" si="125"/>
        <v>92335.5</v>
      </c>
      <c r="BK182">
        <f t="shared" si="126"/>
        <v>93021.75</v>
      </c>
      <c r="BL182">
        <f t="shared" si="127"/>
        <v>91801.75</v>
      </c>
      <c r="BM182">
        <f t="shared" si="128"/>
        <v>92462.583333333343</v>
      </c>
      <c r="BN182">
        <f t="shared" si="129"/>
        <v>92360.916666666657</v>
      </c>
      <c r="BO182" s="38">
        <f t="shared" si="130"/>
        <v>93326.75</v>
      </c>
      <c r="BP182">
        <f t="shared" si="131"/>
        <v>91496.75</v>
      </c>
      <c r="BQ182" s="7">
        <f>BO182</f>
        <v>93326.75</v>
      </c>
      <c r="BS182" s="30">
        <f t="shared" si="97"/>
        <v>93460</v>
      </c>
      <c r="BT182" s="4">
        <f t="shared" si="98"/>
        <v>93326.75</v>
      </c>
      <c r="BU182" s="37">
        <f t="shared" si="99"/>
        <v>133.25</v>
      </c>
      <c r="BV182">
        <f t="shared" si="100"/>
        <v>133.25</v>
      </c>
      <c r="BW182" s="35">
        <f t="shared" si="101"/>
        <v>1.4257436336400598E-3</v>
      </c>
    </row>
    <row r="183" spans="1:75">
      <c r="A183" s="1" t="s">
        <v>184</v>
      </c>
      <c r="B183" s="1">
        <v>94750</v>
      </c>
      <c r="Q183">
        <v>180</v>
      </c>
      <c r="R183" s="27" t="str">
        <f t="shared" si="92"/>
        <v>27/02/2024</v>
      </c>
      <c r="S183" s="27">
        <f t="shared" si="92"/>
        <v>93770</v>
      </c>
      <c r="T183" s="4" t="str">
        <f t="shared" si="93"/>
        <v>A9</v>
      </c>
      <c r="V183">
        <v>180</v>
      </c>
      <c r="W183" s="28" t="str">
        <f t="shared" si="91"/>
        <v>27/02/2024</v>
      </c>
      <c r="X183" s="28">
        <f t="shared" si="91"/>
        <v>93770</v>
      </c>
      <c r="Y183" s="28" t="str">
        <f t="shared" si="91"/>
        <v>A9</v>
      </c>
      <c r="Z183" s="5" t="str">
        <f t="shared" si="102"/>
        <v>A9</v>
      </c>
      <c r="AA183" s="5" t="str">
        <f t="shared" si="103"/>
        <v>A9</v>
      </c>
      <c r="AG183" s="29" t="str">
        <f t="shared" si="94"/>
        <v>27/02/2024</v>
      </c>
      <c r="AH183" s="30">
        <f t="shared" si="94"/>
        <v>93770</v>
      </c>
      <c r="AI183" s="4" t="str">
        <f t="shared" si="95"/>
        <v>A9</v>
      </c>
      <c r="AJ183" s="5" t="str">
        <f t="shared" si="104"/>
        <v>A9</v>
      </c>
      <c r="AK183">
        <f t="shared" si="105"/>
        <v>91953.5</v>
      </c>
      <c r="AL183" t="str">
        <f t="shared" si="106"/>
        <v>A9</v>
      </c>
      <c r="AM183">
        <f t="shared" si="107"/>
        <v>91953.5</v>
      </c>
      <c r="AN183" s="6">
        <f t="shared" si="108"/>
        <v>1610</v>
      </c>
      <c r="AO183">
        <f t="shared" si="109"/>
        <v>94265</v>
      </c>
      <c r="AP183">
        <f t="shared" si="132"/>
        <v>92655</v>
      </c>
      <c r="AQ183" s="33">
        <f t="shared" si="110"/>
        <v>95070</v>
      </c>
      <c r="AR183" s="33">
        <f t="shared" si="111"/>
        <v>91850</v>
      </c>
      <c r="AS183">
        <f t="shared" si="112"/>
        <v>93862.5</v>
      </c>
      <c r="AT183" s="5">
        <f t="shared" si="113"/>
        <v>93057.5</v>
      </c>
      <c r="AU183" s="5">
        <f t="shared" si="114"/>
        <v>96680</v>
      </c>
      <c r="AV183" s="5">
        <f t="shared" si="115"/>
        <v>90240</v>
      </c>
      <c r="AW183" s="5">
        <f t="shared" si="116"/>
        <v>93728.333333333328</v>
      </c>
      <c r="AX183" s="5">
        <f t="shared" si="117"/>
        <v>93191.666666666672</v>
      </c>
      <c r="AY183" s="5">
        <f t="shared" si="118"/>
        <v>98290</v>
      </c>
      <c r="AZ183" s="5">
        <f t="shared" si="119"/>
        <v>88630</v>
      </c>
      <c r="BB183" s="32" t="str">
        <f t="shared" si="96"/>
        <v>27/02/2024</v>
      </c>
      <c r="BC183" s="33">
        <f t="shared" si="96"/>
        <v>93770</v>
      </c>
      <c r="BD183" s="4" t="str">
        <f t="shared" si="96"/>
        <v>A9</v>
      </c>
      <c r="BE183">
        <f t="shared" si="120"/>
        <v>93109.25</v>
      </c>
      <c r="BF183">
        <f t="shared" si="121"/>
        <v>92304.25</v>
      </c>
      <c r="BG183" s="38">
        <f t="shared" si="122"/>
        <v>93511.75</v>
      </c>
      <c r="BH183">
        <f t="shared" si="123"/>
        <v>91901.75</v>
      </c>
      <c r="BI183">
        <f t="shared" si="124"/>
        <v>92908</v>
      </c>
      <c r="BJ183">
        <f t="shared" si="125"/>
        <v>92505.5</v>
      </c>
      <c r="BK183">
        <f t="shared" si="126"/>
        <v>94316.75</v>
      </c>
      <c r="BL183">
        <f t="shared" si="127"/>
        <v>91096.75</v>
      </c>
      <c r="BM183">
        <f t="shared" si="128"/>
        <v>92840.916666666657</v>
      </c>
      <c r="BN183">
        <f t="shared" si="129"/>
        <v>92572.583333333343</v>
      </c>
      <c r="BO183">
        <f t="shared" si="130"/>
        <v>95121.75</v>
      </c>
      <c r="BP183">
        <f t="shared" si="131"/>
        <v>90291.75</v>
      </c>
      <c r="BQ183" s="7">
        <f>BG183</f>
        <v>93511.75</v>
      </c>
      <c r="BS183" s="30">
        <f t="shared" si="97"/>
        <v>93770</v>
      </c>
      <c r="BT183" s="4">
        <f t="shared" si="98"/>
        <v>93511.75</v>
      </c>
      <c r="BU183" s="37">
        <f t="shared" si="99"/>
        <v>258.25</v>
      </c>
      <c r="BV183">
        <f t="shared" si="100"/>
        <v>258.25</v>
      </c>
      <c r="BW183" s="35">
        <f t="shared" si="101"/>
        <v>2.7540791297856458E-3</v>
      </c>
    </row>
    <row r="184" spans="1:75">
      <c r="A184" s="1" t="s">
        <v>185</v>
      </c>
      <c r="B184" s="1">
        <v>93030</v>
      </c>
      <c r="Q184">
        <v>181</v>
      </c>
      <c r="R184" s="27" t="str">
        <f t="shared" si="92"/>
        <v>28/02/2024</v>
      </c>
      <c r="S184" s="27">
        <f t="shared" si="92"/>
        <v>95170</v>
      </c>
      <c r="T184" s="4" t="str">
        <f t="shared" si="93"/>
        <v>A10</v>
      </c>
      <c r="V184">
        <v>181</v>
      </c>
      <c r="W184" s="28" t="str">
        <f t="shared" si="91"/>
        <v>28/02/2024</v>
      </c>
      <c r="X184" s="28">
        <f t="shared" si="91"/>
        <v>95170</v>
      </c>
      <c r="Y184" s="28" t="str">
        <f t="shared" si="91"/>
        <v>A10</v>
      </c>
      <c r="Z184" s="5" t="str">
        <f t="shared" si="102"/>
        <v>A9</v>
      </c>
      <c r="AA184" s="5" t="str">
        <f t="shared" si="103"/>
        <v>A9</v>
      </c>
      <c r="AG184" s="29" t="str">
        <f t="shared" si="94"/>
        <v>28/02/2024</v>
      </c>
      <c r="AH184" s="30">
        <f t="shared" si="94"/>
        <v>95170</v>
      </c>
      <c r="AI184" s="4" t="str">
        <f t="shared" si="95"/>
        <v>A10</v>
      </c>
      <c r="AJ184" s="5" t="str">
        <f t="shared" si="104"/>
        <v>A9</v>
      </c>
      <c r="AK184">
        <f t="shared" si="105"/>
        <v>91953.5</v>
      </c>
      <c r="AL184" t="str">
        <f t="shared" si="106"/>
        <v>A9</v>
      </c>
      <c r="AM184">
        <f t="shared" si="107"/>
        <v>91953.5</v>
      </c>
      <c r="AN184" s="6">
        <f t="shared" si="108"/>
        <v>280</v>
      </c>
      <c r="AO184">
        <f t="shared" si="109"/>
        <v>93910</v>
      </c>
      <c r="AP184">
        <f t="shared" si="132"/>
        <v>93630</v>
      </c>
      <c r="AQ184" s="33">
        <f t="shared" si="110"/>
        <v>94050</v>
      </c>
      <c r="AR184" s="33">
        <f t="shared" si="111"/>
        <v>93490</v>
      </c>
      <c r="AS184">
        <f t="shared" si="112"/>
        <v>93840</v>
      </c>
      <c r="AT184" s="5">
        <f t="shared" si="113"/>
        <v>93700</v>
      </c>
      <c r="AU184" s="5">
        <f t="shared" si="114"/>
        <v>94330</v>
      </c>
      <c r="AV184" s="5">
        <f t="shared" si="115"/>
        <v>93210</v>
      </c>
      <c r="AW184" s="5">
        <f t="shared" si="116"/>
        <v>93816.666666666672</v>
      </c>
      <c r="AX184" s="5">
        <f t="shared" si="117"/>
        <v>93723.333333333328</v>
      </c>
      <c r="AY184" s="5">
        <f t="shared" si="118"/>
        <v>94610</v>
      </c>
      <c r="AZ184" s="5">
        <f t="shared" si="119"/>
        <v>92930</v>
      </c>
      <c r="BB184" s="32" t="str">
        <f t="shared" si="96"/>
        <v>28/02/2024</v>
      </c>
      <c r="BC184" s="33">
        <f t="shared" si="96"/>
        <v>95170</v>
      </c>
      <c r="BD184" s="4" t="str">
        <f t="shared" si="96"/>
        <v>A10</v>
      </c>
      <c r="BE184">
        <f t="shared" si="120"/>
        <v>92931.75</v>
      </c>
      <c r="BF184">
        <f t="shared" si="121"/>
        <v>92791.75</v>
      </c>
      <c r="BG184">
        <f t="shared" si="122"/>
        <v>93001.75</v>
      </c>
      <c r="BH184">
        <f t="shared" si="123"/>
        <v>92721.75</v>
      </c>
      <c r="BI184">
        <f t="shared" si="124"/>
        <v>92896.75</v>
      </c>
      <c r="BJ184">
        <f t="shared" si="125"/>
        <v>92826.75</v>
      </c>
      <c r="BK184">
        <f t="shared" si="126"/>
        <v>93141.75</v>
      </c>
      <c r="BL184">
        <f t="shared" si="127"/>
        <v>92581.75</v>
      </c>
      <c r="BM184">
        <f t="shared" si="128"/>
        <v>92885.083333333343</v>
      </c>
      <c r="BN184">
        <f t="shared" si="129"/>
        <v>92838.416666666657</v>
      </c>
      <c r="BO184" s="38">
        <f t="shared" si="130"/>
        <v>93281.75</v>
      </c>
      <c r="BP184">
        <f t="shared" si="131"/>
        <v>92441.75</v>
      </c>
      <c r="BQ184" s="7">
        <f>BO184</f>
        <v>93281.75</v>
      </c>
      <c r="BS184" s="30">
        <f t="shared" si="97"/>
        <v>95170</v>
      </c>
      <c r="BT184" s="4">
        <f t="shared" si="98"/>
        <v>93281.75</v>
      </c>
      <c r="BU184" s="37">
        <f t="shared" si="99"/>
        <v>1888.25</v>
      </c>
      <c r="BV184">
        <f t="shared" si="100"/>
        <v>1888.25</v>
      </c>
      <c r="BW184" s="35">
        <f t="shared" si="101"/>
        <v>1.9840811179993697E-2</v>
      </c>
    </row>
    <row r="185" spans="1:75">
      <c r="A185" s="1" t="s">
        <v>186</v>
      </c>
      <c r="B185" s="1">
        <v>92790</v>
      </c>
      <c r="Q185">
        <v>182</v>
      </c>
      <c r="R185" s="27" t="str">
        <f t="shared" si="92"/>
        <v>29/02/2024</v>
      </c>
      <c r="S185" s="27">
        <f t="shared" si="92"/>
        <v>94750</v>
      </c>
      <c r="T185" s="4" t="str">
        <f t="shared" si="93"/>
        <v>A9</v>
      </c>
      <c r="V185">
        <v>182</v>
      </c>
      <c r="W185" s="28" t="str">
        <f t="shared" si="91"/>
        <v>29/02/2024</v>
      </c>
      <c r="X185" s="28">
        <f t="shared" si="91"/>
        <v>94750</v>
      </c>
      <c r="Y185" s="28" t="str">
        <f t="shared" si="91"/>
        <v>A9</v>
      </c>
      <c r="Z185" s="5" t="str">
        <f t="shared" si="102"/>
        <v>A9</v>
      </c>
      <c r="AA185" s="5" t="str">
        <f t="shared" si="103"/>
        <v>A10</v>
      </c>
      <c r="AG185" s="29" t="str">
        <f t="shared" si="94"/>
        <v>29/02/2024</v>
      </c>
      <c r="AH185" s="30">
        <f t="shared" si="94"/>
        <v>94750</v>
      </c>
      <c r="AI185" s="4" t="str">
        <f t="shared" si="95"/>
        <v>A9</v>
      </c>
      <c r="AJ185" s="5" t="str">
        <f t="shared" si="104"/>
        <v>A9</v>
      </c>
      <c r="AK185">
        <f t="shared" si="105"/>
        <v>91953.5</v>
      </c>
      <c r="AL185" t="str">
        <f t="shared" si="106"/>
        <v>A10</v>
      </c>
      <c r="AM185">
        <f t="shared" si="107"/>
        <v>97984.5</v>
      </c>
      <c r="AN185" s="6">
        <f t="shared" si="108"/>
        <v>1090</v>
      </c>
      <c r="AO185">
        <f t="shared" si="109"/>
        <v>95715</v>
      </c>
      <c r="AP185">
        <f t="shared" si="132"/>
        <v>94625</v>
      </c>
      <c r="AQ185" s="33">
        <f t="shared" si="110"/>
        <v>96260</v>
      </c>
      <c r="AR185" s="33">
        <f t="shared" si="111"/>
        <v>94080</v>
      </c>
      <c r="AS185">
        <f t="shared" si="112"/>
        <v>95442.5</v>
      </c>
      <c r="AT185" s="5">
        <f t="shared" si="113"/>
        <v>94897.5</v>
      </c>
      <c r="AU185" s="5">
        <f t="shared" si="114"/>
        <v>97350</v>
      </c>
      <c r="AV185" s="5">
        <f t="shared" si="115"/>
        <v>92990</v>
      </c>
      <c r="AW185" s="5">
        <f t="shared" si="116"/>
        <v>95351.666666666672</v>
      </c>
      <c r="AX185" s="5">
        <f t="shared" si="117"/>
        <v>94988.333333333328</v>
      </c>
      <c r="AY185" s="5">
        <f t="shared" si="118"/>
        <v>98440</v>
      </c>
      <c r="AZ185" s="5">
        <f t="shared" si="119"/>
        <v>91900</v>
      </c>
      <c r="BB185" s="32" t="str">
        <f t="shared" si="96"/>
        <v>29/02/2024</v>
      </c>
      <c r="BC185" s="33">
        <f t="shared" si="96"/>
        <v>94750</v>
      </c>
      <c r="BD185" s="4" t="str">
        <f t="shared" si="96"/>
        <v>A9</v>
      </c>
      <c r="BE185">
        <f t="shared" si="120"/>
        <v>96849.75</v>
      </c>
      <c r="BF185">
        <f t="shared" si="121"/>
        <v>96304.75</v>
      </c>
      <c r="BG185">
        <f t="shared" si="122"/>
        <v>97122.25</v>
      </c>
      <c r="BH185">
        <f t="shared" si="123"/>
        <v>96032.25</v>
      </c>
      <c r="BI185">
        <f t="shared" si="124"/>
        <v>96713.5</v>
      </c>
      <c r="BJ185">
        <f t="shared" si="125"/>
        <v>96441</v>
      </c>
      <c r="BK185">
        <f t="shared" si="126"/>
        <v>97667.25</v>
      </c>
      <c r="BL185">
        <f t="shared" si="127"/>
        <v>95487.25</v>
      </c>
      <c r="BM185">
        <f t="shared" si="128"/>
        <v>96668.083333333343</v>
      </c>
      <c r="BN185">
        <f t="shared" si="129"/>
        <v>96486.416666666657</v>
      </c>
      <c r="BO185">
        <f t="shared" si="130"/>
        <v>98212.25</v>
      </c>
      <c r="BP185" s="38">
        <f t="shared" si="131"/>
        <v>94942.25</v>
      </c>
      <c r="BQ185" s="7">
        <f>BP185</f>
        <v>94942.25</v>
      </c>
      <c r="BS185" s="30">
        <f t="shared" si="97"/>
        <v>94750</v>
      </c>
      <c r="BT185" s="4">
        <f t="shared" si="98"/>
        <v>94942.25</v>
      </c>
      <c r="BU185" s="37">
        <f t="shared" si="99"/>
        <v>-192.25</v>
      </c>
      <c r="BV185">
        <f t="shared" si="100"/>
        <v>192.25</v>
      </c>
      <c r="BW185" s="35">
        <f t="shared" si="101"/>
        <v>2.0290237467018471E-3</v>
      </c>
    </row>
    <row r="186" spans="1:75">
      <c r="A186" s="1" t="s">
        <v>187</v>
      </c>
      <c r="B186" s="1">
        <v>93290</v>
      </c>
      <c r="Q186">
        <v>183</v>
      </c>
      <c r="R186" s="27" t="str">
        <f t="shared" si="92"/>
        <v>01/03/2024</v>
      </c>
      <c r="S186" s="27">
        <f t="shared" si="92"/>
        <v>93030</v>
      </c>
      <c r="T186" s="4" t="str">
        <f t="shared" si="93"/>
        <v>A9</v>
      </c>
      <c r="V186">
        <v>183</v>
      </c>
      <c r="W186" s="28" t="str">
        <f t="shared" si="91"/>
        <v>01/03/2024</v>
      </c>
      <c r="X186" s="28">
        <f t="shared" si="91"/>
        <v>93030</v>
      </c>
      <c r="Y186" s="28" t="str">
        <f t="shared" si="91"/>
        <v>A9</v>
      </c>
      <c r="Z186" s="5" t="str">
        <f t="shared" si="102"/>
        <v>A10</v>
      </c>
      <c r="AA186" s="5" t="str">
        <f t="shared" si="103"/>
        <v>A9</v>
      </c>
      <c r="AG186" s="29" t="str">
        <f t="shared" si="94"/>
        <v>01/03/2024</v>
      </c>
      <c r="AH186" s="30">
        <f t="shared" si="94"/>
        <v>93030</v>
      </c>
      <c r="AI186" s="4" t="str">
        <f t="shared" si="95"/>
        <v>A9</v>
      </c>
      <c r="AJ186" s="5" t="str">
        <f t="shared" si="104"/>
        <v>A10</v>
      </c>
      <c r="AK186">
        <f t="shared" si="105"/>
        <v>97984.5</v>
      </c>
      <c r="AL186" t="str">
        <f t="shared" si="106"/>
        <v>A9</v>
      </c>
      <c r="AM186">
        <f t="shared" si="107"/>
        <v>91953.5</v>
      </c>
      <c r="AN186" s="6">
        <f t="shared" si="108"/>
        <v>980</v>
      </c>
      <c r="AO186">
        <f t="shared" si="109"/>
        <v>95240</v>
      </c>
      <c r="AP186">
        <f t="shared" si="132"/>
        <v>94260</v>
      </c>
      <c r="AQ186" s="33">
        <f t="shared" si="110"/>
        <v>95730</v>
      </c>
      <c r="AR186" s="33">
        <f t="shared" si="111"/>
        <v>93770</v>
      </c>
      <c r="AS186">
        <f t="shared" si="112"/>
        <v>94995</v>
      </c>
      <c r="AT186" s="5">
        <f t="shared" si="113"/>
        <v>94505</v>
      </c>
      <c r="AU186" s="5">
        <f t="shared" si="114"/>
        <v>96710</v>
      </c>
      <c r="AV186" s="5">
        <f t="shared" si="115"/>
        <v>92790</v>
      </c>
      <c r="AW186" s="5">
        <f t="shared" si="116"/>
        <v>94913.333333333328</v>
      </c>
      <c r="AX186" s="5">
        <f t="shared" si="117"/>
        <v>94586.666666666672</v>
      </c>
      <c r="AY186" s="5">
        <f t="shared" si="118"/>
        <v>97690</v>
      </c>
      <c r="AZ186" s="5">
        <f t="shared" si="119"/>
        <v>91810</v>
      </c>
      <c r="BB186" s="32" t="str">
        <f t="shared" si="96"/>
        <v>01/03/2024</v>
      </c>
      <c r="BC186" s="33">
        <f t="shared" si="96"/>
        <v>93030</v>
      </c>
      <c r="BD186" s="4" t="str">
        <f t="shared" si="96"/>
        <v>A9</v>
      </c>
      <c r="BE186">
        <f t="shared" si="120"/>
        <v>93596.75</v>
      </c>
      <c r="BF186" s="38">
        <f t="shared" si="121"/>
        <v>93106.75</v>
      </c>
      <c r="BG186">
        <f t="shared" si="122"/>
        <v>93841.75</v>
      </c>
      <c r="BH186">
        <f t="shared" si="123"/>
        <v>92861.75</v>
      </c>
      <c r="BI186">
        <f t="shared" si="124"/>
        <v>93474.25</v>
      </c>
      <c r="BJ186">
        <f t="shared" si="125"/>
        <v>93229.25</v>
      </c>
      <c r="BK186">
        <f t="shared" si="126"/>
        <v>94331.75</v>
      </c>
      <c r="BL186">
        <f t="shared" si="127"/>
        <v>92371.75</v>
      </c>
      <c r="BM186">
        <f t="shared" si="128"/>
        <v>93433.416666666657</v>
      </c>
      <c r="BN186">
        <f t="shared" si="129"/>
        <v>93270.083333333343</v>
      </c>
      <c r="BO186">
        <f t="shared" si="130"/>
        <v>94821.75</v>
      </c>
      <c r="BP186">
        <f t="shared" si="131"/>
        <v>91881.75</v>
      </c>
      <c r="BQ186" s="7">
        <f>BF186</f>
        <v>93106.75</v>
      </c>
      <c r="BS186" s="30">
        <f t="shared" si="97"/>
        <v>93030</v>
      </c>
      <c r="BT186" s="4">
        <f t="shared" si="98"/>
        <v>93106.75</v>
      </c>
      <c r="BU186" s="37">
        <f t="shared" si="99"/>
        <v>-76.75</v>
      </c>
      <c r="BV186">
        <f t="shared" si="100"/>
        <v>76.75</v>
      </c>
      <c r="BW186" s="35">
        <f t="shared" si="101"/>
        <v>8.2500268730517038E-4</v>
      </c>
    </row>
    <row r="187" spans="1:75">
      <c r="A187" s="1" t="s">
        <v>188</v>
      </c>
      <c r="B187" s="1">
        <v>92880</v>
      </c>
      <c r="Q187">
        <v>184</v>
      </c>
      <c r="R187" s="27" t="str">
        <f t="shared" si="92"/>
        <v>02/03/2024</v>
      </c>
      <c r="S187" s="27">
        <f t="shared" si="92"/>
        <v>92790</v>
      </c>
      <c r="T187" s="4" t="str">
        <f t="shared" si="93"/>
        <v>A9</v>
      </c>
      <c r="V187">
        <v>184</v>
      </c>
      <c r="W187" s="28" t="str">
        <f t="shared" si="91"/>
        <v>02/03/2024</v>
      </c>
      <c r="X187" s="28">
        <f t="shared" si="91"/>
        <v>92790</v>
      </c>
      <c r="Y187" s="28" t="str">
        <f t="shared" si="91"/>
        <v>A9</v>
      </c>
      <c r="Z187" s="5" t="str">
        <f t="shared" si="102"/>
        <v>A9</v>
      </c>
      <c r="AA187" s="5" t="str">
        <f t="shared" si="103"/>
        <v>A9</v>
      </c>
      <c r="AG187" s="29" t="str">
        <f t="shared" si="94"/>
        <v>02/03/2024</v>
      </c>
      <c r="AH187" s="30">
        <f t="shared" si="94"/>
        <v>92790</v>
      </c>
      <c r="AI187" s="4" t="str">
        <f t="shared" si="95"/>
        <v>A9</v>
      </c>
      <c r="AJ187" s="5" t="str">
        <f t="shared" si="104"/>
        <v>A9</v>
      </c>
      <c r="AK187">
        <f t="shared" si="105"/>
        <v>91953.5</v>
      </c>
      <c r="AL187" t="str">
        <f t="shared" si="106"/>
        <v>A9</v>
      </c>
      <c r="AM187">
        <f t="shared" si="107"/>
        <v>91953.5</v>
      </c>
      <c r="AN187" s="6">
        <f t="shared" si="108"/>
        <v>1300</v>
      </c>
      <c r="AO187">
        <f t="shared" si="109"/>
        <v>93680</v>
      </c>
      <c r="AP187">
        <f t="shared" si="132"/>
        <v>92380</v>
      </c>
      <c r="AQ187" s="33">
        <f t="shared" si="110"/>
        <v>94330</v>
      </c>
      <c r="AR187" s="33">
        <f t="shared" si="111"/>
        <v>91730</v>
      </c>
      <c r="AS187">
        <f t="shared" si="112"/>
        <v>93355</v>
      </c>
      <c r="AT187" s="5">
        <f t="shared" si="113"/>
        <v>92705</v>
      </c>
      <c r="AU187" s="5">
        <f t="shared" si="114"/>
        <v>95630</v>
      </c>
      <c r="AV187" s="5">
        <f t="shared" si="115"/>
        <v>90430</v>
      </c>
      <c r="AW187" s="5">
        <f t="shared" si="116"/>
        <v>93246.666666666672</v>
      </c>
      <c r="AX187" s="5">
        <f t="shared" si="117"/>
        <v>92813.333333333328</v>
      </c>
      <c r="AY187" s="5">
        <f t="shared" si="118"/>
        <v>96930</v>
      </c>
      <c r="AZ187" s="5">
        <f t="shared" si="119"/>
        <v>89130</v>
      </c>
      <c r="BB187" s="32" t="str">
        <f t="shared" si="96"/>
        <v>02/03/2024</v>
      </c>
      <c r="BC187" s="33">
        <f t="shared" si="96"/>
        <v>92790</v>
      </c>
      <c r="BD187" s="4" t="str">
        <f t="shared" si="96"/>
        <v>A9</v>
      </c>
      <c r="BE187" s="38">
        <f t="shared" si="120"/>
        <v>92816.75</v>
      </c>
      <c r="BF187">
        <f t="shared" si="121"/>
        <v>92166.75</v>
      </c>
      <c r="BG187">
        <f t="shared" si="122"/>
        <v>93141.75</v>
      </c>
      <c r="BH187">
        <f t="shared" si="123"/>
        <v>91841.75</v>
      </c>
      <c r="BI187">
        <f t="shared" si="124"/>
        <v>92654.25</v>
      </c>
      <c r="BJ187">
        <f t="shared" si="125"/>
        <v>92329.25</v>
      </c>
      <c r="BK187">
        <f t="shared" si="126"/>
        <v>93791.75</v>
      </c>
      <c r="BL187">
        <f t="shared" si="127"/>
        <v>91191.75</v>
      </c>
      <c r="BM187">
        <f t="shared" si="128"/>
        <v>92600.083333333343</v>
      </c>
      <c r="BN187">
        <f t="shared" si="129"/>
        <v>92383.416666666657</v>
      </c>
      <c r="BO187">
        <f t="shared" si="130"/>
        <v>94441.75</v>
      </c>
      <c r="BP187">
        <f t="shared" si="131"/>
        <v>90541.75</v>
      </c>
      <c r="BQ187" s="7">
        <f>BE187</f>
        <v>92816.75</v>
      </c>
      <c r="BS187" s="30">
        <f t="shared" si="97"/>
        <v>92790</v>
      </c>
      <c r="BT187" s="4">
        <f t="shared" si="98"/>
        <v>92816.75</v>
      </c>
      <c r="BU187" s="37">
        <f t="shared" si="99"/>
        <v>-26.75</v>
      </c>
      <c r="BV187">
        <f t="shared" si="100"/>
        <v>26.75</v>
      </c>
      <c r="BW187" s="35">
        <f t="shared" si="101"/>
        <v>2.88285375579265E-4</v>
      </c>
    </row>
    <row r="188" spans="1:75">
      <c r="A188" s="1" t="s">
        <v>189</v>
      </c>
      <c r="B188" s="1">
        <v>94440</v>
      </c>
      <c r="Q188">
        <v>185</v>
      </c>
      <c r="R188" s="27" t="str">
        <f t="shared" si="92"/>
        <v>03/03/2024</v>
      </c>
      <c r="S188" s="27">
        <f t="shared" si="92"/>
        <v>93290</v>
      </c>
      <c r="T188" s="4" t="str">
        <f t="shared" si="93"/>
        <v>A9</v>
      </c>
      <c r="V188">
        <v>185</v>
      </c>
      <c r="W188" s="28" t="str">
        <f t="shared" si="91"/>
        <v>03/03/2024</v>
      </c>
      <c r="X188" s="28">
        <f t="shared" si="91"/>
        <v>93290</v>
      </c>
      <c r="Y188" s="28" t="str">
        <f t="shared" si="91"/>
        <v>A9</v>
      </c>
      <c r="Z188" s="5" t="str">
        <f t="shared" si="102"/>
        <v>A9</v>
      </c>
      <c r="AA188" s="5" t="str">
        <f t="shared" si="103"/>
        <v>A9</v>
      </c>
      <c r="AG188" s="29" t="str">
        <f t="shared" si="94"/>
        <v>03/03/2024</v>
      </c>
      <c r="AH188" s="30">
        <f t="shared" si="94"/>
        <v>93290</v>
      </c>
      <c r="AI188" s="4" t="str">
        <f t="shared" si="95"/>
        <v>A9</v>
      </c>
      <c r="AJ188" s="5" t="str">
        <f t="shared" si="104"/>
        <v>A9</v>
      </c>
      <c r="AK188">
        <f t="shared" si="105"/>
        <v>91953.5</v>
      </c>
      <c r="AL188" t="str">
        <f t="shared" si="106"/>
        <v>A9</v>
      </c>
      <c r="AM188">
        <f t="shared" si="107"/>
        <v>91953.5</v>
      </c>
      <c r="AN188" s="6">
        <f t="shared" si="108"/>
        <v>1480</v>
      </c>
      <c r="AO188">
        <f t="shared" si="109"/>
        <v>93530</v>
      </c>
      <c r="AP188">
        <f t="shared" si="132"/>
        <v>92050</v>
      </c>
      <c r="AQ188" s="33">
        <f t="shared" si="110"/>
        <v>94270</v>
      </c>
      <c r="AR188" s="33">
        <f t="shared" si="111"/>
        <v>91310</v>
      </c>
      <c r="AS188">
        <f t="shared" si="112"/>
        <v>93160</v>
      </c>
      <c r="AT188" s="5">
        <f t="shared" si="113"/>
        <v>92420</v>
      </c>
      <c r="AU188" s="5">
        <f t="shared" si="114"/>
        <v>95750</v>
      </c>
      <c r="AV188" s="5">
        <f t="shared" si="115"/>
        <v>89830</v>
      </c>
      <c r="AW188" s="5">
        <f t="shared" si="116"/>
        <v>93036.666666666672</v>
      </c>
      <c r="AX188" s="5">
        <f t="shared" si="117"/>
        <v>92543.333333333328</v>
      </c>
      <c r="AY188" s="5">
        <f t="shared" si="118"/>
        <v>97230</v>
      </c>
      <c r="AZ188" s="5">
        <f t="shared" si="119"/>
        <v>88350</v>
      </c>
      <c r="BB188" s="32" t="str">
        <f t="shared" si="96"/>
        <v>03/03/2024</v>
      </c>
      <c r="BC188" s="33">
        <f t="shared" si="96"/>
        <v>93290</v>
      </c>
      <c r="BD188" s="4" t="str">
        <f t="shared" si="96"/>
        <v>A9</v>
      </c>
      <c r="BE188">
        <f t="shared" si="120"/>
        <v>92741.75</v>
      </c>
      <c r="BF188">
        <f t="shared" si="121"/>
        <v>92001.75</v>
      </c>
      <c r="BG188" s="38">
        <f t="shared" si="122"/>
        <v>93111.75</v>
      </c>
      <c r="BH188">
        <f t="shared" si="123"/>
        <v>91631.75</v>
      </c>
      <c r="BI188">
        <f t="shared" si="124"/>
        <v>92556.75</v>
      </c>
      <c r="BJ188">
        <f t="shared" si="125"/>
        <v>92186.75</v>
      </c>
      <c r="BK188">
        <f t="shared" si="126"/>
        <v>93851.75</v>
      </c>
      <c r="BL188">
        <f t="shared" si="127"/>
        <v>90891.75</v>
      </c>
      <c r="BM188">
        <f t="shared" si="128"/>
        <v>92495.083333333343</v>
      </c>
      <c r="BN188">
        <f t="shared" si="129"/>
        <v>92248.416666666657</v>
      </c>
      <c r="BO188">
        <f t="shared" si="130"/>
        <v>94591.75</v>
      </c>
      <c r="BP188">
        <f t="shared" si="131"/>
        <v>90151.75</v>
      </c>
      <c r="BQ188" s="7">
        <f>BG188</f>
        <v>93111.75</v>
      </c>
      <c r="BS188" s="30">
        <f t="shared" si="97"/>
        <v>93290</v>
      </c>
      <c r="BT188" s="4">
        <f t="shared" si="98"/>
        <v>93111.75</v>
      </c>
      <c r="BU188" s="37">
        <f t="shared" si="99"/>
        <v>178.25</v>
      </c>
      <c r="BV188">
        <f t="shared" si="100"/>
        <v>178.25</v>
      </c>
      <c r="BW188" s="35">
        <f t="shared" si="101"/>
        <v>1.9107085432522243E-3</v>
      </c>
    </row>
    <row r="189" spans="1:75">
      <c r="A189" s="1" t="s">
        <v>190</v>
      </c>
      <c r="B189" s="1">
        <v>93290</v>
      </c>
      <c r="Q189">
        <v>186</v>
      </c>
      <c r="R189" s="27" t="str">
        <f t="shared" si="92"/>
        <v>04/03/2024</v>
      </c>
      <c r="S189" s="27">
        <f t="shared" si="92"/>
        <v>92880</v>
      </c>
      <c r="T189" s="4" t="str">
        <f t="shared" si="93"/>
        <v>A9</v>
      </c>
      <c r="V189">
        <v>186</v>
      </c>
      <c r="W189" s="28" t="str">
        <f t="shared" si="91"/>
        <v>04/03/2024</v>
      </c>
      <c r="X189" s="28">
        <f t="shared" si="91"/>
        <v>92880</v>
      </c>
      <c r="Y189" s="28" t="str">
        <f t="shared" si="91"/>
        <v>A9</v>
      </c>
      <c r="Z189" s="5" t="str">
        <f t="shared" si="102"/>
        <v>A9</v>
      </c>
      <c r="AA189" s="5" t="str">
        <f t="shared" si="103"/>
        <v>A9</v>
      </c>
      <c r="AG189" s="29" t="str">
        <f t="shared" si="94"/>
        <v>04/03/2024</v>
      </c>
      <c r="AH189" s="30">
        <f t="shared" si="94"/>
        <v>92880</v>
      </c>
      <c r="AI189" s="4" t="str">
        <f t="shared" si="95"/>
        <v>A9</v>
      </c>
      <c r="AJ189" s="5" t="str">
        <f t="shared" si="104"/>
        <v>A9</v>
      </c>
      <c r="AK189">
        <f t="shared" si="105"/>
        <v>91953.5</v>
      </c>
      <c r="AL189" t="str">
        <f t="shared" si="106"/>
        <v>A9</v>
      </c>
      <c r="AM189">
        <f t="shared" si="107"/>
        <v>91953.5</v>
      </c>
      <c r="AN189" s="6">
        <f t="shared" si="108"/>
        <v>260</v>
      </c>
      <c r="AO189">
        <f t="shared" si="109"/>
        <v>93420</v>
      </c>
      <c r="AP189">
        <f t="shared" si="132"/>
        <v>93160</v>
      </c>
      <c r="AQ189" s="33">
        <f t="shared" si="110"/>
        <v>93550</v>
      </c>
      <c r="AR189" s="33">
        <f t="shared" si="111"/>
        <v>93030</v>
      </c>
      <c r="AS189">
        <f t="shared" si="112"/>
        <v>93355</v>
      </c>
      <c r="AT189" s="5">
        <f t="shared" si="113"/>
        <v>93225</v>
      </c>
      <c r="AU189" s="5">
        <f t="shared" si="114"/>
        <v>93810</v>
      </c>
      <c r="AV189" s="5">
        <f t="shared" si="115"/>
        <v>92770</v>
      </c>
      <c r="AW189" s="5">
        <f t="shared" si="116"/>
        <v>93333.333333333328</v>
      </c>
      <c r="AX189" s="5">
        <f t="shared" si="117"/>
        <v>93246.666666666672</v>
      </c>
      <c r="AY189" s="5">
        <f t="shared" si="118"/>
        <v>94070</v>
      </c>
      <c r="AZ189" s="5">
        <f t="shared" si="119"/>
        <v>92510</v>
      </c>
      <c r="BB189" s="32" t="str">
        <f t="shared" si="96"/>
        <v>04/03/2024</v>
      </c>
      <c r="BC189" s="33">
        <f t="shared" si="96"/>
        <v>92880</v>
      </c>
      <c r="BD189" s="4" t="str">
        <f t="shared" si="96"/>
        <v>A9</v>
      </c>
      <c r="BE189">
        <f t="shared" si="120"/>
        <v>92686.75</v>
      </c>
      <c r="BF189">
        <f t="shared" si="121"/>
        <v>92556.75</v>
      </c>
      <c r="BG189">
        <f t="shared" si="122"/>
        <v>92751.75</v>
      </c>
      <c r="BH189">
        <f t="shared" si="123"/>
        <v>92491.75</v>
      </c>
      <c r="BI189">
        <f t="shared" si="124"/>
        <v>92654.25</v>
      </c>
      <c r="BJ189">
        <f t="shared" si="125"/>
        <v>92589.25</v>
      </c>
      <c r="BK189">
        <f t="shared" si="126"/>
        <v>92881.75</v>
      </c>
      <c r="BL189">
        <f t="shared" si="127"/>
        <v>92361.75</v>
      </c>
      <c r="BM189">
        <f t="shared" si="128"/>
        <v>92643.416666666657</v>
      </c>
      <c r="BN189">
        <f t="shared" si="129"/>
        <v>92600.083333333343</v>
      </c>
      <c r="BO189">
        <f t="shared" si="130"/>
        <v>93011.75</v>
      </c>
      <c r="BP189">
        <f t="shared" si="131"/>
        <v>92231.75</v>
      </c>
      <c r="BQ189" s="7">
        <f>BE190</f>
        <v>92439.25</v>
      </c>
      <c r="BS189" s="30">
        <f t="shared" si="97"/>
        <v>92880</v>
      </c>
      <c r="BT189" s="4">
        <f t="shared" si="98"/>
        <v>92439.25</v>
      </c>
      <c r="BU189" s="37">
        <f t="shared" si="99"/>
        <v>440.75</v>
      </c>
      <c r="BV189">
        <f t="shared" si="100"/>
        <v>440.75</v>
      </c>
      <c r="BW189" s="35">
        <f t="shared" si="101"/>
        <v>4.7453703703703703E-3</v>
      </c>
    </row>
    <row r="190" spans="1:75">
      <c r="A190" s="1" t="s">
        <v>191</v>
      </c>
      <c r="B190" s="1">
        <v>91210</v>
      </c>
      <c r="Q190">
        <v>187</v>
      </c>
      <c r="R190" s="27" t="str">
        <f t="shared" si="92"/>
        <v>05/03/2024</v>
      </c>
      <c r="S190" s="27">
        <f t="shared" si="92"/>
        <v>94440</v>
      </c>
      <c r="T190" s="4" t="str">
        <f t="shared" si="93"/>
        <v>A9</v>
      </c>
      <c r="V190">
        <v>187</v>
      </c>
      <c r="W190" s="28" t="str">
        <f t="shared" si="91"/>
        <v>05/03/2024</v>
      </c>
      <c r="X190" s="28">
        <f t="shared" si="91"/>
        <v>94440</v>
      </c>
      <c r="Y190" s="28" t="str">
        <f t="shared" si="91"/>
        <v>A9</v>
      </c>
      <c r="Z190" s="5" t="str">
        <f t="shared" si="102"/>
        <v>A9</v>
      </c>
      <c r="AA190" s="5" t="str">
        <f t="shared" si="103"/>
        <v>A9</v>
      </c>
      <c r="AG190" s="29" t="str">
        <f t="shared" si="94"/>
        <v>05/03/2024</v>
      </c>
      <c r="AH190" s="30">
        <f t="shared" si="94"/>
        <v>94440</v>
      </c>
      <c r="AI190" s="4" t="str">
        <f t="shared" si="95"/>
        <v>A9</v>
      </c>
      <c r="AJ190" s="5" t="str">
        <f t="shared" si="104"/>
        <v>A9</v>
      </c>
      <c r="AK190">
        <f t="shared" si="105"/>
        <v>91953.5</v>
      </c>
      <c r="AL190" t="str">
        <f t="shared" si="106"/>
        <v>A9</v>
      </c>
      <c r="AM190">
        <f t="shared" si="107"/>
        <v>91953.5</v>
      </c>
      <c r="AN190" s="6">
        <f t="shared" si="108"/>
        <v>90</v>
      </c>
      <c r="AO190">
        <f t="shared" si="109"/>
        <v>92925</v>
      </c>
      <c r="AP190">
        <f t="shared" si="132"/>
        <v>92835</v>
      </c>
      <c r="AQ190" s="33">
        <f t="shared" si="110"/>
        <v>92970</v>
      </c>
      <c r="AR190" s="33">
        <f t="shared" si="111"/>
        <v>92790</v>
      </c>
      <c r="AS190">
        <f t="shared" si="112"/>
        <v>92902.5</v>
      </c>
      <c r="AT190" s="5">
        <f t="shared" si="113"/>
        <v>92857.5</v>
      </c>
      <c r="AU190" s="5">
        <f t="shared" si="114"/>
        <v>93060</v>
      </c>
      <c r="AV190" s="5">
        <f t="shared" si="115"/>
        <v>92700</v>
      </c>
      <c r="AW190" s="5">
        <f t="shared" si="116"/>
        <v>92895</v>
      </c>
      <c r="AX190" s="5">
        <f t="shared" si="117"/>
        <v>92865</v>
      </c>
      <c r="AY190" s="5">
        <f t="shared" si="118"/>
        <v>93150</v>
      </c>
      <c r="AZ190" s="5">
        <f t="shared" si="119"/>
        <v>92610</v>
      </c>
      <c r="BB190" s="32" t="str">
        <f t="shared" si="96"/>
        <v>05/03/2024</v>
      </c>
      <c r="BC190" s="33">
        <f t="shared" si="96"/>
        <v>94440</v>
      </c>
      <c r="BD190" s="4" t="str">
        <f t="shared" si="96"/>
        <v>A9</v>
      </c>
      <c r="BE190" s="38">
        <f t="shared" si="120"/>
        <v>92439.25</v>
      </c>
      <c r="BF190">
        <f t="shared" si="121"/>
        <v>92394.25</v>
      </c>
      <c r="BG190">
        <f t="shared" si="122"/>
        <v>92461.75</v>
      </c>
      <c r="BH190">
        <f t="shared" si="123"/>
        <v>92371.75</v>
      </c>
      <c r="BI190">
        <f t="shared" si="124"/>
        <v>92428</v>
      </c>
      <c r="BJ190">
        <f t="shared" si="125"/>
        <v>92405.5</v>
      </c>
      <c r="BK190">
        <f t="shared" si="126"/>
        <v>92506.75</v>
      </c>
      <c r="BL190">
        <f t="shared" si="127"/>
        <v>92326.75</v>
      </c>
      <c r="BM190">
        <f t="shared" si="128"/>
        <v>92424.25</v>
      </c>
      <c r="BN190">
        <f t="shared" si="129"/>
        <v>92409.25</v>
      </c>
      <c r="BO190">
        <f t="shared" si="130"/>
        <v>92551.75</v>
      </c>
      <c r="BP190">
        <f t="shared" si="131"/>
        <v>92281.75</v>
      </c>
      <c r="BQ190" s="7">
        <f>BE190</f>
        <v>92439.25</v>
      </c>
      <c r="BS190" s="30">
        <f t="shared" si="97"/>
        <v>94440</v>
      </c>
      <c r="BT190" s="4">
        <f t="shared" si="98"/>
        <v>92439.25</v>
      </c>
      <c r="BU190" s="37">
        <f t="shared" si="99"/>
        <v>2000.75</v>
      </c>
      <c r="BV190">
        <f t="shared" si="100"/>
        <v>2000.75</v>
      </c>
      <c r="BW190" s="35">
        <f t="shared" si="101"/>
        <v>2.1185408725116477E-2</v>
      </c>
    </row>
    <row r="191" spans="1:75">
      <c r="A191" s="1" t="s">
        <v>192</v>
      </c>
      <c r="B191" s="1">
        <v>93210</v>
      </c>
      <c r="Q191">
        <v>188</v>
      </c>
      <c r="R191" s="27" t="str">
        <f t="shared" si="92"/>
        <v>06/03/2024</v>
      </c>
      <c r="S191" s="27">
        <f t="shared" si="92"/>
        <v>93290</v>
      </c>
      <c r="T191" s="4" t="str">
        <f t="shared" si="93"/>
        <v>A9</v>
      </c>
      <c r="V191">
        <v>188</v>
      </c>
      <c r="W191" s="28" t="str">
        <f t="shared" si="91"/>
        <v>06/03/2024</v>
      </c>
      <c r="X191" s="28">
        <f t="shared" si="91"/>
        <v>93290</v>
      </c>
      <c r="Y191" s="28" t="str">
        <f t="shared" si="91"/>
        <v>A9</v>
      </c>
      <c r="Z191" s="5" t="str">
        <f t="shared" si="102"/>
        <v>A9</v>
      </c>
      <c r="AA191" s="5" t="str">
        <f t="shared" si="103"/>
        <v>A9</v>
      </c>
      <c r="AG191" s="29" t="str">
        <f t="shared" si="94"/>
        <v>06/03/2024</v>
      </c>
      <c r="AH191" s="30">
        <f t="shared" si="94"/>
        <v>93290</v>
      </c>
      <c r="AI191" s="4" t="str">
        <f t="shared" si="95"/>
        <v>A9</v>
      </c>
      <c r="AJ191" s="5" t="str">
        <f t="shared" si="104"/>
        <v>A9</v>
      </c>
      <c r="AK191">
        <f t="shared" si="105"/>
        <v>91953.5</v>
      </c>
      <c r="AL191" t="str">
        <f t="shared" si="106"/>
        <v>A9</v>
      </c>
      <c r="AM191">
        <f t="shared" si="107"/>
        <v>91953.5</v>
      </c>
      <c r="AN191" s="6">
        <f t="shared" si="108"/>
        <v>1150</v>
      </c>
      <c r="AO191">
        <f t="shared" si="109"/>
        <v>95015</v>
      </c>
      <c r="AP191">
        <f t="shared" si="132"/>
        <v>93865</v>
      </c>
      <c r="AQ191" s="33">
        <f t="shared" si="110"/>
        <v>95590</v>
      </c>
      <c r="AR191" s="33">
        <f t="shared" si="111"/>
        <v>93290</v>
      </c>
      <c r="AS191">
        <f t="shared" si="112"/>
        <v>94727.5</v>
      </c>
      <c r="AT191" s="5">
        <f t="shared" si="113"/>
        <v>94152.5</v>
      </c>
      <c r="AU191" s="5">
        <f t="shared" si="114"/>
        <v>96740</v>
      </c>
      <c r="AV191" s="5">
        <f t="shared" si="115"/>
        <v>92140</v>
      </c>
      <c r="AW191" s="5">
        <f t="shared" si="116"/>
        <v>94631.666666666672</v>
      </c>
      <c r="AX191" s="5">
        <f t="shared" si="117"/>
        <v>94248.333333333328</v>
      </c>
      <c r="AY191" s="5">
        <f t="shared" si="118"/>
        <v>97890</v>
      </c>
      <c r="AZ191" s="5">
        <f t="shared" si="119"/>
        <v>90990</v>
      </c>
      <c r="BB191" s="32" t="str">
        <f t="shared" si="96"/>
        <v>06/03/2024</v>
      </c>
      <c r="BC191" s="33">
        <f t="shared" si="96"/>
        <v>93290</v>
      </c>
      <c r="BD191" s="4" t="str">
        <f t="shared" si="96"/>
        <v>A9</v>
      </c>
      <c r="BE191">
        <f t="shared" si="120"/>
        <v>93484.25</v>
      </c>
      <c r="BF191">
        <f t="shared" si="121"/>
        <v>92909.25</v>
      </c>
      <c r="BG191">
        <f t="shared" si="122"/>
        <v>93771.75</v>
      </c>
      <c r="BH191">
        <f t="shared" si="123"/>
        <v>92621.75</v>
      </c>
      <c r="BI191">
        <f t="shared" si="124"/>
        <v>93340.5</v>
      </c>
      <c r="BJ191">
        <f t="shared" si="125"/>
        <v>93053</v>
      </c>
      <c r="BK191">
        <f t="shared" si="126"/>
        <v>94346.75</v>
      </c>
      <c r="BL191">
        <f t="shared" si="127"/>
        <v>92046.75</v>
      </c>
      <c r="BM191" s="38">
        <f t="shared" si="128"/>
        <v>93292.583333333343</v>
      </c>
      <c r="BN191">
        <f t="shared" si="129"/>
        <v>93100.916666666657</v>
      </c>
      <c r="BO191">
        <f t="shared" si="130"/>
        <v>94921.75</v>
      </c>
      <c r="BP191">
        <f t="shared" si="131"/>
        <v>91471.75</v>
      </c>
      <c r="BQ191" s="7">
        <f>BM191</f>
        <v>93292.583333333343</v>
      </c>
      <c r="BS191" s="30">
        <f t="shared" si="97"/>
        <v>93290</v>
      </c>
      <c r="BT191" s="4">
        <f t="shared" si="98"/>
        <v>93292.583333333343</v>
      </c>
      <c r="BU191" s="37">
        <f t="shared" si="99"/>
        <v>-2.5833333333430346</v>
      </c>
      <c r="BV191">
        <f t="shared" si="100"/>
        <v>2.5833333333430346</v>
      </c>
      <c r="BW191" s="35">
        <f t="shared" si="101"/>
        <v>2.7691428163179705E-5</v>
      </c>
    </row>
    <row r="192" spans="1:75">
      <c r="A192" s="1" t="s">
        <v>193</v>
      </c>
      <c r="B192" s="1">
        <v>93470</v>
      </c>
      <c r="Q192">
        <v>189</v>
      </c>
      <c r="R192" s="27" t="str">
        <f t="shared" si="92"/>
        <v>07/03/2024</v>
      </c>
      <c r="S192" s="27">
        <f t="shared" si="92"/>
        <v>91210</v>
      </c>
      <c r="T192" s="4" t="str">
        <f t="shared" si="93"/>
        <v>A9</v>
      </c>
      <c r="V192">
        <v>189</v>
      </c>
      <c r="W192" s="28" t="str">
        <f t="shared" si="91"/>
        <v>07/03/2024</v>
      </c>
      <c r="X192" s="28">
        <f t="shared" si="91"/>
        <v>91210</v>
      </c>
      <c r="Y192" s="28" t="str">
        <f t="shared" si="91"/>
        <v>A9</v>
      </c>
      <c r="Z192" s="5" t="str">
        <f t="shared" si="102"/>
        <v>A9</v>
      </c>
      <c r="AA192" s="5" t="str">
        <f t="shared" si="103"/>
        <v>A9</v>
      </c>
      <c r="AG192" s="29" t="str">
        <f t="shared" si="94"/>
        <v>07/03/2024</v>
      </c>
      <c r="AH192" s="30">
        <f t="shared" si="94"/>
        <v>91210</v>
      </c>
      <c r="AI192" s="4" t="str">
        <f t="shared" si="95"/>
        <v>A9</v>
      </c>
      <c r="AJ192" s="5" t="str">
        <f t="shared" si="104"/>
        <v>A9</v>
      </c>
      <c r="AK192">
        <f t="shared" si="105"/>
        <v>91953.5</v>
      </c>
      <c r="AL192" t="str">
        <f t="shared" si="106"/>
        <v>A9</v>
      </c>
      <c r="AM192">
        <f t="shared" si="107"/>
        <v>91953.5</v>
      </c>
      <c r="AN192" s="6">
        <f t="shared" si="108"/>
        <v>410</v>
      </c>
      <c r="AO192">
        <f t="shared" si="109"/>
        <v>93495</v>
      </c>
      <c r="AP192">
        <f t="shared" si="132"/>
        <v>93085</v>
      </c>
      <c r="AQ192" s="33">
        <f t="shared" si="110"/>
        <v>93700</v>
      </c>
      <c r="AR192" s="33">
        <f t="shared" si="111"/>
        <v>92880</v>
      </c>
      <c r="AS192">
        <f t="shared" si="112"/>
        <v>93392.5</v>
      </c>
      <c r="AT192" s="5">
        <f t="shared" si="113"/>
        <v>93187.5</v>
      </c>
      <c r="AU192" s="5">
        <f t="shared" si="114"/>
        <v>94110</v>
      </c>
      <c r="AV192" s="5">
        <f t="shared" si="115"/>
        <v>92470</v>
      </c>
      <c r="AW192" s="5">
        <f t="shared" si="116"/>
        <v>93358.333333333328</v>
      </c>
      <c r="AX192" s="5">
        <f t="shared" si="117"/>
        <v>93221.666666666672</v>
      </c>
      <c r="AY192" s="5">
        <f t="shared" si="118"/>
        <v>94520</v>
      </c>
      <c r="AZ192" s="5">
        <f t="shared" si="119"/>
        <v>92060</v>
      </c>
      <c r="BB192" s="32" t="str">
        <f t="shared" si="96"/>
        <v>07/03/2024</v>
      </c>
      <c r="BC192" s="33">
        <f t="shared" si="96"/>
        <v>91210</v>
      </c>
      <c r="BD192" s="4" t="str">
        <f t="shared" si="96"/>
        <v>A9</v>
      </c>
      <c r="BE192">
        <f t="shared" si="120"/>
        <v>92724.25</v>
      </c>
      <c r="BF192">
        <f t="shared" si="121"/>
        <v>92519.25</v>
      </c>
      <c r="BG192">
        <f t="shared" si="122"/>
        <v>92826.75</v>
      </c>
      <c r="BH192">
        <f t="shared" si="123"/>
        <v>92416.75</v>
      </c>
      <c r="BI192">
        <f t="shared" si="124"/>
        <v>92673</v>
      </c>
      <c r="BJ192">
        <f t="shared" si="125"/>
        <v>92570.5</v>
      </c>
      <c r="BK192">
        <f t="shared" si="126"/>
        <v>93031.75</v>
      </c>
      <c r="BL192">
        <f t="shared" si="127"/>
        <v>92211.75</v>
      </c>
      <c r="BM192">
        <f t="shared" si="128"/>
        <v>92655.916666666657</v>
      </c>
      <c r="BN192">
        <f t="shared" si="129"/>
        <v>92587.583333333343</v>
      </c>
      <c r="BO192">
        <f t="shared" si="130"/>
        <v>93236.75</v>
      </c>
      <c r="BP192" s="38">
        <f t="shared" si="131"/>
        <v>92006.75</v>
      </c>
      <c r="BQ192" s="7">
        <f>BP192</f>
        <v>92006.75</v>
      </c>
      <c r="BS192" s="30">
        <f t="shared" si="97"/>
        <v>91210</v>
      </c>
      <c r="BT192" s="4">
        <f t="shared" si="98"/>
        <v>92006.75</v>
      </c>
      <c r="BU192" s="37">
        <f t="shared" si="99"/>
        <v>-796.75</v>
      </c>
      <c r="BV192">
        <f t="shared" si="100"/>
        <v>796.75</v>
      </c>
      <c r="BW192" s="35">
        <f t="shared" si="101"/>
        <v>8.7353360377151624E-3</v>
      </c>
    </row>
    <row r="193" spans="1:75">
      <c r="A193" s="1" t="s">
        <v>194</v>
      </c>
      <c r="B193" s="1">
        <v>94630</v>
      </c>
      <c r="Q193">
        <v>190</v>
      </c>
      <c r="R193" s="27" t="str">
        <f t="shared" si="92"/>
        <v>08/03/2024</v>
      </c>
      <c r="S193" s="27">
        <f t="shared" si="92"/>
        <v>93210</v>
      </c>
      <c r="T193" s="4" t="str">
        <f t="shared" si="93"/>
        <v>A9</v>
      </c>
      <c r="V193">
        <v>190</v>
      </c>
      <c r="W193" s="28" t="str">
        <f t="shared" si="91"/>
        <v>08/03/2024</v>
      </c>
      <c r="X193" s="28">
        <f t="shared" si="91"/>
        <v>93210</v>
      </c>
      <c r="Y193" s="28" t="str">
        <f t="shared" si="91"/>
        <v>A9</v>
      </c>
      <c r="Z193" s="5" t="str">
        <f t="shared" si="102"/>
        <v>A9</v>
      </c>
      <c r="AA193" s="5" t="str">
        <f t="shared" si="103"/>
        <v>A9</v>
      </c>
      <c r="AG193" s="29" t="str">
        <f t="shared" si="94"/>
        <v>08/03/2024</v>
      </c>
      <c r="AH193" s="30">
        <f t="shared" si="94"/>
        <v>93210</v>
      </c>
      <c r="AI193" s="4" t="str">
        <f t="shared" si="95"/>
        <v>A9</v>
      </c>
      <c r="AJ193" s="5" t="str">
        <f t="shared" si="104"/>
        <v>A9</v>
      </c>
      <c r="AK193">
        <f t="shared" si="105"/>
        <v>91953.5</v>
      </c>
      <c r="AL193" t="str">
        <f t="shared" si="106"/>
        <v>A9</v>
      </c>
      <c r="AM193">
        <f t="shared" si="107"/>
        <v>91953.5</v>
      </c>
      <c r="AN193" s="6">
        <f t="shared" si="108"/>
        <v>930</v>
      </c>
      <c r="AO193">
        <f t="shared" si="109"/>
        <v>91675</v>
      </c>
      <c r="AP193">
        <f t="shared" si="132"/>
        <v>90745</v>
      </c>
      <c r="AQ193" s="33">
        <f t="shared" si="110"/>
        <v>92140</v>
      </c>
      <c r="AR193" s="33">
        <f t="shared" si="111"/>
        <v>90280</v>
      </c>
      <c r="AS193">
        <f t="shared" si="112"/>
        <v>91442.5</v>
      </c>
      <c r="AT193" s="5">
        <f t="shared" si="113"/>
        <v>90977.5</v>
      </c>
      <c r="AU193" s="5">
        <f t="shared" si="114"/>
        <v>93070</v>
      </c>
      <c r="AV193" s="5">
        <f t="shared" si="115"/>
        <v>89350</v>
      </c>
      <c r="AW193" s="5">
        <f t="shared" si="116"/>
        <v>91365</v>
      </c>
      <c r="AX193" s="5">
        <f t="shared" si="117"/>
        <v>91055</v>
      </c>
      <c r="AY193" s="5">
        <f t="shared" si="118"/>
        <v>94000</v>
      </c>
      <c r="AZ193" s="5">
        <f t="shared" si="119"/>
        <v>88420</v>
      </c>
      <c r="BB193" s="32" t="str">
        <f t="shared" si="96"/>
        <v>08/03/2024</v>
      </c>
      <c r="BC193" s="33">
        <f t="shared" si="96"/>
        <v>93210</v>
      </c>
      <c r="BD193" s="4" t="str">
        <f t="shared" si="96"/>
        <v>A9</v>
      </c>
      <c r="BE193">
        <f t="shared" si="120"/>
        <v>91814.25</v>
      </c>
      <c r="BF193">
        <f t="shared" si="121"/>
        <v>91349.25</v>
      </c>
      <c r="BG193">
        <f t="shared" si="122"/>
        <v>92046.75</v>
      </c>
      <c r="BH193">
        <f t="shared" si="123"/>
        <v>91116.75</v>
      </c>
      <c r="BI193">
        <f t="shared" si="124"/>
        <v>91698</v>
      </c>
      <c r="BJ193">
        <f t="shared" si="125"/>
        <v>91465.5</v>
      </c>
      <c r="BK193">
        <f t="shared" si="126"/>
        <v>92511.75</v>
      </c>
      <c r="BL193">
        <f t="shared" si="127"/>
        <v>90651.75</v>
      </c>
      <c r="BM193">
        <f t="shared" si="128"/>
        <v>91659.25</v>
      </c>
      <c r="BN193">
        <f t="shared" si="129"/>
        <v>91504.25</v>
      </c>
      <c r="BO193" s="38">
        <f t="shared" si="130"/>
        <v>92976.75</v>
      </c>
      <c r="BP193">
        <f t="shared" si="131"/>
        <v>90186.75</v>
      </c>
      <c r="BQ193" s="7">
        <f>BO193</f>
        <v>92976.75</v>
      </c>
      <c r="BS193" s="30">
        <f t="shared" si="97"/>
        <v>93210</v>
      </c>
      <c r="BT193" s="4">
        <f t="shared" si="98"/>
        <v>92976.75</v>
      </c>
      <c r="BU193" s="37">
        <f t="shared" si="99"/>
        <v>233.25</v>
      </c>
      <c r="BV193">
        <f t="shared" si="100"/>
        <v>233.25</v>
      </c>
      <c r="BW193" s="35">
        <f t="shared" si="101"/>
        <v>2.5024139040875442E-3</v>
      </c>
    </row>
    <row r="194" spans="1:75">
      <c r="A194" s="1" t="s">
        <v>195</v>
      </c>
      <c r="B194" s="1">
        <v>94300</v>
      </c>
      <c r="Q194">
        <v>191</v>
      </c>
      <c r="R194" s="27" t="str">
        <f t="shared" si="92"/>
        <v>09/03/2024</v>
      </c>
      <c r="S194" s="27">
        <f t="shared" si="92"/>
        <v>93470</v>
      </c>
      <c r="T194" s="4" t="str">
        <f t="shared" si="93"/>
        <v>A9</v>
      </c>
      <c r="V194">
        <v>191</v>
      </c>
      <c r="W194" s="28" t="str">
        <f t="shared" si="91"/>
        <v>09/03/2024</v>
      </c>
      <c r="X194" s="28">
        <f t="shared" si="91"/>
        <v>93470</v>
      </c>
      <c r="Y194" s="28" t="str">
        <f t="shared" si="91"/>
        <v>A9</v>
      </c>
      <c r="Z194" s="5" t="str">
        <f t="shared" si="102"/>
        <v>A9</v>
      </c>
      <c r="AA194" s="5" t="str">
        <f t="shared" si="103"/>
        <v>A9</v>
      </c>
      <c r="AG194" s="29" t="str">
        <f t="shared" si="94"/>
        <v>09/03/2024</v>
      </c>
      <c r="AH194" s="30">
        <f t="shared" si="94"/>
        <v>93470</v>
      </c>
      <c r="AI194" s="4" t="str">
        <f t="shared" si="95"/>
        <v>A9</v>
      </c>
      <c r="AJ194" s="5" t="str">
        <f t="shared" si="104"/>
        <v>A9</v>
      </c>
      <c r="AK194">
        <f t="shared" si="105"/>
        <v>91953.5</v>
      </c>
      <c r="AL194" t="str">
        <f t="shared" si="106"/>
        <v>A9</v>
      </c>
      <c r="AM194">
        <f t="shared" si="107"/>
        <v>91953.5</v>
      </c>
      <c r="AN194" s="6">
        <f t="shared" si="108"/>
        <v>80</v>
      </c>
      <c r="AO194">
        <f t="shared" si="109"/>
        <v>93250</v>
      </c>
      <c r="AP194">
        <f t="shared" si="132"/>
        <v>93170</v>
      </c>
      <c r="AQ194" s="33">
        <f t="shared" si="110"/>
        <v>93290</v>
      </c>
      <c r="AR194" s="33">
        <f t="shared" si="111"/>
        <v>93130</v>
      </c>
      <c r="AS194">
        <f t="shared" si="112"/>
        <v>93230</v>
      </c>
      <c r="AT194" s="5">
        <f t="shared" si="113"/>
        <v>93190</v>
      </c>
      <c r="AU194" s="5">
        <f t="shared" si="114"/>
        <v>93370</v>
      </c>
      <c r="AV194" s="5">
        <f t="shared" si="115"/>
        <v>93050</v>
      </c>
      <c r="AW194" s="5">
        <f t="shared" si="116"/>
        <v>93223.333333333328</v>
      </c>
      <c r="AX194" s="5">
        <f t="shared" si="117"/>
        <v>93196.666666666672</v>
      </c>
      <c r="AY194" s="5">
        <f t="shared" si="118"/>
        <v>93450</v>
      </c>
      <c r="AZ194" s="5">
        <f t="shared" si="119"/>
        <v>92970</v>
      </c>
      <c r="BB194" s="32" t="str">
        <f t="shared" si="96"/>
        <v>09/03/2024</v>
      </c>
      <c r="BC194" s="33">
        <f t="shared" si="96"/>
        <v>93470</v>
      </c>
      <c r="BD194" s="4" t="str">
        <f t="shared" si="96"/>
        <v>A9</v>
      </c>
      <c r="BE194">
        <f t="shared" si="120"/>
        <v>92601.75</v>
      </c>
      <c r="BF194">
        <f t="shared" si="121"/>
        <v>92561.75</v>
      </c>
      <c r="BG194">
        <f t="shared" si="122"/>
        <v>92621.75</v>
      </c>
      <c r="BH194">
        <f t="shared" si="123"/>
        <v>92541.75</v>
      </c>
      <c r="BI194">
        <f t="shared" si="124"/>
        <v>92591.75</v>
      </c>
      <c r="BJ194">
        <f t="shared" si="125"/>
        <v>92571.75</v>
      </c>
      <c r="BK194">
        <f t="shared" si="126"/>
        <v>92661.75</v>
      </c>
      <c r="BL194">
        <f t="shared" si="127"/>
        <v>92501.75</v>
      </c>
      <c r="BM194">
        <f t="shared" si="128"/>
        <v>92588.416666666657</v>
      </c>
      <c r="BN194">
        <f t="shared" si="129"/>
        <v>92575.083333333343</v>
      </c>
      <c r="BO194" s="38">
        <f>(AY194+AM194)/(1+1)</f>
        <v>92701.75</v>
      </c>
      <c r="BP194">
        <f t="shared" si="131"/>
        <v>92461.75</v>
      </c>
      <c r="BQ194" s="7">
        <f>BO194</f>
        <v>92701.75</v>
      </c>
      <c r="BS194" s="30">
        <f t="shared" si="97"/>
        <v>93470</v>
      </c>
      <c r="BT194" s="4">
        <f t="shared" si="98"/>
        <v>92701.75</v>
      </c>
      <c r="BU194" s="37">
        <f t="shared" si="99"/>
        <v>768.25</v>
      </c>
      <c r="BV194">
        <f t="shared" si="100"/>
        <v>768.25</v>
      </c>
      <c r="BW194" s="35">
        <f t="shared" si="101"/>
        <v>8.219214721300952E-3</v>
      </c>
    </row>
    <row r="195" spans="1:75">
      <c r="A195" s="1" t="s">
        <v>196</v>
      </c>
      <c r="B195" s="1">
        <v>93830</v>
      </c>
      <c r="Q195">
        <v>192</v>
      </c>
      <c r="R195" s="27" t="str">
        <f t="shared" si="92"/>
        <v>10/03/2024</v>
      </c>
      <c r="S195" s="27">
        <f t="shared" si="92"/>
        <v>94630</v>
      </c>
      <c r="T195" s="4" t="str">
        <f t="shared" si="93"/>
        <v>A9</v>
      </c>
      <c r="V195">
        <v>192</v>
      </c>
      <c r="W195" s="28" t="str">
        <f t="shared" si="91"/>
        <v>10/03/2024</v>
      </c>
      <c r="X195" s="28">
        <f t="shared" si="91"/>
        <v>94630</v>
      </c>
      <c r="Y195" s="28" t="str">
        <f t="shared" si="91"/>
        <v>A9</v>
      </c>
      <c r="Z195" s="5" t="str">
        <f t="shared" si="102"/>
        <v>A9</v>
      </c>
      <c r="AA195" s="5" t="str">
        <f t="shared" si="103"/>
        <v>A9</v>
      </c>
      <c r="AG195" s="29" t="str">
        <f t="shared" si="94"/>
        <v>10/03/2024</v>
      </c>
      <c r="AH195" s="30">
        <f t="shared" si="94"/>
        <v>94630</v>
      </c>
      <c r="AI195" s="4" t="str">
        <f t="shared" si="95"/>
        <v>A9</v>
      </c>
      <c r="AJ195" s="5" t="str">
        <f t="shared" si="104"/>
        <v>A9</v>
      </c>
      <c r="AK195">
        <f t="shared" si="105"/>
        <v>91953.5</v>
      </c>
      <c r="AL195" t="str">
        <f t="shared" si="106"/>
        <v>A9</v>
      </c>
      <c r="AM195">
        <f t="shared" si="107"/>
        <v>91953.5</v>
      </c>
      <c r="AN195" s="6">
        <f t="shared" si="108"/>
        <v>1740</v>
      </c>
      <c r="AO195">
        <f t="shared" si="109"/>
        <v>94340</v>
      </c>
      <c r="AP195">
        <f t="shared" si="132"/>
        <v>92600</v>
      </c>
      <c r="AQ195" s="33">
        <f t="shared" si="110"/>
        <v>95210</v>
      </c>
      <c r="AR195" s="33">
        <f t="shared" si="111"/>
        <v>91730</v>
      </c>
      <c r="AS195">
        <f t="shared" si="112"/>
        <v>93905</v>
      </c>
      <c r="AT195" s="5">
        <f t="shared" si="113"/>
        <v>93035</v>
      </c>
      <c r="AU195" s="5">
        <f t="shared" si="114"/>
        <v>96950</v>
      </c>
      <c r="AV195" s="5">
        <f t="shared" si="115"/>
        <v>89990</v>
      </c>
      <c r="AW195" s="5">
        <f t="shared" si="116"/>
        <v>93760</v>
      </c>
      <c r="AX195" s="5">
        <f t="shared" si="117"/>
        <v>93180</v>
      </c>
      <c r="AY195" s="5">
        <f t="shared" si="118"/>
        <v>98690</v>
      </c>
      <c r="AZ195" s="5">
        <f t="shared" si="119"/>
        <v>88250</v>
      </c>
      <c r="BB195" s="32" t="str">
        <f t="shared" si="96"/>
        <v>10/03/2024</v>
      </c>
      <c r="BC195" s="33">
        <f t="shared" si="96"/>
        <v>94630</v>
      </c>
      <c r="BD195" s="4" t="str">
        <f t="shared" si="96"/>
        <v>A9</v>
      </c>
      <c r="BE195">
        <f t="shared" si="120"/>
        <v>93146.75</v>
      </c>
      <c r="BF195">
        <f t="shared" si="121"/>
        <v>92276.75</v>
      </c>
      <c r="BG195">
        <f t="shared" si="122"/>
        <v>93581.75</v>
      </c>
      <c r="BH195">
        <f t="shared" si="123"/>
        <v>91841.75</v>
      </c>
      <c r="BI195">
        <f t="shared" si="124"/>
        <v>92929.25</v>
      </c>
      <c r="BJ195">
        <f t="shared" si="125"/>
        <v>92494.25</v>
      </c>
      <c r="BK195" s="38">
        <f t="shared" si="126"/>
        <v>94451.75</v>
      </c>
      <c r="BL195">
        <f t="shared" si="127"/>
        <v>90971.75</v>
      </c>
      <c r="BM195">
        <f t="shared" si="128"/>
        <v>92856.75</v>
      </c>
      <c r="BN195">
        <f t="shared" si="129"/>
        <v>92566.75</v>
      </c>
      <c r="BO195">
        <f t="shared" si="130"/>
        <v>95321.75</v>
      </c>
      <c r="BP195">
        <f t="shared" si="131"/>
        <v>90101.75</v>
      </c>
      <c r="BQ195" s="7">
        <f>BK195</f>
        <v>94451.75</v>
      </c>
      <c r="BS195" s="30">
        <f t="shared" si="97"/>
        <v>94630</v>
      </c>
      <c r="BT195" s="4">
        <f t="shared" si="98"/>
        <v>94451.75</v>
      </c>
      <c r="BU195" s="37">
        <f t="shared" si="99"/>
        <v>178.25</v>
      </c>
      <c r="BV195">
        <f t="shared" si="100"/>
        <v>178.25</v>
      </c>
      <c r="BW195" s="35">
        <f t="shared" si="101"/>
        <v>1.8836521187784001E-3</v>
      </c>
    </row>
    <row r="196" spans="1:75">
      <c r="A196" s="1" t="s">
        <v>197</v>
      </c>
      <c r="B196" s="1">
        <v>85320</v>
      </c>
      <c r="Q196">
        <v>193</v>
      </c>
      <c r="R196" s="27" t="str">
        <f t="shared" si="92"/>
        <v>11/03/2024</v>
      </c>
      <c r="S196" s="27">
        <f t="shared" si="92"/>
        <v>94300</v>
      </c>
      <c r="T196" s="4" t="str">
        <f t="shared" si="93"/>
        <v>A9</v>
      </c>
      <c r="V196">
        <v>193</v>
      </c>
      <c r="W196" s="28" t="str">
        <f t="shared" ref="W196:Y259" si="133">R196</f>
        <v>11/03/2024</v>
      </c>
      <c r="X196" s="28">
        <f t="shared" si="133"/>
        <v>94300</v>
      </c>
      <c r="Y196" s="28" t="str">
        <f t="shared" si="133"/>
        <v>A9</v>
      </c>
      <c r="Z196" s="5" t="str">
        <f t="shared" si="102"/>
        <v>A9</v>
      </c>
      <c r="AA196" s="5" t="str">
        <f t="shared" si="103"/>
        <v>A9</v>
      </c>
      <c r="AG196" s="29" t="str">
        <f t="shared" si="94"/>
        <v>11/03/2024</v>
      </c>
      <c r="AH196" s="30">
        <f t="shared" si="94"/>
        <v>94300</v>
      </c>
      <c r="AI196" s="4" t="str">
        <f t="shared" si="95"/>
        <v>A9</v>
      </c>
      <c r="AJ196" s="5" t="str">
        <f t="shared" si="104"/>
        <v>A9</v>
      </c>
      <c r="AK196">
        <f t="shared" si="105"/>
        <v>91953.5</v>
      </c>
      <c r="AL196" t="str">
        <f t="shared" si="106"/>
        <v>A9</v>
      </c>
      <c r="AM196">
        <f t="shared" si="107"/>
        <v>91953.5</v>
      </c>
      <c r="AN196" s="6">
        <f t="shared" si="108"/>
        <v>900</v>
      </c>
      <c r="AO196">
        <f t="shared" si="109"/>
        <v>95080</v>
      </c>
      <c r="AP196">
        <f t="shared" si="132"/>
        <v>94180</v>
      </c>
      <c r="AQ196" s="33">
        <f t="shared" si="110"/>
        <v>95530</v>
      </c>
      <c r="AR196" s="33">
        <f t="shared" si="111"/>
        <v>93730</v>
      </c>
      <c r="AS196">
        <f t="shared" si="112"/>
        <v>94855</v>
      </c>
      <c r="AT196" s="5">
        <f t="shared" si="113"/>
        <v>94405</v>
      </c>
      <c r="AU196" s="5">
        <f t="shared" si="114"/>
        <v>96430</v>
      </c>
      <c r="AV196" s="5">
        <f t="shared" si="115"/>
        <v>92830</v>
      </c>
      <c r="AW196" s="5">
        <f t="shared" si="116"/>
        <v>94780</v>
      </c>
      <c r="AX196" s="5">
        <f t="shared" si="117"/>
        <v>94480</v>
      </c>
      <c r="AY196" s="5">
        <f t="shared" si="118"/>
        <v>97330</v>
      </c>
      <c r="AZ196" s="5">
        <f t="shared" si="119"/>
        <v>91930</v>
      </c>
      <c r="BB196" s="32" t="str">
        <f t="shared" si="96"/>
        <v>11/03/2024</v>
      </c>
      <c r="BC196" s="33">
        <f t="shared" si="96"/>
        <v>94300</v>
      </c>
      <c r="BD196" s="4" t="str">
        <f t="shared" si="96"/>
        <v>A9</v>
      </c>
      <c r="BE196">
        <f t="shared" si="120"/>
        <v>93516.75</v>
      </c>
      <c r="BF196">
        <f t="shared" si="121"/>
        <v>93066.75</v>
      </c>
      <c r="BG196">
        <f t="shared" si="122"/>
        <v>93741.75</v>
      </c>
      <c r="BH196">
        <f t="shared" si="123"/>
        <v>92841.75</v>
      </c>
      <c r="BI196">
        <f t="shared" si="124"/>
        <v>93404.25</v>
      </c>
      <c r="BJ196">
        <f t="shared" si="125"/>
        <v>93179.25</v>
      </c>
      <c r="BK196" s="38">
        <f t="shared" si="126"/>
        <v>94191.75</v>
      </c>
      <c r="BL196">
        <f t="shared" si="127"/>
        <v>92391.75</v>
      </c>
      <c r="BM196">
        <f t="shared" si="128"/>
        <v>93366.75</v>
      </c>
      <c r="BN196">
        <f t="shared" si="129"/>
        <v>93216.75</v>
      </c>
      <c r="BO196">
        <f t="shared" si="130"/>
        <v>94641.75</v>
      </c>
      <c r="BP196">
        <f t="shared" si="131"/>
        <v>91941.75</v>
      </c>
      <c r="BQ196" s="7">
        <f>BK196</f>
        <v>94191.75</v>
      </c>
      <c r="BS196" s="30">
        <f t="shared" si="97"/>
        <v>94300</v>
      </c>
      <c r="BT196" s="4">
        <f t="shared" si="98"/>
        <v>94191.75</v>
      </c>
      <c r="BU196" s="37">
        <f t="shared" si="99"/>
        <v>108.25</v>
      </c>
      <c r="BV196">
        <f t="shared" si="100"/>
        <v>108.25</v>
      </c>
      <c r="BW196" s="35">
        <f t="shared" si="101"/>
        <v>1.1479321314952281E-3</v>
      </c>
    </row>
    <row r="197" spans="1:75">
      <c r="A197" s="1" t="s">
        <v>198</v>
      </c>
      <c r="B197" s="1">
        <v>97470</v>
      </c>
      <c r="Q197">
        <v>194</v>
      </c>
      <c r="R197" s="27" t="str">
        <f t="shared" ref="R197:S260" si="134">A195</f>
        <v>12/03/2024</v>
      </c>
      <c r="S197" s="27">
        <f t="shared" si="134"/>
        <v>93830</v>
      </c>
      <c r="T197" s="4" t="str">
        <f t="shared" ref="T197:T260" si="135">VLOOKUP(S197,$N$5:$O$14,2,TRUE)</f>
        <v>A9</v>
      </c>
      <c r="V197">
        <v>194</v>
      </c>
      <c r="W197" s="28" t="str">
        <f t="shared" si="133"/>
        <v>12/03/2024</v>
      </c>
      <c r="X197" s="28">
        <f t="shared" si="133"/>
        <v>93830</v>
      </c>
      <c r="Y197" s="28" t="str">
        <f t="shared" si="133"/>
        <v>A9</v>
      </c>
      <c r="Z197" s="5" t="str">
        <f t="shared" si="102"/>
        <v>A9</v>
      </c>
      <c r="AA197" s="5" t="str">
        <f t="shared" si="103"/>
        <v>A9</v>
      </c>
      <c r="AG197" s="29" t="str">
        <f t="shared" ref="AG197:AH260" si="136">W197</f>
        <v>12/03/2024</v>
      </c>
      <c r="AH197" s="30">
        <f t="shared" si="136"/>
        <v>93830</v>
      </c>
      <c r="AI197" s="4" t="str">
        <f t="shared" ref="AI197:AI260" si="137">VLOOKUP(AH197,$N$5:$O$14,2,TRUE)</f>
        <v>A9</v>
      </c>
      <c r="AJ197" s="5" t="str">
        <f t="shared" si="104"/>
        <v>A9</v>
      </c>
      <c r="AK197">
        <f t="shared" si="105"/>
        <v>91953.5</v>
      </c>
      <c r="AL197" t="str">
        <f t="shared" si="106"/>
        <v>A9</v>
      </c>
      <c r="AM197">
        <f t="shared" si="107"/>
        <v>91953.5</v>
      </c>
      <c r="AN197" s="6">
        <f t="shared" si="108"/>
        <v>830</v>
      </c>
      <c r="AO197">
        <f t="shared" si="109"/>
        <v>94715</v>
      </c>
      <c r="AP197">
        <f t="shared" si="132"/>
        <v>93885</v>
      </c>
      <c r="AQ197" s="33">
        <f t="shared" si="110"/>
        <v>95130</v>
      </c>
      <c r="AR197" s="33">
        <f t="shared" si="111"/>
        <v>93470</v>
      </c>
      <c r="AS197">
        <f t="shared" si="112"/>
        <v>94507.5</v>
      </c>
      <c r="AT197" s="5">
        <f t="shared" si="113"/>
        <v>94092.5</v>
      </c>
      <c r="AU197" s="5">
        <f t="shared" si="114"/>
        <v>95960</v>
      </c>
      <c r="AV197" s="5">
        <f t="shared" si="115"/>
        <v>92640</v>
      </c>
      <c r="AW197" s="5">
        <f t="shared" si="116"/>
        <v>94438.333333333328</v>
      </c>
      <c r="AX197" s="5">
        <f t="shared" si="117"/>
        <v>94161.666666666672</v>
      </c>
      <c r="AY197" s="5">
        <f t="shared" si="118"/>
        <v>96790</v>
      </c>
      <c r="AZ197" s="5">
        <f t="shared" si="119"/>
        <v>91810</v>
      </c>
      <c r="BB197" s="32" t="str">
        <f t="shared" ref="BB197:BD260" si="138">AG197</f>
        <v>12/03/2024</v>
      </c>
      <c r="BC197" s="33">
        <f t="shared" si="138"/>
        <v>93830</v>
      </c>
      <c r="BD197" s="4" t="str">
        <f t="shared" si="138"/>
        <v>A9</v>
      </c>
      <c r="BE197">
        <f t="shared" si="120"/>
        <v>93334.25</v>
      </c>
      <c r="BF197">
        <f t="shared" si="121"/>
        <v>92919.25</v>
      </c>
      <c r="BG197">
        <f t="shared" si="122"/>
        <v>93541.75</v>
      </c>
      <c r="BH197">
        <f t="shared" si="123"/>
        <v>92711.75</v>
      </c>
      <c r="BI197">
        <f t="shared" si="124"/>
        <v>93230.5</v>
      </c>
      <c r="BJ197">
        <f t="shared" si="125"/>
        <v>93023</v>
      </c>
      <c r="BK197" s="38">
        <f t="shared" si="126"/>
        <v>93956.75</v>
      </c>
      <c r="BL197">
        <f t="shared" si="127"/>
        <v>92296.75</v>
      </c>
      <c r="BM197">
        <f t="shared" si="128"/>
        <v>93195.916666666657</v>
      </c>
      <c r="BN197">
        <f t="shared" si="129"/>
        <v>93057.583333333343</v>
      </c>
      <c r="BO197">
        <f t="shared" si="130"/>
        <v>94371.75</v>
      </c>
      <c r="BP197">
        <f t="shared" si="131"/>
        <v>91881.75</v>
      </c>
      <c r="BQ197" s="7">
        <f>BK197</f>
        <v>93956.75</v>
      </c>
      <c r="BS197" s="30">
        <f t="shared" ref="BS197:BS260" si="139">BC197</f>
        <v>93830</v>
      </c>
      <c r="BT197" s="4">
        <f t="shared" ref="BT197:BT260" si="140">BQ197</f>
        <v>93956.75</v>
      </c>
      <c r="BU197" s="37">
        <f t="shared" si="99"/>
        <v>-126.75</v>
      </c>
      <c r="BV197">
        <f t="shared" si="100"/>
        <v>126.75</v>
      </c>
      <c r="BW197" s="35">
        <f t="shared" si="101"/>
        <v>1.3508472769903016E-3</v>
      </c>
    </row>
    <row r="198" spans="1:75">
      <c r="A198" s="1" t="s">
        <v>199</v>
      </c>
      <c r="B198" s="1">
        <v>94060</v>
      </c>
      <c r="Q198">
        <v>195</v>
      </c>
      <c r="R198" s="27" t="str">
        <f t="shared" si="134"/>
        <v>13/03/2024</v>
      </c>
      <c r="S198" s="27">
        <f t="shared" si="134"/>
        <v>85320</v>
      </c>
      <c r="T198" s="4" t="str">
        <f t="shared" si="135"/>
        <v>A8</v>
      </c>
      <c r="V198">
        <v>195</v>
      </c>
      <c r="W198" s="28" t="str">
        <f t="shared" si="133"/>
        <v>13/03/2024</v>
      </c>
      <c r="X198" s="28">
        <f t="shared" si="133"/>
        <v>85320</v>
      </c>
      <c r="Y198" s="28" t="str">
        <f t="shared" si="133"/>
        <v>A8</v>
      </c>
      <c r="Z198" s="5" t="str">
        <f t="shared" si="102"/>
        <v>A9</v>
      </c>
      <c r="AA198" s="5" t="str">
        <f t="shared" si="103"/>
        <v>A9</v>
      </c>
      <c r="AG198" s="29" t="str">
        <f t="shared" si="136"/>
        <v>13/03/2024</v>
      </c>
      <c r="AH198" s="30">
        <f t="shared" si="136"/>
        <v>85320</v>
      </c>
      <c r="AI198" s="4" t="str">
        <f t="shared" si="137"/>
        <v>A8</v>
      </c>
      <c r="AJ198" s="5" t="str">
        <f t="shared" si="104"/>
        <v>A9</v>
      </c>
      <c r="AK198">
        <f t="shared" si="105"/>
        <v>91953.5</v>
      </c>
      <c r="AL198" t="str">
        <f t="shared" si="106"/>
        <v>A9</v>
      </c>
      <c r="AM198">
        <f t="shared" si="107"/>
        <v>91953.5</v>
      </c>
      <c r="AN198" s="6">
        <f t="shared" si="108"/>
        <v>140</v>
      </c>
      <c r="AO198">
        <f t="shared" si="109"/>
        <v>93900</v>
      </c>
      <c r="AP198">
        <f t="shared" si="132"/>
        <v>93760</v>
      </c>
      <c r="AQ198" s="33">
        <f t="shared" si="110"/>
        <v>93970</v>
      </c>
      <c r="AR198" s="33">
        <f t="shared" si="111"/>
        <v>93690</v>
      </c>
      <c r="AS198">
        <f t="shared" si="112"/>
        <v>93865</v>
      </c>
      <c r="AT198" s="5">
        <f t="shared" si="113"/>
        <v>93795</v>
      </c>
      <c r="AU198" s="5">
        <f t="shared" si="114"/>
        <v>94110</v>
      </c>
      <c r="AV198" s="5">
        <f t="shared" si="115"/>
        <v>93550</v>
      </c>
      <c r="AW198" s="5">
        <f t="shared" si="116"/>
        <v>93853.333333333328</v>
      </c>
      <c r="AX198" s="5">
        <f t="shared" si="117"/>
        <v>93806.666666666672</v>
      </c>
      <c r="AY198" s="5">
        <f t="shared" si="118"/>
        <v>94250</v>
      </c>
      <c r="AZ198" s="5">
        <f t="shared" si="119"/>
        <v>93410</v>
      </c>
      <c r="BB198" s="32" t="str">
        <f t="shared" si="138"/>
        <v>13/03/2024</v>
      </c>
      <c r="BC198" s="33">
        <f t="shared" si="138"/>
        <v>85320</v>
      </c>
      <c r="BD198" s="4" t="str">
        <f t="shared" si="138"/>
        <v>A8</v>
      </c>
      <c r="BE198">
        <f t="shared" si="120"/>
        <v>92926.75</v>
      </c>
      <c r="BF198">
        <f t="shared" si="121"/>
        <v>92856.75</v>
      </c>
      <c r="BG198">
        <f t="shared" si="122"/>
        <v>92961.75</v>
      </c>
      <c r="BH198">
        <f t="shared" si="123"/>
        <v>92821.75</v>
      </c>
      <c r="BI198">
        <f t="shared" si="124"/>
        <v>92909.25</v>
      </c>
      <c r="BJ198">
        <f t="shared" si="125"/>
        <v>92874.25</v>
      </c>
      <c r="BK198">
        <f t="shared" si="126"/>
        <v>93031.75</v>
      </c>
      <c r="BL198">
        <f t="shared" si="127"/>
        <v>92751.75</v>
      </c>
      <c r="BM198">
        <f t="shared" si="128"/>
        <v>92903.416666666657</v>
      </c>
      <c r="BN198">
        <f t="shared" si="129"/>
        <v>92880.083333333343</v>
      </c>
      <c r="BO198">
        <f t="shared" si="130"/>
        <v>93101.75</v>
      </c>
      <c r="BP198" s="38">
        <f t="shared" si="131"/>
        <v>92681.75</v>
      </c>
      <c r="BQ198" s="7">
        <f>BP198</f>
        <v>92681.75</v>
      </c>
      <c r="BS198" s="30">
        <f t="shared" si="139"/>
        <v>85320</v>
      </c>
      <c r="BT198" s="4">
        <f t="shared" si="140"/>
        <v>92681.75</v>
      </c>
      <c r="BU198" s="37">
        <f t="shared" si="99"/>
        <v>-7361.75</v>
      </c>
      <c r="BV198">
        <f t="shared" si="100"/>
        <v>7361.75</v>
      </c>
      <c r="BW198" s="35">
        <f t="shared" si="101"/>
        <v>8.6283989685888421E-2</v>
      </c>
    </row>
    <row r="199" spans="1:75">
      <c r="A199" s="1" t="s">
        <v>200</v>
      </c>
      <c r="B199" s="1">
        <v>96290</v>
      </c>
      <c r="Q199">
        <v>196</v>
      </c>
      <c r="R199" s="27" t="str">
        <f t="shared" si="134"/>
        <v>14/03/2024</v>
      </c>
      <c r="S199" s="27">
        <f t="shared" si="134"/>
        <v>97470</v>
      </c>
      <c r="T199" s="4" t="str">
        <f t="shared" si="135"/>
        <v>A10</v>
      </c>
      <c r="V199">
        <v>196</v>
      </c>
      <c r="W199" s="28" t="str">
        <f t="shared" si="133"/>
        <v>14/03/2024</v>
      </c>
      <c r="X199" s="28">
        <f t="shared" si="133"/>
        <v>97470</v>
      </c>
      <c r="Y199" s="28" t="str">
        <f t="shared" si="133"/>
        <v>A10</v>
      </c>
      <c r="Z199" s="5" t="str">
        <f t="shared" si="102"/>
        <v>A9</v>
      </c>
      <c r="AA199" s="5" t="str">
        <f t="shared" si="103"/>
        <v>A8</v>
      </c>
      <c r="AG199" s="29" t="str">
        <f t="shared" si="136"/>
        <v>14/03/2024</v>
      </c>
      <c r="AH199" s="30">
        <f t="shared" si="136"/>
        <v>97470</v>
      </c>
      <c r="AI199" s="4" t="str">
        <f t="shared" si="137"/>
        <v>A10</v>
      </c>
      <c r="AJ199" s="5" t="str">
        <f t="shared" si="104"/>
        <v>A9</v>
      </c>
      <c r="AK199">
        <f t="shared" si="105"/>
        <v>91953.5</v>
      </c>
      <c r="AL199" t="str">
        <f t="shared" si="106"/>
        <v>A8</v>
      </c>
      <c r="AM199">
        <f t="shared" si="107"/>
        <v>85922.5</v>
      </c>
      <c r="AN199" s="6">
        <f t="shared" si="108"/>
        <v>8040</v>
      </c>
      <c r="AO199">
        <f t="shared" si="109"/>
        <v>89340</v>
      </c>
      <c r="AP199">
        <f t="shared" si="132"/>
        <v>81300</v>
      </c>
      <c r="AQ199" s="33">
        <f t="shared" si="110"/>
        <v>93360</v>
      </c>
      <c r="AR199" s="33">
        <f t="shared" si="111"/>
        <v>77280</v>
      </c>
      <c r="AS199">
        <f t="shared" si="112"/>
        <v>87330</v>
      </c>
      <c r="AT199" s="5">
        <f t="shared" si="113"/>
        <v>83310</v>
      </c>
      <c r="AU199" s="5">
        <f t="shared" si="114"/>
        <v>101400</v>
      </c>
      <c r="AV199" s="5">
        <f t="shared" si="115"/>
        <v>69240</v>
      </c>
      <c r="AW199" s="5">
        <f t="shared" si="116"/>
        <v>86660</v>
      </c>
      <c r="AX199" s="5">
        <f t="shared" si="117"/>
        <v>83980</v>
      </c>
      <c r="AY199" s="5">
        <f t="shared" si="118"/>
        <v>109440</v>
      </c>
      <c r="AZ199" s="5">
        <f t="shared" si="119"/>
        <v>61200</v>
      </c>
      <c r="BB199" s="32" t="str">
        <f t="shared" si="138"/>
        <v>14/03/2024</v>
      </c>
      <c r="BC199" s="33">
        <f t="shared" si="138"/>
        <v>97470</v>
      </c>
      <c r="BD199" s="4" t="str">
        <f t="shared" si="138"/>
        <v>A10</v>
      </c>
      <c r="BE199">
        <f t="shared" si="120"/>
        <v>87631.25</v>
      </c>
      <c r="BF199">
        <f t="shared" si="121"/>
        <v>83611.25</v>
      </c>
      <c r="BG199">
        <f t="shared" si="122"/>
        <v>89641.25</v>
      </c>
      <c r="BH199">
        <f t="shared" si="123"/>
        <v>81601.25</v>
      </c>
      <c r="BI199">
        <f t="shared" si="124"/>
        <v>86626.25</v>
      </c>
      <c r="BJ199">
        <f t="shared" si="125"/>
        <v>84616.25</v>
      </c>
      <c r="BK199">
        <f t="shared" si="126"/>
        <v>93661.25</v>
      </c>
      <c r="BL199">
        <f t="shared" si="127"/>
        <v>77581.25</v>
      </c>
      <c r="BM199">
        <f t="shared" si="128"/>
        <v>86291.25</v>
      </c>
      <c r="BN199">
        <f t="shared" si="129"/>
        <v>84951.25</v>
      </c>
      <c r="BO199" s="38">
        <f t="shared" si="130"/>
        <v>97681.25</v>
      </c>
      <c r="BP199">
        <f t="shared" si="131"/>
        <v>73561.25</v>
      </c>
      <c r="BQ199" s="7">
        <f>BO199</f>
        <v>97681.25</v>
      </c>
      <c r="BS199" s="30">
        <f t="shared" si="139"/>
        <v>97470</v>
      </c>
      <c r="BT199" s="4">
        <f t="shared" si="140"/>
        <v>97681.25</v>
      </c>
      <c r="BU199" s="37">
        <f t="shared" ref="BU199:BU262" si="141">BS199-BT199</f>
        <v>-211.25</v>
      </c>
      <c r="BV199">
        <f t="shared" ref="BV199:BV262" si="142">ABS(BU199)</f>
        <v>211.25</v>
      </c>
      <c r="BW199" s="35">
        <f t="shared" ref="BW199:BW262" si="143">BV199/BS199</f>
        <v>2.1673335385246741E-3</v>
      </c>
    </row>
    <row r="200" spans="1:75">
      <c r="A200" s="1" t="s">
        <v>201</v>
      </c>
      <c r="B200" s="1">
        <v>95970</v>
      </c>
      <c r="Q200">
        <v>197</v>
      </c>
      <c r="R200" s="27" t="str">
        <f t="shared" si="134"/>
        <v>15/03/2024</v>
      </c>
      <c r="S200" s="27">
        <f t="shared" si="134"/>
        <v>94060</v>
      </c>
      <c r="T200" s="4" t="str">
        <f t="shared" si="135"/>
        <v>A9</v>
      </c>
      <c r="V200">
        <v>197</v>
      </c>
      <c r="W200" s="28" t="str">
        <f t="shared" si="133"/>
        <v>15/03/2024</v>
      </c>
      <c r="X200" s="28">
        <f t="shared" si="133"/>
        <v>94060</v>
      </c>
      <c r="Y200" s="28" t="str">
        <f t="shared" si="133"/>
        <v>A9</v>
      </c>
      <c r="Z200" s="5" t="str">
        <f t="shared" ref="Z200:Z263" si="144">Y198</f>
        <v>A8</v>
      </c>
      <c r="AA200" s="5" t="str">
        <f t="shared" ref="AA200:AA263" si="145">Y199</f>
        <v>A10</v>
      </c>
      <c r="AG200" s="29" t="str">
        <f t="shared" si="136"/>
        <v>15/03/2024</v>
      </c>
      <c r="AH200" s="30">
        <f t="shared" si="136"/>
        <v>94060</v>
      </c>
      <c r="AI200" s="4" t="str">
        <f t="shared" si="137"/>
        <v>A9</v>
      </c>
      <c r="AJ200" s="5" t="str">
        <f t="shared" ref="AJ200:AJ263" si="146">AI198</f>
        <v>A8</v>
      </c>
      <c r="AK200">
        <f t="shared" ref="AK200:AK263" si="147">VLOOKUP(AJ200,$AC$18:$AD$27,2,FALSE)</f>
        <v>85922.5</v>
      </c>
      <c r="AL200" t="str">
        <f t="shared" ref="AL200:AL263" si="148">AI199</f>
        <v>A10</v>
      </c>
      <c r="AM200">
        <f t="shared" ref="AM200:AM263" si="149">VLOOKUP(AL200,$AC$18:$AD$27,2,FALSE)</f>
        <v>97984.5</v>
      </c>
      <c r="AN200" s="6">
        <f t="shared" ref="AN200:AN263" si="150">ABS(ABS(AH199-AH198)-ABS(AH198-AH197))</f>
        <v>3640</v>
      </c>
      <c r="AO200">
        <f t="shared" ref="AO200:AO263" si="151">AH199+AN200/2</f>
        <v>99290</v>
      </c>
      <c r="AP200">
        <f t="shared" si="132"/>
        <v>95650</v>
      </c>
      <c r="AQ200" s="33">
        <f t="shared" ref="AQ200:AQ263" si="152">AH199+AN200</f>
        <v>101110</v>
      </c>
      <c r="AR200" s="33">
        <f t="shared" ref="AR200:AR263" si="153">AH199-AN200</f>
        <v>93830</v>
      </c>
      <c r="AS200">
        <f t="shared" ref="AS200:AS263" si="154">AH199+AN200/4</f>
        <v>98380</v>
      </c>
      <c r="AT200" s="5">
        <f t="shared" ref="AT200:AT263" si="155">AH199-AN200/4</f>
        <v>96560</v>
      </c>
      <c r="AU200" s="5">
        <f t="shared" ref="AU200:AU263" si="156">AH199+2*AN200</f>
        <v>104750</v>
      </c>
      <c r="AV200" s="5">
        <f t="shared" ref="AV200:AV263" si="157">AH199-2*AN200</f>
        <v>90190</v>
      </c>
      <c r="AW200" s="5">
        <f t="shared" ref="AW200:AW263" si="158">AH199+AN200/6</f>
        <v>98076.666666666672</v>
      </c>
      <c r="AX200" s="5">
        <f t="shared" ref="AX200:AX263" si="159">AH199-AN200/6</f>
        <v>96863.333333333328</v>
      </c>
      <c r="AY200" s="5">
        <f t="shared" ref="AY200:AY263" si="160">AH199+3*AN200</f>
        <v>108390</v>
      </c>
      <c r="AZ200" s="5">
        <f t="shared" ref="AZ200:AZ263" si="161">AH199-3*AN200</f>
        <v>86550</v>
      </c>
      <c r="BB200" s="32" t="str">
        <f t="shared" si="138"/>
        <v>15/03/2024</v>
      </c>
      <c r="BC200" s="33">
        <f t="shared" si="138"/>
        <v>94060</v>
      </c>
      <c r="BD200" s="4" t="str">
        <f t="shared" si="138"/>
        <v>A9</v>
      </c>
      <c r="BE200">
        <f t="shared" ref="BE200:BE263" si="162">(AO200+AM200)/(1+1)</f>
        <v>98637.25</v>
      </c>
      <c r="BF200">
        <f t="shared" ref="BF200:BF263" si="163">(AP200+AM200)/(1+1)</f>
        <v>96817.25</v>
      </c>
      <c r="BG200">
        <f t="shared" ref="BG200:BG263" si="164">(AQ200+AM200)/(1+1)</f>
        <v>99547.25</v>
      </c>
      <c r="BH200">
        <f t="shared" ref="BH200:BH263" si="165">(AR200+AM200)/(1+1)</f>
        <v>95907.25</v>
      </c>
      <c r="BI200">
        <f t="shared" ref="BI200:BI263" si="166">(AS200+AM200)/(1+1)</f>
        <v>98182.25</v>
      </c>
      <c r="BJ200">
        <f t="shared" ref="BJ200:BJ263" si="167">(AT200+AM200)/(1+1)</f>
        <v>97272.25</v>
      </c>
      <c r="BK200">
        <f t="shared" ref="BK200:BK263" si="168">(AU200+AM200)/(1+1)</f>
        <v>101367.25</v>
      </c>
      <c r="BL200" s="38">
        <f t="shared" ref="BL200:BL263" si="169">(AV200+AM200)/(1+1)</f>
        <v>94087.25</v>
      </c>
      <c r="BM200">
        <f t="shared" ref="BM200:BM263" si="170">(AW200+AM200)/(1+1)</f>
        <v>98030.583333333343</v>
      </c>
      <c r="BN200">
        <f t="shared" ref="BN200:BN263" si="171">(AX200+AM200)/(1+1)</f>
        <v>97423.916666666657</v>
      </c>
      <c r="BO200">
        <f t="shared" ref="BO200:BO263" si="172">(AY200+AM200)/(1+1)</f>
        <v>103187.25</v>
      </c>
      <c r="BP200">
        <f t="shared" ref="BP200:BP263" si="173">(AZ200+AM200)/(1+1)</f>
        <v>92267.25</v>
      </c>
      <c r="BQ200" s="7">
        <f>BL200</f>
        <v>94087.25</v>
      </c>
      <c r="BS200" s="30">
        <f t="shared" si="139"/>
        <v>94060</v>
      </c>
      <c r="BT200" s="4">
        <f t="shared" si="140"/>
        <v>94087.25</v>
      </c>
      <c r="BU200" s="37">
        <f t="shared" si="141"/>
        <v>-27.25</v>
      </c>
      <c r="BV200">
        <f t="shared" si="142"/>
        <v>27.25</v>
      </c>
      <c r="BW200" s="35">
        <f t="shared" si="143"/>
        <v>2.897086965766532E-4</v>
      </c>
    </row>
    <row r="201" spans="1:75">
      <c r="A201" s="1" t="s">
        <v>202</v>
      </c>
      <c r="B201" s="1">
        <v>92660</v>
      </c>
      <c r="Q201">
        <v>198</v>
      </c>
      <c r="R201" s="27" t="str">
        <f t="shared" si="134"/>
        <v>16/03/2024</v>
      </c>
      <c r="S201" s="27">
        <f t="shared" si="134"/>
        <v>96290</v>
      </c>
      <c r="T201" s="4" t="str">
        <f t="shared" si="135"/>
        <v>A10</v>
      </c>
      <c r="V201">
        <v>198</v>
      </c>
      <c r="W201" s="28" t="str">
        <f t="shared" si="133"/>
        <v>16/03/2024</v>
      </c>
      <c r="X201" s="28">
        <f t="shared" si="133"/>
        <v>96290</v>
      </c>
      <c r="Y201" s="28" t="str">
        <f t="shared" si="133"/>
        <v>A10</v>
      </c>
      <c r="Z201" s="5" t="str">
        <f t="shared" si="144"/>
        <v>A10</v>
      </c>
      <c r="AA201" s="5" t="str">
        <f t="shared" si="145"/>
        <v>A9</v>
      </c>
      <c r="AG201" s="29" t="str">
        <f t="shared" si="136"/>
        <v>16/03/2024</v>
      </c>
      <c r="AH201" s="30">
        <f t="shared" si="136"/>
        <v>96290</v>
      </c>
      <c r="AI201" s="4" t="str">
        <f t="shared" si="137"/>
        <v>A10</v>
      </c>
      <c r="AJ201" s="5" t="str">
        <f t="shared" si="146"/>
        <v>A10</v>
      </c>
      <c r="AK201">
        <f t="shared" si="147"/>
        <v>97984.5</v>
      </c>
      <c r="AL201" t="str">
        <f t="shared" si="148"/>
        <v>A9</v>
      </c>
      <c r="AM201">
        <f t="shared" si="149"/>
        <v>91953.5</v>
      </c>
      <c r="AN201" s="6">
        <f t="shared" si="150"/>
        <v>8740</v>
      </c>
      <c r="AO201">
        <f t="shared" si="151"/>
        <v>98430</v>
      </c>
      <c r="AP201">
        <f t="shared" si="132"/>
        <v>89690</v>
      </c>
      <c r="AQ201" s="33">
        <f t="shared" si="152"/>
        <v>102800</v>
      </c>
      <c r="AR201" s="33">
        <f t="shared" si="153"/>
        <v>85320</v>
      </c>
      <c r="AS201">
        <f t="shared" si="154"/>
        <v>96245</v>
      </c>
      <c r="AT201" s="5">
        <f t="shared" si="155"/>
        <v>91875</v>
      </c>
      <c r="AU201" s="5">
        <f t="shared" si="156"/>
        <v>111540</v>
      </c>
      <c r="AV201" s="5">
        <f t="shared" si="157"/>
        <v>76580</v>
      </c>
      <c r="AW201" s="5">
        <f t="shared" si="158"/>
        <v>95516.666666666672</v>
      </c>
      <c r="AX201" s="5">
        <f t="shared" si="159"/>
        <v>92603.333333333328</v>
      </c>
      <c r="AY201" s="5">
        <f t="shared" si="160"/>
        <v>120280</v>
      </c>
      <c r="AZ201" s="5">
        <f t="shared" si="161"/>
        <v>67840</v>
      </c>
      <c r="BB201" s="32" t="str">
        <f t="shared" si="138"/>
        <v>16/03/2024</v>
      </c>
      <c r="BC201" s="33">
        <f t="shared" si="138"/>
        <v>96290</v>
      </c>
      <c r="BD201" s="4" t="str">
        <f t="shared" si="138"/>
        <v>A10</v>
      </c>
      <c r="BE201">
        <f t="shared" si="162"/>
        <v>95191.75</v>
      </c>
      <c r="BF201">
        <f t="shared" si="163"/>
        <v>90821.75</v>
      </c>
      <c r="BG201" s="38">
        <f t="shared" si="164"/>
        <v>97376.75</v>
      </c>
      <c r="BH201">
        <f t="shared" si="165"/>
        <v>88636.75</v>
      </c>
      <c r="BI201">
        <f t="shared" si="166"/>
        <v>94099.25</v>
      </c>
      <c r="BJ201">
        <f t="shared" si="167"/>
        <v>91914.25</v>
      </c>
      <c r="BK201">
        <f t="shared" si="168"/>
        <v>101746.75</v>
      </c>
      <c r="BL201">
        <f t="shared" si="169"/>
        <v>84266.75</v>
      </c>
      <c r="BM201">
        <f t="shared" si="170"/>
        <v>93735.083333333343</v>
      </c>
      <c r="BN201">
        <f t="shared" si="171"/>
        <v>92278.416666666657</v>
      </c>
      <c r="BO201">
        <f t="shared" si="172"/>
        <v>106116.75</v>
      </c>
      <c r="BP201">
        <f t="shared" si="173"/>
        <v>79896.75</v>
      </c>
      <c r="BQ201" s="7">
        <f>BG201</f>
        <v>97376.75</v>
      </c>
      <c r="BS201" s="30">
        <f t="shared" si="139"/>
        <v>96290</v>
      </c>
      <c r="BT201" s="4">
        <f t="shared" si="140"/>
        <v>97376.75</v>
      </c>
      <c r="BU201" s="37">
        <f t="shared" si="141"/>
        <v>-1086.75</v>
      </c>
      <c r="BV201">
        <f t="shared" si="142"/>
        <v>1086.75</v>
      </c>
      <c r="BW201" s="35">
        <f t="shared" si="143"/>
        <v>1.128621871430055E-2</v>
      </c>
    </row>
    <row r="202" spans="1:75">
      <c r="A202" s="1" t="s">
        <v>203</v>
      </c>
      <c r="B202" s="1">
        <v>92120</v>
      </c>
      <c r="Q202">
        <v>199</v>
      </c>
      <c r="R202" s="27" t="str">
        <f t="shared" si="134"/>
        <v>17/03/2024</v>
      </c>
      <c r="S202" s="27">
        <f t="shared" si="134"/>
        <v>95970</v>
      </c>
      <c r="T202" s="4" t="str">
        <f t="shared" si="135"/>
        <v>A10</v>
      </c>
      <c r="V202">
        <v>199</v>
      </c>
      <c r="W202" s="28" t="str">
        <f t="shared" si="133"/>
        <v>17/03/2024</v>
      </c>
      <c r="X202" s="28">
        <f t="shared" si="133"/>
        <v>95970</v>
      </c>
      <c r="Y202" s="28" t="str">
        <f t="shared" si="133"/>
        <v>A10</v>
      </c>
      <c r="Z202" s="5" t="str">
        <f t="shared" si="144"/>
        <v>A9</v>
      </c>
      <c r="AA202" s="5" t="str">
        <f t="shared" si="145"/>
        <v>A10</v>
      </c>
      <c r="AG202" s="29" t="str">
        <f t="shared" si="136"/>
        <v>17/03/2024</v>
      </c>
      <c r="AH202" s="30">
        <f t="shared" si="136"/>
        <v>95970</v>
      </c>
      <c r="AI202" s="4" t="str">
        <f t="shared" si="137"/>
        <v>A10</v>
      </c>
      <c r="AJ202" s="5" t="str">
        <f t="shared" si="146"/>
        <v>A9</v>
      </c>
      <c r="AK202">
        <f t="shared" si="147"/>
        <v>91953.5</v>
      </c>
      <c r="AL202" t="str">
        <f t="shared" si="148"/>
        <v>A10</v>
      </c>
      <c r="AM202">
        <f t="shared" si="149"/>
        <v>97984.5</v>
      </c>
      <c r="AN202" s="6">
        <f t="shared" si="150"/>
        <v>1180</v>
      </c>
      <c r="AO202">
        <f t="shared" si="151"/>
        <v>96880</v>
      </c>
      <c r="AP202">
        <f t="shared" si="132"/>
        <v>95700</v>
      </c>
      <c r="AQ202" s="33">
        <f t="shared" si="152"/>
        <v>97470</v>
      </c>
      <c r="AR202" s="33">
        <f t="shared" si="153"/>
        <v>95110</v>
      </c>
      <c r="AS202">
        <f t="shared" si="154"/>
        <v>96585</v>
      </c>
      <c r="AT202" s="5">
        <f t="shared" si="155"/>
        <v>95995</v>
      </c>
      <c r="AU202" s="5">
        <f t="shared" si="156"/>
        <v>98650</v>
      </c>
      <c r="AV202" s="5">
        <f t="shared" si="157"/>
        <v>93930</v>
      </c>
      <c r="AW202" s="5">
        <f t="shared" si="158"/>
        <v>96486.666666666672</v>
      </c>
      <c r="AX202" s="5">
        <f t="shared" si="159"/>
        <v>96093.333333333328</v>
      </c>
      <c r="AY202" s="5">
        <f t="shared" si="160"/>
        <v>99830</v>
      </c>
      <c r="AZ202" s="5">
        <f t="shared" si="161"/>
        <v>92750</v>
      </c>
      <c r="BB202" s="32" t="str">
        <f t="shared" si="138"/>
        <v>17/03/2024</v>
      </c>
      <c r="BC202" s="33">
        <f t="shared" si="138"/>
        <v>95970</v>
      </c>
      <c r="BD202" s="4" t="str">
        <f t="shared" si="138"/>
        <v>A10</v>
      </c>
      <c r="BE202">
        <f t="shared" si="162"/>
        <v>97432.25</v>
      </c>
      <c r="BF202">
        <f t="shared" si="163"/>
        <v>96842.25</v>
      </c>
      <c r="BG202">
        <f t="shared" si="164"/>
        <v>97727.25</v>
      </c>
      <c r="BH202">
        <f t="shared" si="165"/>
        <v>96547.25</v>
      </c>
      <c r="BI202">
        <f t="shared" si="166"/>
        <v>97284.75</v>
      </c>
      <c r="BJ202">
        <f t="shared" si="167"/>
        <v>96989.75</v>
      </c>
      <c r="BK202">
        <f t="shared" si="168"/>
        <v>98317.25</v>
      </c>
      <c r="BL202">
        <f t="shared" si="169"/>
        <v>95957.25</v>
      </c>
      <c r="BM202">
        <f t="shared" si="170"/>
        <v>97235.583333333343</v>
      </c>
      <c r="BN202">
        <f t="shared" si="171"/>
        <v>97038.916666666657</v>
      </c>
      <c r="BO202">
        <f t="shared" si="172"/>
        <v>98907.25</v>
      </c>
      <c r="BP202" s="38">
        <f t="shared" si="173"/>
        <v>95367.25</v>
      </c>
      <c r="BQ202" s="7">
        <f>BP202</f>
        <v>95367.25</v>
      </c>
      <c r="BS202" s="30">
        <f t="shared" si="139"/>
        <v>95970</v>
      </c>
      <c r="BT202" s="4">
        <f t="shared" si="140"/>
        <v>95367.25</v>
      </c>
      <c r="BU202" s="37">
        <f t="shared" si="141"/>
        <v>602.75</v>
      </c>
      <c r="BV202">
        <f t="shared" si="142"/>
        <v>602.75</v>
      </c>
      <c r="BW202" s="35">
        <f t="shared" si="143"/>
        <v>6.2806085234969264E-3</v>
      </c>
    </row>
    <row r="203" spans="1:75">
      <c r="A203" s="1" t="s">
        <v>204</v>
      </c>
      <c r="B203" s="1">
        <v>91140</v>
      </c>
      <c r="Q203">
        <v>200</v>
      </c>
      <c r="R203" s="27" t="str">
        <f t="shared" si="134"/>
        <v>18/03/2024</v>
      </c>
      <c r="S203" s="27">
        <f t="shared" si="134"/>
        <v>92660</v>
      </c>
      <c r="T203" s="4" t="str">
        <f t="shared" si="135"/>
        <v>A9</v>
      </c>
      <c r="V203">
        <v>200</v>
      </c>
      <c r="W203" s="28" t="str">
        <f t="shared" si="133"/>
        <v>18/03/2024</v>
      </c>
      <c r="X203" s="28">
        <f t="shared" si="133"/>
        <v>92660</v>
      </c>
      <c r="Y203" s="28" t="str">
        <f t="shared" si="133"/>
        <v>A9</v>
      </c>
      <c r="Z203" s="5" t="str">
        <f t="shared" si="144"/>
        <v>A10</v>
      </c>
      <c r="AA203" s="5" t="str">
        <f t="shared" si="145"/>
        <v>A10</v>
      </c>
      <c r="AG203" s="29" t="str">
        <f t="shared" si="136"/>
        <v>18/03/2024</v>
      </c>
      <c r="AH203" s="30">
        <f t="shared" si="136"/>
        <v>92660</v>
      </c>
      <c r="AI203" s="4" t="str">
        <f t="shared" si="137"/>
        <v>A9</v>
      </c>
      <c r="AJ203" s="5" t="str">
        <f t="shared" si="146"/>
        <v>A10</v>
      </c>
      <c r="AK203">
        <f t="shared" si="147"/>
        <v>97984.5</v>
      </c>
      <c r="AL203" t="str">
        <f t="shared" si="148"/>
        <v>A10</v>
      </c>
      <c r="AM203">
        <f t="shared" si="149"/>
        <v>97984.5</v>
      </c>
      <c r="AN203" s="6">
        <f t="shared" si="150"/>
        <v>1910</v>
      </c>
      <c r="AO203">
        <f t="shared" si="151"/>
        <v>96925</v>
      </c>
      <c r="AP203">
        <f t="shared" si="132"/>
        <v>95015</v>
      </c>
      <c r="AQ203" s="33">
        <f t="shared" si="152"/>
        <v>97880</v>
      </c>
      <c r="AR203" s="33">
        <f t="shared" si="153"/>
        <v>94060</v>
      </c>
      <c r="AS203">
        <f t="shared" si="154"/>
        <v>96447.5</v>
      </c>
      <c r="AT203" s="5">
        <f t="shared" si="155"/>
        <v>95492.5</v>
      </c>
      <c r="AU203" s="5">
        <f t="shared" si="156"/>
        <v>99790</v>
      </c>
      <c r="AV203" s="5">
        <f t="shared" si="157"/>
        <v>92150</v>
      </c>
      <c r="AW203" s="5">
        <f t="shared" si="158"/>
        <v>96288.333333333328</v>
      </c>
      <c r="AX203" s="5">
        <f t="shared" si="159"/>
        <v>95651.666666666672</v>
      </c>
      <c r="AY203" s="5">
        <f t="shared" si="160"/>
        <v>101700</v>
      </c>
      <c r="AZ203" s="5">
        <f t="shared" si="161"/>
        <v>90240</v>
      </c>
      <c r="BB203" s="32" t="str">
        <f t="shared" si="138"/>
        <v>18/03/2024</v>
      </c>
      <c r="BC203" s="33">
        <f t="shared" si="138"/>
        <v>92660</v>
      </c>
      <c r="BD203" s="4" t="str">
        <f t="shared" si="138"/>
        <v>A9</v>
      </c>
      <c r="BE203">
        <f t="shared" si="162"/>
        <v>97454.75</v>
      </c>
      <c r="BF203">
        <f t="shared" si="163"/>
        <v>96499.75</v>
      </c>
      <c r="BG203">
        <f t="shared" si="164"/>
        <v>97932.25</v>
      </c>
      <c r="BH203">
        <f t="shared" si="165"/>
        <v>96022.25</v>
      </c>
      <c r="BI203">
        <f t="shared" si="166"/>
        <v>97216</v>
      </c>
      <c r="BJ203">
        <f t="shared" si="167"/>
        <v>96738.5</v>
      </c>
      <c r="BK203">
        <f t="shared" si="168"/>
        <v>98887.25</v>
      </c>
      <c r="BL203">
        <f t="shared" si="169"/>
        <v>95067.25</v>
      </c>
      <c r="BM203">
        <f t="shared" si="170"/>
        <v>97136.416666666657</v>
      </c>
      <c r="BN203">
        <f t="shared" si="171"/>
        <v>96818.083333333343</v>
      </c>
      <c r="BO203">
        <f t="shared" si="172"/>
        <v>99842.25</v>
      </c>
      <c r="BP203" s="38">
        <f t="shared" si="173"/>
        <v>94112.25</v>
      </c>
      <c r="BQ203" s="7">
        <f>BP203</f>
        <v>94112.25</v>
      </c>
      <c r="BS203" s="30">
        <f t="shared" si="139"/>
        <v>92660</v>
      </c>
      <c r="BT203" s="4">
        <f t="shared" si="140"/>
        <v>94112.25</v>
      </c>
      <c r="BU203" s="37">
        <f t="shared" si="141"/>
        <v>-1452.25</v>
      </c>
      <c r="BV203">
        <f t="shared" si="142"/>
        <v>1452.25</v>
      </c>
      <c r="BW203" s="35">
        <f t="shared" si="143"/>
        <v>1.5672890135981006E-2</v>
      </c>
    </row>
    <row r="204" spans="1:75">
      <c r="A204" s="1" t="s">
        <v>205</v>
      </c>
      <c r="B204" s="1">
        <v>92230</v>
      </c>
      <c r="Q204">
        <v>201</v>
      </c>
      <c r="R204" s="27" t="str">
        <f t="shared" si="134"/>
        <v>19/03/2024</v>
      </c>
      <c r="S204" s="27">
        <f t="shared" si="134"/>
        <v>92120</v>
      </c>
      <c r="T204" s="4" t="str">
        <f t="shared" si="135"/>
        <v>A9</v>
      </c>
      <c r="V204">
        <v>201</v>
      </c>
      <c r="W204" s="28" t="str">
        <f t="shared" si="133"/>
        <v>19/03/2024</v>
      </c>
      <c r="X204" s="28">
        <f t="shared" si="133"/>
        <v>92120</v>
      </c>
      <c r="Y204" s="28" t="str">
        <f t="shared" si="133"/>
        <v>A9</v>
      </c>
      <c r="Z204" s="5" t="str">
        <f t="shared" si="144"/>
        <v>A10</v>
      </c>
      <c r="AA204" s="5" t="str">
        <f t="shared" si="145"/>
        <v>A9</v>
      </c>
      <c r="AG204" s="29" t="str">
        <f t="shared" si="136"/>
        <v>19/03/2024</v>
      </c>
      <c r="AH204" s="30">
        <f t="shared" si="136"/>
        <v>92120</v>
      </c>
      <c r="AI204" s="4" t="str">
        <f t="shared" si="137"/>
        <v>A9</v>
      </c>
      <c r="AJ204" s="5" t="str">
        <f t="shared" si="146"/>
        <v>A10</v>
      </c>
      <c r="AK204">
        <f t="shared" si="147"/>
        <v>97984.5</v>
      </c>
      <c r="AL204" t="str">
        <f t="shared" si="148"/>
        <v>A9</v>
      </c>
      <c r="AM204">
        <f t="shared" si="149"/>
        <v>91953.5</v>
      </c>
      <c r="AN204" s="6">
        <f t="shared" si="150"/>
        <v>2990</v>
      </c>
      <c r="AO204">
        <f t="shared" si="151"/>
        <v>94155</v>
      </c>
      <c r="AP204">
        <f t="shared" ref="AP204:AP267" si="174">AH203-AN204/2</f>
        <v>91165</v>
      </c>
      <c r="AQ204" s="33">
        <f t="shared" si="152"/>
        <v>95650</v>
      </c>
      <c r="AR204" s="33">
        <f t="shared" si="153"/>
        <v>89670</v>
      </c>
      <c r="AS204">
        <f t="shared" si="154"/>
        <v>93407.5</v>
      </c>
      <c r="AT204" s="5">
        <f t="shared" si="155"/>
        <v>91912.5</v>
      </c>
      <c r="AU204" s="5">
        <f t="shared" si="156"/>
        <v>98640</v>
      </c>
      <c r="AV204" s="5">
        <f t="shared" si="157"/>
        <v>86680</v>
      </c>
      <c r="AW204" s="5">
        <f t="shared" si="158"/>
        <v>93158.333333333328</v>
      </c>
      <c r="AX204" s="5">
        <f t="shared" si="159"/>
        <v>92161.666666666672</v>
      </c>
      <c r="AY204" s="5">
        <f t="shared" si="160"/>
        <v>101630</v>
      </c>
      <c r="AZ204" s="5">
        <f t="shared" si="161"/>
        <v>83690</v>
      </c>
      <c r="BB204" s="32" t="str">
        <f t="shared" si="138"/>
        <v>19/03/2024</v>
      </c>
      <c r="BC204" s="33">
        <f t="shared" si="138"/>
        <v>92120</v>
      </c>
      <c r="BD204" s="4" t="str">
        <f t="shared" si="138"/>
        <v>A9</v>
      </c>
      <c r="BE204">
        <f t="shared" si="162"/>
        <v>93054.25</v>
      </c>
      <c r="BF204">
        <f t="shared" si="163"/>
        <v>91559.25</v>
      </c>
      <c r="BG204">
        <f t="shared" si="164"/>
        <v>93801.75</v>
      </c>
      <c r="BH204">
        <f t="shared" si="165"/>
        <v>90811.75</v>
      </c>
      <c r="BI204">
        <f t="shared" si="166"/>
        <v>92680.5</v>
      </c>
      <c r="BJ204">
        <f t="shared" si="167"/>
        <v>91933</v>
      </c>
      <c r="BK204">
        <f t="shared" si="168"/>
        <v>95296.75</v>
      </c>
      <c r="BL204">
        <f t="shared" si="169"/>
        <v>89316.75</v>
      </c>
      <c r="BM204">
        <f t="shared" si="170"/>
        <v>92555.916666666657</v>
      </c>
      <c r="BN204" s="38">
        <f t="shared" si="171"/>
        <v>92057.583333333343</v>
      </c>
      <c r="BO204">
        <f t="shared" si="172"/>
        <v>96791.75</v>
      </c>
      <c r="BP204">
        <f t="shared" si="173"/>
        <v>87821.75</v>
      </c>
      <c r="BQ204" s="7">
        <f>BN204</f>
        <v>92057.583333333343</v>
      </c>
      <c r="BS204" s="30">
        <f t="shared" si="139"/>
        <v>92120</v>
      </c>
      <c r="BT204" s="4">
        <f t="shared" si="140"/>
        <v>92057.583333333343</v>
      </c>
      <c r="BU204" s="37">
        <f t="shared" si="141"/>
        <v>62.416666666656965</v>
      </c>
      <c r="BV204">
        <f t="shared" si="142"/>
        <v>62.416666666656965</v>
      </c>
      <c r="BW204" s="35">
        <f t="shared" si="143"/>
        <v>6.7755825734538608E-4</v>
      </c>
    </row>
    <row r="205" spans="1:75">
      <c r="A205" s="1" t="s">
        <v>206</v>
      </c>
      <c r="B205" s="1">
        <v>88370</v>
      </c>
      <c r="Q205">
        <v>202</v>
      </c>
      <c r="R205" s="27" t="str">
        <f t="shared" si="134"/>
        <v>20/03/2024</v>
      </c>
      <c r="S205" s="27">
        <f t="shared" si="134"/>
        <v>91140</v>
      </c>
      <c r="T205" s="4" t="str">
        <f t="shared" si="135"/>
        <v>A9</v>
      </c>
      <c r="V205">
        <v>202</v>
      </c>
      <c r="W205" s="28" t="str">
        <f t="shared" si="133"/>
        <v>20/03/2024</v>
      </c>
      <c r="X205" s="28">
        <f t="shared" si="133"/>
        <v>91140</v>
      </c>
      <c r="Y205" s="28" t="str">
        <f t="shared" si="133"/>
        <v>A9</v>
      </c>
      <c r="Z205" s="5" t="str">
        <f t="shared" si="144"/>
        <v>A9</v>
      </c>
      <c r="AA205" s="5" t="str">
        <f t="shared" si="145"/>
        <v>A9</v>
      </c>
      <c r="AG205" s="29" t="str">
        <f t="shared" si="136"/>
        <v>20/03/2024</v>
      </c>
      <c r="AH205" s="30">
        <f t="shared" si="136"/>
        <v>91140</v>
      </c>
      <c r="AI205" s="4" t="str">
        <f t="shared" si="137"/>
        <v>A9</v>
      </c>
      <c r="AJ205" s="5" t="str">
        <f t="shared" si="146"/>
        <v>A9</v>
      </c>
      <c r="AK205">
        <f t="shared" si="147"/>
        <v>91953.5</v>
      </c>
      <c r="AL205" t="str">
        <f t="shared" si="148"/>
        <v>A9</v>
      </c>
      <c r="AM205">
        <f t="shared" si="149"/>
        <v>91953.5</v>
      </c>
      <c r="AN205" s="6">
        <f t="shared" si="150"/>
        <v>2770</v>
      </c>
      <c r="AO205">
        <f t="shared" si="151"/>
        <v>93505</v>
      </c>
      <c r="AP205">
        <f t="shared" si="174"/>
        <v>90735</v>
      </c>
      <c r="AQ205" s="33">
        <f t="shared" si="152"/>
        <v>94890</v>
      </c>
      <c r="AR205" s="33">
        <f t="shared" si="153"/>
        <v>89350</v>
      </c>
      <c r="AS205">
        <f t="shared" si="154"/>
        <v>92812.5</v>
      </c>
      <c r="AT205" s="5">
        <f t="shared" si="155"/>
        <v>91427.5</v>
      </c>
      <c r="AU205" s="5">
        <f t="shared" si="156"/>
        <v>97660</v>
      </c>
      <c r="AV205" s="5">
        <f t="shared" si="157"/>
        <v>86580</v>
      </c>
      <c r="AW205" s="5">
        <f t="shared" si="158"/>
        <v>92581.666666666672</v>
      </c>
      <c r="AX205" s="5">
        <f t="shared" si="159"/>
        <v>91658.333333333328</v>
      </c>
      <c r="AY205" s="5">
        <f t="shared" si="160"/>
        <v>100430</v>
      </c>
      <c r="AZ205" s="5">
        <f t="shared" si="161"/>
        <v>83810</v>
      </c>
      <c r="BB205" s="32" t="str">
        <f t="shared" si="138"/>
        <v>20/03/2024</v>
      </c>
      <c r="BC205" s="33">
        <f t="shared" si="138"/>
        <v>91140</v>
      </c>
      <c r="BD205" s="4" t="str">
        <f t="shared" si="138"/>
        <v>A9</v>
      </c>
      <c r="BE205">
        <f t="shared" si="162"/>
        <v>92729.25</v>
      </c>
      <c r="BF205" s="38">
        <f t="shared" si="163"/>
        <v>91344.25</v>
      </c>
      <c r="BG205">
        <f t="shared" si="164"/>
        <v>93421.75</v>
      </c>
      <c r="BH205">
        <f t="shared" si="165"/>
        <v>90651.75</v>
      </c>
      <c r="BI205">
        <f t="shared" si="166"/>
        <v>92383</v>
      </c>
      <c r="BJ205">
        <f t="shared" si="167"/>
        <v>91690.5</v>
      </c>
      <c r="BK205">
        <f t="shared" si="168"/>
        <v>94806.75</v>
      </c>
      <c r="BL205">
        <f t="shared" si="169"/>
        <v>89266.75</v>
      </c>
      <c r="BM205">
        <f t="shared" si="170"/>
        <v>92267.583333333343</v>
      </c>
      <c r="BN205">
        <f t="shared" si="171"/>
        <v>91805.916666666657</v>
      </c>
      <c r="BO205">
        <f t="shared" si="172"/>
        <v>96191.75</v>
      </c>
      <c r="BP205">
        <f t="shared" si="173"/>
        <v>87881.75</v>
      </c>
      <c r="BQ205" s="7">
        <f>BF205</f>
        <v>91344.25</v>
      </c>
      <c r="BS205" s="30">
        <f t="shared" si="139"/>
        <v>91140</v>
      </c>
      <c r="BT205" s="4">
        <f t="shared" si="140"/>
        <v>91344.25</v>
      </c>
      <c r="BU205" s="37">
        <f t="shared" si="141"/>
        <v>-204.25</v>
      </c>
      <c r="BV205">
        <f t="shared" si="142"/>
        <v>204.25</v>
      </c>
      <c r="BW205" s="35">
        <f t="shared" si="143"/>
        <v>2.2410577134079437E-3</v>
      </c>
    </row>
    <row r="206" spans="1:75">
      <c r="A206" s="1" t="s">
        <v>207</v>
      </c>
      <c r="B206" s="1">
        <v>87020</v>
      </c>
      <c r="Q206">
        <v>203</v>
      </c>
      <c r="R206" s="27" t="str">
        <f t="shared" si="134"/>
        <v>21/03/2024</v>
      </c>
      <c r="S206" s="27">
        <f t="shared" si="134"/>
        <v>92230</v>
      </c>
      <c r="T206" s="4" t="str">
        <f t="shared" si="135"/>
        <v>A9</v>
      </c>
      <c r="V206">
        <v>203</v>
      </c>
      <c r="W206" s="28" t="str">
        <f t="shared" si="133"/>
        <v>21/03/2024</v>
      </c>
      <c r="X206" s="28">
        <f t="shared" si="133"/>
        <v>92230</v>
      </c>
      <c r="Y206" s="28" t="str">
        <f t="shared" si="133"/>
        <v>A9</v>
      </c>
      <c r="Z206" s="5" t="str">
        <f t="shared" si="144"/>
        <v>A9</v>
      </c>
      <c r="AA206" s="5" t="str">
        <f t="shared" si="145"/>
        <v>A9</v>
      </c>
      <c r="AG206" s="29" t="str">
        <f t="shared" si="136"/>
        <v>21/03/2024</v>
      </c>
      <c r="AH206" s="30">
        <f t="shared" si="136"/>
        <v>92230</v>
      </c>
      <c r="AI206" s="4" t="str">
        <f t="shared" si="137"/>
        <v>A9</v>
      </c>
      <c r="AJ206" s="5" t="str">
        <f t="shared" si="146"/>
        <v>A9</v>
      </c>
      <c r="AK206">
        <f t="shared" si="147"/>
        <v>91953.5</v>
      </c>
      <c r="AL206" t="str">
        <f t="shared" si="148"/>
        <v>A9</v>
      </c>
      <c r="AM206">
        <f t="shared" si="149"/>
        <v>91953.5</v>
      </c>
      <c r="AN206" s="6">
        <f t="shared" si="150"/>
        <v>440</v>
      </c>
      <c r="AO206">
        <f t="shared" si="151"/>
        <v>91360</v>
      </c>
      <c r="AP206">
        <f t="shared" si="174"/>
        <v>90920</v>
      </c>
      <c r="AQ206" s="33">
        <f t="shared" si="152"/>
        <v>91580</v>
      </c>
      <c r="AR206" s="33">
        <f t="shared" si="153"/>
        <v>90700</v>
      </c>
      <c r="AS206">
        <f t="shared" si="154"/>
        <v>91250</v>
      </c>
      <c r="AT206" s="5">
        <f t="shared" si="155"/>
        <v>91030</v>
      </c>
      <c r="AU206" s="5">
        <f t="shared" si="156"/>
        <v>92020</v>
      </c>
      <c r="AV206" s="5">
        <f t="shared" si="157"/>
        <v>90260</v>
      </c>
      <c r="AW206" s="5">
        <f t="shared" si="158"/>
        <v>91213.333333333328</v>
      </c>
      <c r="AX206" s="5">
        <f t="shared" si="159"/>
        <v>91066.666666666672</v>
      </c>
      <c r="AY206" s="5">
        <f t="shared" si="160"/>
        <v>92460</v>
      </c>
      <c r="AZ206" s="5">
        <f t="shared" si="161"/>
        <v>89820</v>
      </c>
      <c r="BB206" s="32" t="str">
        <f t="shared" si="138"/>
        <v>21/03/2024</v>
      </c>
      <c r="BC206" s="33">
        <f t="shared" si="138"/>
        <v>92230</v>
      </c>
      <c r="BD206" s="4" t="str">
        <f t="shared" si="138"/>
        <v>A9</v>
      </c>
      <c r="BE206">
        <f t="shared" si="162"/>
        <v>91656.75</v>
      </c>
      <c r="BF206">
        <f t="shared" si="163"/>
        <v>91436.75</v>
      </c>
      <c r="BG206">
        <f t="shared" si="164"/>
        <v>91766.75</v>
      </c>
      <c r="BH206">
        <f t="shared" si="165"/>
        <v>91326.75</v>
      </c>
      <c r="BI206">
        <f t="shared" si="166"/>
        <v>91601.75</v>
      </c>
      <c r="BJ206">
        <f t="shared" si="167"/>
        <v>91491.75</v>
      </c>
      <c r="BK206">
        <f t="shared" si="168"/>
        <v>91986.75</v>
      </c>
      <c r="BL206">
        <f t="shared" si="169"/>
        <v>91106.75</v>
      </c>
      <c r="BM206">
        <f t="shared" si="170"/>
        <v>91583.416666666657</v>
      </c>
      <c r="BN206">
        <f t="shared" si="171"/>
        <v>91510.083333333343</v>
      </c>
      <c r="BO206" s="38">
        <f t="shared" si="172"/>
        <v>92206.75</v>
      </c>
      <c r="BP206">
        <f t="shared" si="173"/>
        <v>90886.75</v>
      </c>
      <c r="BQ206" s="7">
        <f>BO206</f>
        <v>92206.75</v>
      </c>
      <c r="BS206" s="30">
        <f t="shared" si="139"/>
        <v>92230</v>
      </c>
      <c r="BT206" s="4">
        <f t="shared" si="140"/>
        <v>92206.75</v>
      </c>
      <c r="BU206" s="37">
        <f t="shared" si="141"/>
        <v>23.25</v>
      </c>
      <c r="BV206">
        <f t="shared" si="142"/>
        <v>23.25</v>
      </c>
      <c r="BW206" s="35">
        <f t="shared" si="143"/>
        <v>2.520871733709205E-4</v>
      </c>
    </row>
    <row r="207" spans="1:75">
      <c r="A207" s="1" t="s">
        <v>208</v>
      </c>
      <c r="B207" s="1">
        <v>86560</v>
      </c>
      <c r="Q207">
        <v>204</v>
      </c>
      <c r="R207" s="27" t="str">
        <f t="shared" si="134"/>
        <v>22/03/2024</v>
      </c>
      <c r="S207" s="27">
        <f t="shared" si="134"/>
        <v>88370</v>
      </c>
      <c r="T207" s="4" t="str">
        <f t="shared" si="135"/>
        <v>A8</v>
      </c>
      <c r="V207">
        <v>204</v>
      </c>
      <c r="W207" s="28" t="str">
        <f t="shared" si="133"/>
        <v>22/03/2024</v>
      </c>
      <c r="X207" s="28">
        <f t="shared" si="133"/>
        <v>88370</v>
      </c>
      <c r="Y207" s="28" t="str">
        <f t="shared" si="133"/>
        <v>A8</v>
      </c>
      <c r="Z207" s="5" t="str">
        <f t="shared" si="144"/>
        <v>A9</v>
      </c>
      <c r="AA207" s="5" t="str">
        <f t="shared" si="145"/>
        <v>A9</v>
      </c>
      <c r="AG207" s="29" t="str">
        <f t="shared" si="136"/>
        <v>22/03/2024</v>
      </c>
      <c r="AH207" s="30">
        <f t="shared" si="136"/>
        <v>88370</v>
      </c>
      <c r="AI207" s="4" t="str">
        <f t="shared" si="137"/>
        <v>A8</v>
      </c>
      <c r="AJ207" s="5" t="str">
        <f t="shared" si="146"/>
        <v>A9</v>
      </c>
      <c r="AK207">
        <f t="shared" si="147"/>
        <v>91953.5</v>
      </c>
      <c r="AL207" t="str">
        <f t="shared" si="148"/>
        <v>A9</v>
      </c>
      <c r="AM207">
        <f t="shared" si="149"/>
        <v>91953.5</v>
      </c>
      <c r="AN207" s="6">
        <f t="shared" si="150"/>
        <v>110</v>
      </c>
      <c r="AO207">
        <f t="shared" si="151"/>
        <v>92285</v>
      </c>
      <c r="AP207">
        <f t="shared" si="174"/>
        <v>92175</v>
      </c>
      <c r="AQ207" s="33">
        <f t="shared" si="152"/>
        <v>92340</v>
      </c>
      <c r="AR207" s="33">
        <f t="shared" si="153"/>
        <v>92120</v>
      </c>
      <c r="AS207">
        <f t="shared" si="154"/>
        <v>92257.5</v>
      </c>
      <c r="AT207" s="5">
        <f t="shared" si="155"/>
        <v>92202.5</v>
      </c>
      <c r="AU207" s="5">
        <f t="shared" si="156"/>
        <v>92450</v>
      </c>
      <c r="AV207" s="5">
        <f t="shared" si="157"/>
        <v>92010</v>
      </c>
      <c r="AW207" s="5">
        <f t="shared" si="158"/>
        <v>92248.333333333328</v>
      </c>
      <c r="AX207" s="5">
        <f t="shared" si="159"/>
        <v>92211.666666666672</v>
      </c>
      <c r="AY207" s="5">
        <f t="shared" si="160"/>
        <v>92560</v>
      </c>
      <c r="AZ207" s="5">
        <f t="shared" si="161"/>
        <v>91900</v>
      </c>
      <c r="BB207" s="32" t="str">
        <f t="shared" si="138"/>
        <v>22/03/2024</v>
      </c>
      <c r="BC207" s="33">
        <f t="shared" si="138"/>
        <v>88370</v>
      </c>
      <c r="BD207" s="4" t="str">
        <f t="shared" si="138"/>
        <v>A8</v>
      </c>
      <c r="BE207">
        <f t="shared" si="162"/>
        <v>92119.25</v>
      </c>
      <c r="BF207">
        <f t="shared" si="163"/>
        <v>92064.25</v>
      </c>
      <c r="BG207">
        <f t="shared" si="164"/>
        <v>92146.75</v>
      </c>
      <c r="BH207">
        <f t="shared" si="165"/>
        <v>92036.75</v>
      </c>
      <c r="BI207">
        <f t="shared" si="166"/>
        <v>92105.5</v>
      </c>
      <c r="BJ207">
        <f t="shared" si="167"/>
        <v>92078</v>
      </c>
      <c r="BK207">
        <f t="shared" si="168"/>
        <v>92201.75</v>
      </c>
      <c r="BL207">
        <f t="shared" si="169"/>
        <v>91981.75</v>
      </c>
      <c r="BM207">
        <f t="shared" si="170"/>
        <v>92100.916666666657</v>
      </c>
      <c r="BN207">
        <f t="shared" si="171"/>
        <v>92082.583333333343</v>
      </c>
      <c r="BO207">
        <f t="shared" si="172"/>
        <v>92256.75</v>
      </c>
      <c r="BP207" s="38">
        <f t="shared" si="173"/>
        <v>91926.75</v>
      </c>
      <c r="BQ207" s="7">
        <f>BP207</f>
        <v>91926.75</v>
      </c>
      <c r="BS207" s="30">
        <f t="shared" si="139"/>
        <v>88370</v>
      </c>
      <c r="BT207" s="4">
        <f t="shared" si="140"/>
        <v>91926.75</v>
      </c>
      <c r="BU207" s="37">
        <f t="shared" si="141"/>
        <v>-3556.75</v>
      </c>
      <c r="BV207">
        <f t="shared" si="142"/>
        <v>3556.75</v>
      </c>
      <c r="BW207" s="35">
        <f t="shared" si="143"/>
        <v>4.0248387461808303E-2</v>
      </c>
    </row>
    <row r="208" spans="1:75">
      <c r="A208" s="1" t="s">
        <v>209</v>
      </c>
      <c r="B208" s="1">
        <v>86920</v>
      </c>
      <c r="Q208">
        <v>205</v>
      </c>
      <c r="R208" s="27" t="str">
        <f t="shared" si="134"/>
        <v>23/03/2024</v>
      </c>
      <c r="S208" s="27">
        <f t="shared" si="134"/>
        <v>87020</v>
      </c>
      <c r="T208" s="4" t="str">
        <f t="shared" si="135"/>
        <v>A8</v>
      </c>
      <c r="V208">
        <v>205</v>
      </c>
      <c r="W208" s="28" t="str">
        <f t="shared" si="133"/>
        <v>23/03/2024</v>
      </c>
      <c r="X208" s="28">
        <f t="shared" si="133"/>
        <v>87020</v>
      </c>
      <c r="Y208" s="28" t="str">
        <f t="shared" si="133"/>
        <v>A8</v>
      </c>
      <c r="Z208" s="5" t="str">
        <f t="shared" si="144"/>
        <v>A9</v>
      </c>
      <c r="AA208" s="5" t="str">
        <f t="shared" si="145"/>
        <v>A8</v>
      </c>
      <c r="AG208" s="29" t="str">
        <f t="shared" si="136"/>
        <v>23/03/2024</v>
      </c>
      <c r="AH208" s="30">
        <f t="shared" si="136"/>
        <v>87020</v>
      </c>
      <c r="AI208" s="4" t="str">
        <f t="shared" si="137"/>
        <v>A8</v>
      </c>
      <c r="AJ208" s="5" t="str">
        <f t="shared" si="146"/>
        <v>A9</v>
      </c>
      <c r="AK208">
        <f t="shared" si="147"/>
        <v>91953.5</v>
      </c>
      <c r="AL208" t="str">
        <f t="shared" si="148"/>
        <v>A8</v>
      </c>
      <c r="AM208">
        <f t="shared" si="149"/>
        <v>85922.5</v>
      </c>
      <c r="AN208" s="6">
        <f t="shared" si="150"/>
        <v>2770</v>
      </c>
      <c r="AO208">
        <f t="shared" si="151"/>
        <v>89755</v>
      </c>
      <c r="AP208">
        <f t="shared" si="174"/>
        <v>86985</v>
      </c>
      <c r="AQ208" s="33">
        <f t="shared" si="152"/>
        <v>91140</v>
      </c>
      <c r="AR208" s="33">
        <f t="shared" si="153"/>
        <v>85600</v>
      </c>
      <c r="AS208">
        <f t="shared" si="154"/>
        <v>89062.5</v>
      </c>
      <c r="AT208" s="5">
        <f t="shared" si="155"/>
        <v>87677.5</v>
      </c>
      <c r="AU208" s="5">
        <f t="shared" si="156"/>
        <v>93910</v>
      </c>
      <c r="AV208" s="5">
        <f t="shared" si="157"/>
        <v>82830</v>
      </c>
      <c r="AW208" s="5">
        <f t="shared" si="158"/>
        <v>88831.666666666672</v>
      </c>
      <c r="AX208" s="5">
        <f t="shared" si="159"/>
        <v>87908.333333333328</v>
      </c>
      <c r="AY208" s="5">
        <f t="shared" si="160"/>
        <v>96680</v>
      </c>
      <c r="AZ208" s="5">
        <f t="shared" si="161"/>
        <v>80060</v>
      </c>
      <c r="BB208" s="32" t="str">
        <f t="shared" si="138"/>
        <v>23/03/2024</v>
      </c>
      <c r="BC208" s="33">
        <f t="shared" si="138"/>
        <v>87020</v>
      </c>
      <c r="BD208" s="4" t="str">
        <f t="shared" si="138"/>
        <v>A8</v>
      </c>
      <c r="BE208">
        <f t="shared" si="162"/>
        <v>87838.75</v>
      </c>
      <c r="BF208">
        <f t="shared" si="163"/>
        <v>86453.75</v>
      </c>
      <c r="BG208">
        <f t="shared" si="164"/>
        <v>88531.25</v>
      </c>
      <c r="BH208">
        <f t="shared" si="165"/>
        <v>85761.25</v>
      </c>
      <c r="BI208">
        <f t="shared" si="166"/>
        <v>87492.5</v>
      </c>
      <c r="BJ208">
        <f t="shared" si="167"/>
        <v>86800</v>
      </c>
      <c r="BK208">
        <f t="shared" si="168"/>
        <v>89916.25</v>
      </c>
      <c r="BL208">
        <f t="shared" si="169"/>
        <v>84376.25</v>
      </c>
      <c r="BM208">
        <f t="shared" si="170"/>
        <v>87377.083333333343</v>
      </c>
      <c r="BN208" s="38">
        <f t="shared" si="171"/>
        <v>86915.416666666657</v>
      </c>
      <c r="BO208">
        <f t="shared" si="172"/>
        <v>91301.25</v>
      </c>
      <c r="BP208">
        <f t="shared" si="173"/>
        <v>82991.25</v>
      </c>
      <c r="BQ208" s="7">
        <f>BN208</f>
        <v>86915.416666666657</v>
      </c>
      <c r="BS208" s="30">
        <f t="shared" si="139"/>
        <v>87020</v>
      </c>
      <c r="BT208" s="4">
        <f t="shared" si="140"/>
        <v>86915.416666666657</v>
      </c>
      <c r="BU208" s="37">
        <f t="shared" si="141"/>
        <v>104.58333333334303</v>
      </c>
      <c r="BV208">
        <f t="shared" si="142"/>
        <v>104.58333333334303</v>
      </c>
      <c r="BW208" s="35">
        <f t="shared" si="143"/>
        <v>1.2018309967058497E-3</v>
      </c>
    </row>
    <row r="209" spans="1:75">
      <c r="A209" s="1" t="s">
        <v>210</v>
      </c>
      <c r="B209" s="1">
        <v>84590</v>
      </c>
      <c r="Q209">
        <v>206</v>
      </c>
      <c r="R209" s="27" t="str">
        <f t="shared" si="134"/>
        <v>24/03/2024</v>
      </c>
      <c r="S209" s="27">
        <f t="shared" si="134"/>
        <v>86560</v>
      </c>
      <c r="T209" s="4" t="str">
        <f t="shared" si="135"/>
        <v>A8</v>
      </c>
      <c r="V209">
        <v>206</v>
      </c>
      <c r="W209" s="28" t="str">
        <f t="shared" si="133"/>
        <v>24/03/2024</v>
      </c>
      <c r="X209" s="28">
        <f t="shared" si="133"/>
        <v>86560</v>
      </c>
      <c r="Y209" s="28" t="str">
        <f t="shared" si="133"/>
        <v>A8</v>
      </c>
      <c r="Z209" s="5" t="str">
        <f t="shared" si="144"/>
        <v>A8</v>
      </c>
      <c r="AA209" s="5" t="str">
        <f t="shared" si="145"/>
        <v>A8</v>
      </c>
      <c r="AG209" s="29" t="str">
        <f t="shared" si="136"/>
        <v>24/03/2024</v>
      </c>
      <c r="AH209" s="30">
        <f t="shared" si="136"/>
        <v>86560</v>
      </c>
      <c r="AI209" s="4" t="str">
        <f t="shared" si="137"/>
        <v>A8</v>
      </c>
      <c r="AJ209" s="5" t="str">
        <f t="shared" si="146"/>
        <v>A8</v>
      </c>
      <c r="AK209">
        <f t="shared" si="147"/>
        <v>85922.5</v>
      </c>
      <c r="AL209" t="str">
        <f t="shared" si="148"/>
        <v>A8</v>
      </c>
      <c r="AM209">
        <f t="shared" si="149"/>
        <v>85922.5</v>
      </c>
      <c r="AN209" s="6">
        <f t="shared" si="150"/>
        <v>2510</v>
      </c>
      <c r="AO209">
        <f t="shared" si="151"/>
        <v>88275</v>
      </c>
      <c r="AP209">
        <f t="shared" si="174"/>
        <v>85765</v>
      </c>
      <c r="AQ209" s="33">
        <f t="shared" si="152"/>
        <v>89530</v>
      </c>
      <c r="AR209" s="33">
        <f t="shared" si="153"/>
        <v>84510</v>
      </c>
      <c r="AS209">
        <f t="shared" si="154"/>
        <v>87647.5</v>
      </c>
      <c r="AT209" s="5">
        <f t="shared" si="155"/>
        <v>86392.5</v>
      </c>
      <c r="AU209" s="5">
        <f t="shared" si="156"/>
        <v>92040</v>
      </c>
      <c r="AV209" s="5">
        <f t="shared" si="157"/>
        <v>82000</v>
      </c>
      <c r="AW209" s="5">
        <f t="shared" si="158"/>
        <v>87438.333333333328</v>
      </c>
      <c r="AX209" s="5">
        <f t="shared" si="159"/>
        <v>86601.666666666672</v>
      </c>
      <c r="AY209" s="5">
        <f t="shared" si="160"/>
        <v>94550</v>
      </c>
      <c r="AZ209" s="5">
        <f t="shared" si="161"/>
        <v>79490</v>
      </c>
      <c r="BB209" s="32" t="str">
        <f t="shared" si="138"/>
        <v>24/03/2024</v>
      </c>
      <c r="BC209" s="33">
        <f t="shared" si="138"/>
        <v>86560</v>
      </c>
      <c r="BD209" s="4" t="str">
        <f t="shared" si="138"/>
        <v>A8</v>
      </c>
      <c r="BE209">
        <f t="shared" si="162"/>
        <v>87098.75</v>
      </c>
      <c r="BF209">
        <f t="shared" si="163"/>
        <v>85843.75</v>
      </c>
      <c r="BG209">
        <f t="shared" si="164"/>
        <v>87726.25</v>
      </c>
      <c r="BH209">
        <f t="shared" si="165"/>
        <v>85216.25</v>
      </c>
      <c r="BI209">
        <f t="shared" si="166"/>
        <v>86785</v>
      </c>
      <c r="BJ209">
        <f t="shared" si="167"/>
        <v>86157.5</v>
      </c>
      <c r="BK209">
        <f t="shared" si="168"/>
        <v>88981.25</v>
      </c>
      <c r="BL209">
        <f t="shared" si="169"/>
        <v>83961.25</v>
      </c>
      <c r="BM209" s="38">
        <f t="shared" si="170"/>
        <v>86680.416666666657</v>
      </c>
      <c r="BN209">
        <f t="shared" si="171"/>
        <v>86262.083333333343</v>
      </c>
      <c r="BO209">
        <f t="shared" si="172"/>
        <v>90236.25</v>
      </c>
      <c r="BP209">
        <f t="shared" si="173"/>
        <v>82706.25</v>
      </c>
      <c r="BQ209" s="7">
        <f>BM209</f>
        <v>86680.416666666657</v>
      </c>
      <c r="BS209" s="30">
        <f t="shared" si="139"/>
        <v>86560</v>
      </c>
      <c r="BT209" s="4">
        <f t="shared" si="140"/>
        <v>86680.416666666657</v>
      </c>
      <c r="BU209" s="37">
        <f t="shared" si="141"/>
        <v>-120.41666666665697</v>
      </c>
      <c r="BV209">
        <f t="shared" si="142"/>
        <v>120.41666666665697</v>
      </c>
      <c r="BW209" s="35">
        <f t="shared" si="143"/>
        <v>1.3911352433763513E-3</v>
      </c>
    </row>
    <row r="210" spans="1:75">
      <c r="A210" s="1" t="s">
        <v>211</v>
      </c>
      <c r="B210" s="1">
        <v>84850</v>
      </c>
      <c r="Q210">
        <v>207</v>
      </c>
      <c r="R210" s="27" t="str">
        <f t="shared" si="134"/>
        <v>25/03/2024</v>
      </c>
      <c r="S210" s="27">
        <f t="shared" si="134"/>
        <v>86920</v>
      </c>
      <c r="T210" s="4" t="str">
        <f t="shared" si="135"/>
        <v>A8</v>
      </c>
      <c r="V210">
        <v>207</v>
      </c>
      <c r="W210" s="28" t="str">
        <f t="shared" si="133"/>
        <v>25/03/2024</v>
      </c>
      <c r="X210" s="28">
        <f t="shared" si="133"/>
        <v>86920</v>
      </c>
      <c r="Y210" s="28" t="str">
        <f t="shared" si="133"/>
        <v>A8</v>
      </c>
      <c r="Z210" s="5" t="str">
        <f t="shared" si="144"/>
        <v>A8</v>
      </c>
      <c r="AA210" s="5" t="str">
        <f t="shared" si="145"/>
        <v>A8</v>
      </c>
      <c r="AG210" s="29" t="str">
        <f t="shared" si="136"/>
        <v>25/03/2024</v>
      </c>
      <c r="AH210" s="30">
        <f t="shared" si="136"/>
        <v>86920</v>
      </c>
      <c r="AI210" s="4" t="str">
        <f t="shared" si="137"/>
        <v>A8</v>
      </c>
      <c r="AJ210" s="5" t="str">
        <f t="shared" si="146"/>
        <v>A8</v>
      </c>
      <c r="AK210">
        <f t="shared" si="147"/>
        <v>85922.5</v>
      </c>
      <c r="AL210" t="str">
        <f t="shared" si="148"/>
        <v>A8</v>
      </c>
      <c r="AM210">
        <f t="shared" si="149"/>
        <v>85922.5</v>
      </c>
      <c r="AN210" s="6">
        <f t="shared" si="150"/>
        <v>890</v>
      </c>
      <c r="AO210">
        <f t="shared" si="151"/>
        <v>87005</v>
      </c>
      <c r="AP210">
        <f t="shared" si="174"/>
        <v>86115</v>
      </c>
      <c r="AQ210" s="33">
        <f t="shared" si="152"/>
        <v>87450</v>
      </c>
      <c r="AR210" s="33">
        <f t="shared" si="153"/>
        <v>85670</v>
      </c>
      <c r="AS210">
        <f t="shared" si="154"/>
        <v>86782.5</v>
      </c>
      <c r="AT210" s="5">
        <f t="shared" si="155"/>
        <v>86337.5</v>
      </c>
      <c r="AU210" s="5">
        <f t="shared" si="156"/>
        <v>88340</v>
      </c>
      <c r="AV210" s="5">
        <f t="shared" si="157"/>
        <v>84780</v>
      </c>
      <c r="AW210" s="5">
        <f t="shared" si="158"/>
        <v>86708.333333333328</v>
      </c>
      <c r="AX210" s="5">
        <f t="shared" si="159"/>
        <v>86411.666666666672</v>
      </c>
      <c r="AY210" s="5">
        <f t="shared" si="160"/>
        <v>89230</v>
      </c>
      <c r="AZ210" s="5">
        <f t="shared" si="161"/>
        <v>83890</v>
      </c>
      <c r="BB210" s="32" t="str">
        <f t="shared" si="138"/>
        <v>25/03/2024</v>
      </c>
      <c r="BC210" s="33">
        <f t="shared" si="138"/>
        <v>86920</v>
      </c>
      <c r="BD210" s="4" t="str">
        <f t="shared" si="138"/>
        <v>A8</v>
      </c>
      <c r="BE210">
        <f t="shared" si="162"/>
        <v>86463.75</v>
      </c>
      <c r="BF210">
        <f t="shared" si="163"/>
        <v>86018.75</v>
      </c>
      <c r="BG210">
        <f t="shared" si="164"/>
        <v>86686.25</v>
      </c>
      <c r="BH210">
        <f t="shared" si="165"/>
        <v>85796.25</v>
      </c>
      <c r="BI210">
        <f t="shared" si="166"/>
        <v>86352.5</v>
      </c>
      <c r="BJ210">
        <f t="shared" si="167"/>
        <v>86130</v>
      </c>
      <c r="BK210" s="38">
        <f t="shared" si="168"/>
        <v>87131.25</v>
      </c>
      <c r="BL210">
        <f t="shared" si="169"/>
        <v>85351.25</v>
      </c>
      <c r="BM210">
        <f t="shared" si="170"/>
        <v>86315.416666666657</v>
      </c>
      <c r="BN210">
        <f t="shared" si="171"/>
        <v>86167.083333333343</v>
      </c>
      <c r="BO210">
        <f t="shared" si="172"/>
        <v>87576.25</v>
      </c>
      <c r="BP210">
        <f t="shared" si="173"/>
        <v>84906.25</v>
      </c>
      <c r="BQ210" s="7">
        <f>BK210</f>
        <v>87131.25</v>
      </c>
      <c r="BS210" s="30">
        <f t="shared" si="139"/>
        <v>86920</v>
      </c>
      <c r="BT210" s="4">
        <f t="shared" si="140"/>
        <v>87131.25</v>
      </c>
      <c r="BU210" s="37">
        <f t="shared" si="141"/>
        <v>-211.25</v>
      </c>
      <c r="BV210">
        <f t="shared" si="142"/>
        <v>211.25</v>
      </c>
      <c r="BW210" s="35">
        <f t="shared" si="143"/>
        <v>2.4303957662218131E-3</v>
      </c>
    </row>
    <row r="211" spans="1:75">
      <c r="A211" s="1" t="s">
        <v>212</v>
      </c>
      <c r="B211" s="1">
        <v>84420</v>
      </c>
      <c r="Q211">
        <v>208</v>
      </c>
      <c r="R211" s="27" t="str">
        <f t="shared" si="134"/>
        <v>26/03/2024</v>
      </c>
      <c r="S211" s="27">
        <f t="shared" si="134"/>
        <v>84590</v>
      </c>
      <c r="T211" s="4" t="str">
        <f t="shared" si="135"/>
        <v>A8</v>
      </c>
      <c r="V211">
        <v>208</v>
      </c>
      <c r="W211" s="28" t="str">
        <f t="shared" si="133"/>
        <v>26/03/2024</v>
      </c>
      <c r="X211" s="28">
        <f t="shared" si="133"/>
        <v>84590</v>
      </c>
      <c r="Y211" s="28" t="str">
        <f t="shared" si="133"/>
        <v>A8</v>
      </c>
      <c r="Z211" s="5" t="str">
        <f t="shared" si="144"/>
        <v>A8</v>
      </c>
      <c r="AA211" s="5" t="str">
        <f t="shared" si="145"/>
        <v>A8</v>
      </c>
      <c r="AG211" s="29" t="str">
        <f t="shared" si="136"/>
        <v>26/03/2024</v>
      </c>
      <c r="AH211" s="30">
        <f t="shared" si="136"/>
        <v>84590</v>
      </c>
      <c r="AI211" s="4" t="str">
        <f t="shared" si="137"/>
        <v>A8</v>
      </c>
      <c r="AJ211" s="5" t="str">
        <f t="shared" si="146"/>
        <v>A8</v>
      </c>
      <c r="AK211">
        <f t="shared" si="147"/>
        <v>85922.5</v>
      </c>
      <c r="AL211" t="str">
        <f t="shared" si="148"/>
        <v>A8</v>
      </c>
      <c r="AM211">
        <f t="shared" si="149"/>
        <v>85922.5</v>
      </c>
      <c r="AN211" s="6">
        <f t="shared" si="150"/>
        <v>100</v>
      </c>
      <c r="AO211">
        <f t="shared" si="151"/>
        <v>86970</v>
      </c>
      <c r="AP211">
        <f t="shared" si="174"/>
        <v>86870</v>
      </c>
      <c r="AQ211" s="33">
        <f t="shared" si="152"/>
        <v>87020</v>
      </c>
      <c r="AR211" s="33">
        <f t="shared" si="153"/>
        <v>86820</v>
      </c>
      <c r="AS211">
        <f t="shared" si="154"/>
        <v>86945</v>
      </c>
      <c r="AT211" s="5">
        <f t="shared" si="155"/>
        <v>86895</v>
      </c>
      <c r="AU211" s="5">
        <f t="shared" si="156"/>
        <v>87120</v>
      </c>
      <c r="AV211" s="5">
        <f t="shared" si="157"/>
        <v>86720</v>
      </c>
      <c r="AW211" s="5">
        <f t="shared" si="158"/>
        <v>86936.666666666672</v>
      </c>
      <c r="AX211" s="5">
        <f t="shared" si="159"/>
        <v>86903.333333333328</v>
      </c>
      <c r="AY211" s="5">
        <f t="shared" si="160"/>
        <v>87220</v>
      </c>
      <c r="AZ211" s="5">
        <f t="shared" si="161"/>
        <v>86620</v>
      </c>
      <c r="BB211" s="32" t="str">
        <f t="shared" si="138"/>
        <v>26/03/2024</v>
      </c>
      <c r="BC211" s="33">
        <f t="shared" si="138"/>
        <v>84590</v>
      </c>
      <c r="BD211" s="4" t="str">
        <f t="shared" si="138"/>
        <v>A8</v>
      </c>
      <c r="BE211">
        <f t="shared" si="162"/>
        <v>86446.25</v>
      </c>
      <c r="BF211">
        <f t="shared" si="163"/>
        <v>86396.25</v>
      </c>
      <c r="BG211">
        <f t="shared" si="164"/>
        <v>86471.25</v>
      </c>
      <c r="BH211">
        <f t="shared" si="165"/>
        <v>86371.25</v>
      </c>
      <c r="BI211">
        <f t="shared" si="166"/>
        <v>86433.75</v>
      </c>
      <c r="BJ211">
        <f t="shared" si="167"/>
        <v>86408.75</v>
      </c>
      <c r="BK211">
        <f t="shared" si="168"/>
        <v>86521.25</v>
      </c>
      <c r="BL211">
        <f t="shared" si="169"/>
        <v>86321.25</v>
      </c>
      <c r="BM211">
        <f t="shared" si="170"/>
        <v>86429.583333333343</v>
      </c>
      <c r="BN211">
        <f t="shared" si="171"/>
        <v>86412.916666666657</v>
      </c>
      <c r="BO211">
        <f t="shared" si="172"/>
        <v>86571.25</v>
      </c>
      <c r="BP211" s="38">
        <f t="shared" si="173"/>
        <v>86271.25</v>
      </c>
      <c r="BQ211" s="7">
        <f>BP211</f>
        <v>86271.25</v>
      </c>
      <c r="BS211" s="30">
        <f t="shared" si="139"/>
        <v>84590</v>
      </c>
      <c r="BT211" s="4">
        <f t="shared" si="140"/>
        <v>86271.25</v>
      </c>
      <c r="BU211" s="37">
        <f t="shared" si="141"/>
        <v>-1681.25</v>
      </c>
      <c r="BV211">
        <f t="shared" si="142"/>
        <v>1681.25</v>
      </c>
      <c r="BW211" s="35">
        <f t="shared" si="143"/>
        <v>1.9875280766047995E-2</v>
      </c>
    </row>
    <row r="212" spans="1:75">
      <c r="A212" s="1" t="s">
        <v>213</v>
      </c>
      <c r="B212" s="1">
        <v>84870</v>
      </c>
      <c r="Q212">
        <v>209</v>
      </c>
      <c r="R212" s="27" t="str">
        <f t="shared" si="134"/>
        <v>27/03/2024</v>
      </c>
      <c r="S212" s="27">
        <f t="shared" si="134"/>
        <v>84850</v>
      </c>
      <c r="T212" s="4" t="str">
        <f t="shared" si="135"/>
        <v>A8</v>
      </c>
      <c r="V212">
        <v>209</v>
      </c>
      <c r="W212" s="28" t="str">
        <f t="shared" si="133"/>
        <v>27/03/2024</v>
      </c>
      <c r="X212" s="28">
        <f t="shared" si="133"/>
        <v>84850</v>
      </c>
      <c r="Y212" s="28" t="str">
        <f t="shared" si="133"/>
        <v>A8</v>
      </c>
      <c r="Z212" s="5" t="str">
        <f t="shared" si="144"/>
        <v>A8</v>
      </c>
      <c r="AA212" s="5" t="str">
        <f t="shared" si="145"/>
        <v>A8</v>
      </c>
      <c r="AG212" s="29" t="str">
        <f t="shared" si="136"/>
        <v>27/03/2024</v>
      </c>
      <c r="AH212" s="30">
        <f t="shared" si="136"/>
        <v>84850</v>
      </c>
      <c r="AI212" s="4" t="str">
        <f t="shared" si="137"/>
        <v>A8</v>
      </c>
      <c r="AJ212" s="5" t="str">
        <f t="shared" si="146"/>
        <v>A8</v>
      </c>
      <c r="AK212">
        <f t="shared" si="147"/>
        <v>85922.5</v>
      </c>
      <c r="AL212" t="str">
        <f t="shared" si="148"/>
        <v>A8</v>
      </c>
      <c r="AM212">
        <f t="shared" si="149"/>
        <v>85922.5</v>
      </c>
      <c r="AN212" s="6">
        <f t="shared" si="150"/>
        <v>1970</v>
      </c>
      <c r="AO212">
        <f t="shared" si="151"/>
        <v>85575</v>
      </c>
      <c r="AP212">
        <f t="shared" si="174"/>
        <v>83605</v>
      </c>
      <c r="AQ212" s="33">
        <f t="shared" si="152"/>
        <v>86560</v>
      </c>
      <c r="AR212" s="33">
        <f t="shared" si="153"/>
        <v>82620</v>
      </c>
      <c r="AS212">
        <f t="shared" si="154"/>
        <v>85082.5</v>
      </c>
      <c r="AT212" s="5">
        <f t="shared" si="155"/>
        <v>84097.5</v>
      </c>
      <c r="AU212" s="5">
        <f t="shared" si="156"/>
        <v>88530</v>
      </c>
      <c r="AV212" s="5">
        <f t="shared" si="157"/>
        <v>80650</v>
      </c>
      <c r="AW212" s="5">
        <f t="shared" si="158"/>
        <v>84918.333333333328</v>
      </c>
      <c r="AX212" s="5">
        <f t="shared" si="159"/>
        <v>84261.666666666672</v>
      </c>
      <c r="AY212" s="5">
        <f t="shared" si="160"/>
        <v>90500</v>
      </c>
      <c r="AZ212" s="5">
        <f t="shared" si="161"/>
        <v>78680</v>
      </c>
      <c r="BB212" s="32" t="str">
        <f t="shared" si="138"/>
        <v>27/03/2024</v>
      </c>
      <c r="BC212" s="33">
        <f t="shared" si="138"/>
        <v>84850</v>
      </c>
      <c r="BD212" s="4" t="str">
        <f t="shared" si="138"/>
        <v>A8</v>
      </c>
      <c r="BE212">
        <f t="shared" si="162"/>
        <v>85748.75</v>
      </c>
      <c r="BF212" s="38">
        <f t="shared" si="163"/>
        <v>84763.75</v>
      </c>
      <c r="BG212">
        <f t="shared" si="164"/>
        <v>86241.25</v>
      </c>
      <c r="BH212">
        <f t="shared" si="165"/>
        <v>84271.25</v>
      </c>
      <c r="BI212">
        <f t="shared" si="166"/>
        <v>85502.5</v>
      </c>
      <c r="BJ212">
        <f t="shared" si="167"/>
        <v>85010</v>
      </c>
      <c r="BK212">
        <f t="shared" si="168"/>
        <v>87226.25</v>
      </c>
      <c r="BL212">
        <f t="shared" si="169"/>
        <v>83286.25</v>
      </c>
      <c r="BM212">
        <f t="shared" si="170"/>
        <v>85420.416666666657</v>
      </c>
      <c r="BN212">
        <f t="shared" si="171"/>
        <v>85092.083333333343</v>
      </c>
      <c r="BO212">
        <f t="shared" si="172"/>
        <v>88211.25</v>
      </c>
      <c r="BP212">
        <f t="shared" si="173"/>
        <v>82301.25</v>
      </c>
      <c r="BQ212" s="7">
        <f>BF212</f>
        <v>84763.75</v>
      </c>
      <c r="BS212" s="30">
        <f t="shared" si="139"/>
        <v>84850</v>
      </c>
      <c r="BT212" s="4">
        <f t="shared" si="140"/>
        <v>84763.75</v>
      </c>
      <c r="BU212" s="37">
        <f t="shared" si="141"/>
        <v>86.25</v>
      </c>
      <c r="BV212">
        <f t="shared" si="142"/>
        <v>86.25</v>
      </c>
      <c r="BW212" s="35">
        <f t="shared" si="143"/>
        <v>1.0164997053624043E-3</v>
      </c>
    </row>
    <row r="213" spans="1:75">
      <c r="A213" s="1" t="s">
        <v>214</v>
      </c>
      <c r="B213" s="1">
        <v>84910</v>
      </c>
      <c r="Q213">
        <v>210</v>
      </c>
      <c r="R213" s="27" t="str">
        <f t="shared" si="134"/>
        <v>28/03/2024</v>
      </c>
      <c r="S213" s="27">
        <f t="shared" si="134"/>
        <v>84420</v>
      </c>
      <c r="T213" s="4" t="str">
        <f t="shared" si="135"/>
        <v>A8</v>
      </c>
      <c r="V213">
        <v>210</v>
      </c>
      <c r="W213" s="28" t="str">
        <f t="shared" si="133"/>
        <v>28/03/2024</v>
      </c>
      <c r="X213" s="28">
        <f t="shared" si="133"/>
        <v>84420</v>
      </c>
      <c r="Y213" s="28" t="str">
        <f t="shared" si="133"/>
        <v>A8</v>
      </c>
      <c r="Z213" s="5" t="str">
        <f t="shared" si="144"/>
        <v>A8</v>
      </c>
      <c r="AA213" s="5" t="str">
        <f t="shared" si="145"/>
        <v>A8</v>
      </c>
      <c r="AG213" s="29" t="str">
        <f t="shared" si="136"/>
        <v>28/03/2024</v>
      </c>
      <c r="AH213" s="30">
        <f t="shared" si="136"/>
        <v>84420</v>
      </c>
      <c r="AI213" s="4" t="str">
        <f t="shared" si="137"/>
        <v>A8</v>
      </c>
      <c r="AJ213" s="5" t="str">
        <f t="shared" si="146"/>
        <v>A8</v>
      </c>
      <c r="AK213">
        <f t="shared" si="147"/>
        <v>85922.5</v>
      </c>
      <c r="AL213" t="str">
        <f t="shared" si="148"/>
        <v>A8</v>
      </c>
      <c r="AM213">
        <f t="shared" si="149"/>
        <v>85922.5</v>
      </c>
      <c r="AN213" s="6">
        <f t="shared" si="150"/>
        <v>2070</v>
      </c>
      <c r="AO213">
        <f t="shared" si="151"/>
        <v>85885</v>
      </c>
      <c r="AP213">
        <f t="shared" si="174"/>
        <v>83815</v>
      </c>
      <c r="AQ213" s="33">
        <f t="shared" si="152"/>
        <v>86920</v>
      </c>
      <c r="AR213" s="33">
        <f t="shared" si="153"/>
        <v>82780</v>
      </c>
      <c r="AS213">
        <f t="shared" si="154"/>
        <v>85367.5</v>
      </c>
      <c r="AT213" s="5">
        <f t="shared" si="155"/>
        <v>84332.5</v>
      </c>
      <c r="AU213" s="5">
        <f t="shared" si="156"/>
        <v>88990</v>
      </c>
      <c r="AV213" s="5">
        <f t="shared" si="157"/>
        <v>80710</v>
      </c>
      <c r="AW213" s="5">
        <f t="shared" si="158"/>
        <v>85195</v>
      </c>
      <c r="AX213" s="5">
        <f t="shared" si="159"/>
        <v>84505</v>
      </c>
      <c r="AY213" s="5">
        <f t="shared" si="160"/>
        <v>91060</v>
      </c>
      <c r="AZ213" s="5">
        <f t="shared" si="161"/>
        <v>78640</v>
      </c>
      <c r="BB213" s="32" t="str">
        <f t="shared" si="138"/>
        <v>28/03/2024</v>
      </c>
      <c r="BC213" s="33">
        <f t="shared" si="138"/>
        <v>84420</v>
      </c>
      <c r="BD213" s="4" t="str">
        <f t="shared" si="138"/>
        <v>A8</v>
      </c>
      <c r="BE213">
        <f t="shared" si="162"/>
        <v>85903.75</v>
      </c>
      <c r="BF213">
        <f t="shared" si="163"/>
        <v>84868.75</v>
      </c>
      <c r="BG213">
        <f t="shared" si="164"/>
        <v>86421.25</v>
      </c>
      <c r="BH213" s="38">
        <f t="shared" si="165"/>
        <v>84351.25</v>
      </c>
      <c r="BI213">
        <f t="shared" si="166"/>
        <v>85645</v>
      </c>
      <c r="BJ213">
        <f t="shared" si="167"/>
        <v>85127.5</v>
      </c>
      <c r="BK213">
        <f t="shared" si="168"/>
        <v>87456.25</v>
      </c>
      <c r="BL213">
        <f t="shared" si="169"/>
        <v>83316.25</v>
      </c>
      <c r="BM213">
        <f t="shared" si="170"/>
        <v>85558.75</v>
      </c>
      <c r="BN213">
        <f t="shared" si="171"/>
        <v>85213.75</v>
      </c>
      <c r="BO213">
        <f t="shared" si="172"/>
        <v>88491.25</v>
      </c>
      <c r="BP213">
        <f t="shared" si="173"/>
        <v>82281.25</v>
      </c>
      <c r="BQ213" s="7">
        <f>BH213</f>
        <v>84351.25</v>
      </c>
      <c r="BS213" s="30">
        <f t="shared" si="139"/>
        <v>84420</v>
      </c>
      <c r="BT213" s="4">
        <f t="shared" si="140"/>
        <v>84351.25</v>
      </c>
      <c r="BU213" s="37">
        <f t="shared" si="141"/>
        <v>68.75</v>
      </c>
      <c r="BV213">
        <f t="shared" si="142"/>
        <v>68.75</v>
      </c>
      <c r="BW213" s="35">
        <f t="shared" si="143"/>
        <v>8.1438047855958299E-4</v>
      </c>
    </row>
    <row r="214" spans="1:75">
      <c r="A214" s="1" t="s">
        <v>215</v>
      </c>
      <c r="B214" s="1">
        <v>86200</v>
      </c>
      <c r="Q214">
        <v>211</v>
      </c>
      <c r="R214" s="27" t="str">
        <f t="shared" si="134"/>
        <v>29/03/2024</v>
      </c>
      <c r="S214" s="27">
        <f t="shared" si="134"/>
        <v>84870</v>
      </c>
      <c r="T214" s="4" t="str">
        <f t="shared" si="135"/>
        <v>A8</v>
      </c>
      <c r="V214">
        <v>211</v>
      </c>
      <c r="W214" s="28" t="str">
        <f t="shared" si="133"/>
        <v>29/03/2024</v>
      </c>
      <c r="X214" s="28">
        <f t="shared" si="133"/>
        <v>84870</v>
      </c>
      <c r="Y214" s="28" t="str">
        <f t="shared" si="133"/>
        <v>A8</v>
      </c>
      <c r="Z214" s="5" t="str">
        <f t="shared" si="144"/>
        <v>A8</v>
      </c>
      <c r="AA214" s="5" t="str">
        <f t="shared" si="145"/>
        <v>A8</v>
      </c>
      <c r="AG214" s="29" t="str">
        <f t="shared" si="136"/>
        <v>29/03/2024</v>
      </c>
      <c r="AH214" s="30">
        <f t="shared" si="136"/>
        <v>84870</v>
      </c>
      <c r="AI214" s="4" t="str">
        <f t="shared" si="137"/>
        <v>A8</v>
      </c>
      <c r="AJ214" s="5" t="str">
        <f t="shared" si="146"/>
        <v>A8</v>
      </c>
      <c r="AK214">
        <f t="shared" si="147"/>
        <v>85922.5</v>
      </c>
      <c r="AL214" t="str">
        <f t="shared" si="148"/>
        <v>A8</v>
      </c>
      <c r="AM214">
        <f t="shared" si="149"/>
        <v>85922.5</v>
      </c>
      <c r="AN214" s="6">
        <f t="shared" si="150"/>
        <v>170</v>
      </c>
      <c r="AO214">
        <f t="shared" si="151"/>
        <v>84505</v>
      </c>
      <c r="AP214">
        <f t="shared" si="174"/>
        <v>84335</v>
      </c>
      <c r="AQ214" s="33">
        <f t="shared" si="152"/>
        <v>84590</v>
      </c>
      <c r="AR214" s="33">
        <f t="shared" si="153"/>
        <v>84250</v>
      </c>
      <c r="AS214">
        <f t="shared" si="154"/>
        <v>84462.5</v>
      </c>
      <c r="AT214" s="5">
        <f t="shared" si="155"/>
        <v>84377.5</v>
      </c>
      <c r="AU214" s="5">
        <f t="shared" si="156"/>
        <v>84760</v>
      </c>
      <c r="AV214" s="5">
        <f t="shared" si="157"/>
        <v>84080</v>
      </c>
      <c r="AW214" s="5">
        <f t="shared" si="158"/>
        <v>84448.333333333328</v>
      </c>
      <c r="AX214" s="5">
        <f t="shared" si="159"/>
        <v>84391.666666666672</v>
      </c>
      <c r="AY214" s="5">
        <f t="shared" si="160"/>
        <v>84930</v>
      </c>
      <c r="AZ214" s="5">
        <f t="shared" si="161"/>
        <v>83910</v>
      </c>
      <c r="BB214" s="32" t="str">
        <f t="shared" si="138"/>
        <v>29/03/2024</v>
      </c>
      <c r="BC214" s="33">
        <f t="shared" si="138"/>
        <v>84870</v>
      </c>
      <c r="BD214" s="4" t="str">
        <f t="shared" si="138"/>
        <v>A8</v>
      </c>
      <c r="BE214">
        <f t="shared" si="162"/>
        <v>85213.75</v>
      </c>
      <c r="BF214">
        <f t="shared" si="163"/>
        <v>85128.75</v>
      </c>
      <c r="BG214">
        <f t="shared" si="164"/>
        <v>85256.25</v>
      </c>
      <c r="BH214">
        <f t="shared" si="165"/>
        <v>85086.25</v>
      </c>
      <c r="BI214">
        <f t="shared" si="166"/>
        <v>85192.5</v>
      </c>
      <c r="BJ214">
        <f t="shared" si="167"/>
        <v>85150</v>
      </c>
      <c r="BK214">
        <f t="shared" si="168"/>
        <v>85341.25</v>
      </c>
      <c r="BL214">
        <f t="shared" si="169"/>
        <v>85001.25</v>
      </c>
      <c r="BM214">
        <f t="shared" si="170"/>
        <v>85185.416666666657</v>
      </c>
      <c r="BN214">
        <f t="shared" si="171"/>
        <v>85157.083333333343</v>
      </c>
      <c r="BO214">
        <f t="shared" si="172"/>
        <v>85426.25</v>
      </c>
      <c r="BP214" s="38">
        <f t="shared" si="173"/>
        <v>84916.25</v>
      </c>
      <c r="BQ214" s="7">
        <f>BP214</f>
        <v>84916.25</v>
      </c>
      <c r="BS214" s="30">
        <f t="shared" si="139"/>
        <v>84870</v>
      </c>
      <c r="BT214" s="4">
        <f t="shared" si="140"/>
        <v>84916.25</v>
      </c>
      <c r="BU214" s="37">
        <f t="shared" si="141"/>
        <v>-46.25</v>
      </c>
      <c r="BV214">
        <f t="shared" si="142"/>
        <v>46.25</v>
      </c>
      <c r="BW214" s="35">
        <f t="shared" si="143"/>
        <v>5.4495110168492991E-4</v>
      </c>
    </row>
    <row r="215" spans="1:75">
      <c r="A215" s="1" t="s">
        <v>216</v>
      </c>
      <c r="B215" s="1">
        <v>87780</v>
      </c>
      <c r="Q215">
        <v>212</v>
      </c>
      <c r="R215" s="27" t="str">
        <f t="shared" si="134"/>
        <v>30/03/2024</v>
      </c>
      <c r="S215" s="27">
        <f t="shared" si="134"/>
        <v>84910</v>
      </c>
      <c r="T215" s="4" t="str">
        <f t="shared" si="135"/>
        <v>A8</v>
      </c>
      <c r="V215">
        <v>212</v>
      </c>
      <c r="W215" s="28" t="str">
        <f t="shared" si="133"/>
        <v>30/03/2024</v>
      </c>
      <c r="X215" s="28">
        <f t="shared" si="133"/>
        <v>84910</v>
      </c>
      <c r="Y215" s="28" t="str">
        <f t="shared" si="133"/>
        <v>A8</v>
      </c>
      <c r="Z215" s="5" t="str">
        <f t="shared" si="144"/>
        <v>A8</v>
      </c>
      <c r="AA215" s="5" t="str">
        <f t="shared" si="145"/>
        <v>A8</v>
      </c>
      <c r="AG215" s="29" t="str">
        <f t="shared" si="136"/>
        <v>30/03/2024</v>
      </c>
      <c r="AH215" s="30">
        <f t="shared" si="136"/>
        <v>84910</v>
      </c>
      <c r="AI215" s="4" t="str">
        <f t="shared" si="137"/>
        <v>A8</v>
      </c>
      <c r="AJ215" s="5" t="str">
        <f t="shared" si="146"/>
        <v>A8</v>
      </c>
      <c r="AK215">
        <f t="shared" si="147"/>
        <v>85922.5</v>
      </c>
      <c r="AL215" t="str">
        <f t="shared" si="148"/>
        <v>A8</v>
      </c>
      <c r="AM215">
        <f t="shared" si="149"/>
        <v>85922.5</v>
      </c>
      <c r="AN215" s="6">
        <f t="shared" si="150"/>
        <v>20</v>
      </c>
      <c r="AO215">
        <f t="shared" si="151"/>
        <v>84880</v>
      </c>
      <c r="AP215">
        <f t="shared" si="174"/>
        <v>84860</v>
      </c>
      <c r="AQ215" s="33">
        <f t="shared" si="152"/>
        <v>84890</v>
      </c>
      <c r="AR215" s="33">
        <f t="shared" si="153"/>
        <v>84850</v>
      </c>
      <c r="AS215">
        <f t="shared" si="154"/>
        <v>84875</v>
      </c>
      <c r="AT215" s="5">
        <f t="shared" si="155"/>
        <v>84865</v>
      </c>
      <c r="AU215" s="5">
        <f t="shared" si="156"/>
        <v>84910</v>
      </c>
      <c r="AV215" s="5">
        <f t="shared" si="157"/>
        <v>84830</v>
      </c>
      <c r="AW215" s="5">
        <f t="shared" si="158"/>
        <v>84873.333333333328</v>
      </c>
      <c r="AX215" s="5">
        <f t="shared" si="159"/>
        <v>84866.666666666672</v>
      </c>
      <c r="AY215" s="5">
        <f t="shared" si="160"/>
        <v>84930</v>
      </c>
      <c r="AZ215" s="5">
        <f t="shared" si="161"/>
        <v>84810</v>
      </c>
      <c r="BB215" s="32" t="str">
        <f t="shared" si="138"/>
        <v>30/03/2024</v>
      </c>
      <c r="BC215" s="33">
        <f t="shared" si="138"/>
        <v>84910</v>
      </c>
      <c r="BD215" s="4" t="str">
        <f t="shared" si="138"/>
        <v>A8</v>
      </c>
      <c r="BE215">
        <f t="shared" si="162"/>
        <v>85401.25</v>
      </c>
      <c r="BF215">
        <f t="shared" si="163"/>
        <v>85391.25</v>
      </c>
      <c r="BG215">
        <f t="shared" si="164"/>
        <v>85406.25</v>
      </c>
      <c r="BH215">
        <f t="shared" si="165"/>
        <v>85386.25</v>
      </c>
      <c r="BI215">
        <f t="shared" si="166"/>
        <v>85398.75</v>
      </c>
      <c r="BJ215">
        <f t="shared" si="167"/>
        <v>85393.75</v>
      </c>
      <c r="BK215">
        <f t="shared" si="168"/>
        <v>85416.25</v>
      </c>
      <c r="BL215">
        <f t="shared" si="169"/>
        <v>85376.25</v>
      </c>
      <c r="BM215">
        <f t="shared" si="170"/>
        <v>85397.916666666657</v>
      </c>
      <c r="BN215">
        <f t="shared" si="171"/>
        <v>85394.583333333343</v>
      </c>
      <c r="BO215">
        <f t="shared" si="172"/>
        <v>85426.25</v>
      </c>
      <c r="BP215" s="38">
        <f t="shared" si="173"/>
        <v>85366.25</v>
      </c>
      <c r="BQ215" s="7">
        <f>BP215</f>
        <v>85366.25</v>
      </c>
      <c r="BS215" s="30">
        <f t="shared" si="139"/>
        <v>84910</v>
      </c>
      <c r="BT215" s="4">
        <f t="shared" si="140"/>
        <v>85366.25</v>
      </c>
      <c r="BU215" s="37">
        <f t="shared" si="141"/>
        <v>-456.25</v>
      </c>
      <c r="BV215">
        <f t="shared" si="142"/>
        <v>456.25</v>
      </c>
      <c r="BW215" s="35">
        <f t="shared" si="143"/>
        <v>5.3733364739135554E-3</v>
      </c>
    </row>
    <row r="216" spans="1:75">
      <c r="A216" s="1" t="s">
        <v>217</v>
      </c>
      <c r="B216" s="1">
        <v>89240</v>
      </c>
      <c r="Q216">
        <v>213</v>
      </c>
      <c r="R216" s="27" t="str">
        <f t="shared" si="134"/>
        <v>31/03/2024</v>
      </c>
      <c r="S216" s="27">
        <f t="shared" si="134"/>
        <v>86200</v>
      </c>
      <c r="T216" s="4" t="str">
        <f t="shared" si="135"/>
        <v>A8</v>
      </c>
      <c r="V216">
        <v>213</v>
      </c>
      <c r="W216" s="28" t="str">
        <f t="shared" si="133"/>
        <v>31/03/2024</v>
      </c>
      <c r="X216" s="28">
        <f t="shared" si="133"/>
        <v>86200</v>
      </c>
      <c r="Y216" s="28" t="str">
        <f t="shared" si="133"/>
        <v>A8</v>
      </c>
      <c r="Z216" s="5" t="str">
        <f t="shared" si="144"/>
        <v>A8</v>
      </c>
      <c r="AA216" s="5" t="str">
        <f t="shared" si="145"/>
        <v>A8</v>
      </c>
      <c r="AG216" s="29" t="str">
        <f t="shared" si="136"/>
        <v>31/03/2024</v>
      </c>
      <c r="AH216" s="30">
        <f t="shared" si="136"/>
        <v>86200</v>
      </c>
      <c r="AI216" s="4" t="str">
        <f t="shared" si="137"/>
        <v>A8</v>
      </c>
      <c r="AJ216" s="5" t="str">
        <f t="shared" si="146"/>
        <v>A8</v>
      </c>
      <c r="AK216">
        <f t="shared" si="147"/>
        <v>85922.5</v>
      </c>
      <c r="AL216" t="str">
        <f t="shared" si="148"/>
        <v>A8</v>
      </c>
      <c r="AM216">
        <f t="shared" si="149"/>
        <v>85922.5</v>
      </c>
      <c r="AN216" s="6">
        <f t="shared" si="150"/>
        <v>410</v>
      </c>
      <c r="AO216">
        <f t="shared" si="151"/>
        <v>85115</v>
      </c>
      <c r="AP216">
        <f t="shared" si="174"/>
        <v>84705</v>
      </c>
      <c r="AQ216" s="33">
        <f t="shared" si="152"/>
        <v>85320</v>
      </c>
      <c r="AR216" s="33">
        <f t="shared" si="153"/>
        <v>84500</v>
      </c>
      <c r="AS216">
        <f t="shared" si="154"/>
        <v>85012.5</v>
      </c>
      <c r="AT216" s="5">
        <f t="shared" si="155"/>
        <v>84807.5</v>
      </c>
      <c r="AU216" s="5">
        <f t="shared" si="156"/>
        <v>85730</v>
      </c>
      <c r="AV216" s="5">
        <f t="shared" si="157"/>
        <v>84090</v>
      </c>
      <c r="AW216" s="5">
        <f t="shared" si="158"/>
        <v>84978.333333333328</v>
      </c>
      <c r="AX216" s="5">
        <f t="shared" si="159"/>
        <v>84841.666666666672</v>
      </c>
      <c r="AY216" s="5">
        <f t="shared" si="160"/>
        <v>86140</v>
      </c>
      <c r="AZ216" s="5">
        <f t="shared" si="161"/>
        <v>83680</v>
      </c>
      <c r="BB216" s="32" t="str">
        <f t="shared" si="138"/>
        <v>31/03/2024</v>
      </c>
      <c r="BC216" s="33">
        <f t="shared" si="138"/>
        <v>86200</v>
      </c>
      <c r="BD216" s="4" t="str">
        <f t="shared" si="138"/>
        <v>A8</v>
      </c>
      <c r="BE216">
        <f t="shared" si="162"/>
        <v>85518.75</v>
      </c>
      <c r="BF216">
        <f t="shared" si="163"/>
        <v>85313.75</v>
      </c>
      <c r="BG216">
        <f t="shared" si="164"/>
        <v>85621.25</v>
      </c>
      <c r="BH216">
        <f t="shared" si="165"/>
        <v>85211.25</v>
      </c>
      <c r="BI216">
        <f t="shared" si="166"/>
        <v>85467.5</v>
      </c>
      <c r="BJ216">
        <f t="shared" si="167"/>
        <v>85365</v>
      </c>
      <c r="BK216">
        <f t="shared" si="168"/>
        <v>85826.25</v>
      </c>
      <c r="BL216">
        <f t="shared" si="169"/>
        <v>85006.25</v>
      </c>
      <c r="BM216">
        <f t="shared" si="170"/>
        <v>85450.416666666657</v>
      </c>
      <c r="BN216">
        <f t="shared" si="171"/>
        <v>85382.083333333343</v>
      </c>
      <c r="BO216" s="38">
        <f t="shared" si="172"/>
        <v>86031.25</v>
      </c>
      <c r="BP216">
        <f t="shared" si="173"/>
        <v>84801.25</v>
      </c>
      <c r="BQ216" s="7">
        <f>BO216</f>
        <v>86031.25</v>
      </c>
      <c r="BS216" s="30">
        <f t="shared" si="139"/>
        <v>86200</v>
      </c>
      <c r="BT216" s="4">
        <f t="shared" si="140"/>
        <v>86031.25</v>
      </c>
      <c r="BU216" s="37">
        <f t="shared" si="141"/>
        <v>168.75</v>
      </c>
      <c r="BV216">
        <f t="shared" si="142"/>
        <v>168.75</v>
      </c>
      <c r="BW216" s="35">
        <f t="shared" si="143"/>
        <v>1.9576566125290022E-3</v>
      </c>
    </row>
    <row r="217" spans="1:75">
      <c r="A217" s="1" t="s">
        <v>218</v>
      </c>
      <c r="B217" s="1">
        <v>85920</v>
      </c>
      <c r="Q217">
        <v>214</v>
      </c>
      <c r="R217" s="27" t="str">
        <f t="shared" si="134"/>
        <v>01/04/2024</v>
      </c>
      <c r="S217" s="27">
        <f t="shared" si="134"/>
        <v>87780</v>
      </c>
      <c r="T217" s="4" t="str">
        <f t="shared" si="135"/>
        <v>A8</v>
      </c>
      <c r="V217">
        <v>214</v>
      </c>
      <c r="W217" s="28" t="str">
        <f t="shared" si="133"/>
        <v>01/04/2024</v>
      </c>
      <c r="X217" s="28">
        <f t="shared" si="133"/>
        <v>87780</v>
      </c>
      <c r="Y217" s="28" t="str">
        <f t="shared" si="133"/>
        <v>A8</v>
      </c>
      <c r="Z217" s="5" t="str">
        <f t="shared" si="144"/>
        <v>A8</v>
      </c>
      <c r="AA217" s="5" t="str">
        <f t="shared" si="145"/>
        <v>A8</v>
      </c>
      <c r="AG217" s="29" t="str">
        <f t="shared" si="136"/>
        <v>01/04/2024</v>
      </c>
      <c r="AH217" s="30">
        <f t="shared" si="136"/>
        <v>87780</v>
      </c>
      <c r="AI217" s="4" t="str">
        <f t="shared" si="137"/>
        <v>A8</v>
      </c>
      <c r="AJ217" s="5" t="str">
        <f t="shared" si="146"/>
        <v>A8</v>
      </c>
      <c r="AK217">
        <f t="shared" si="147"/>
        <v>85922.5</v>
      </c>
      <c r="AL217" t="str">
        <f t="shared" si="148"/>
        <v>A8</v>
      </c>
      <c r="AM217">
        <f t="shared" si="149"/>
        <v>85922.5</v>
      </c>
      <c r="AN217" s="6">
        <f t="shared" si="150"/>
        <v>1250</v>
      </c>
      <c r="AO217">
        <f t="shared" si="151"/>
        <v>86825</v>
      </c>
      <c r="AP217">
        <f t="shared" si="174"/>
        <v>85575</v>
      </c>
      <c r="AQ217" s="33">
        <f t="shared" si="152"/>
        <v>87450</v>
      </c>
      <c r="AR217" s="33">
        <f t="shared" si="153"/>
        <v>84950</v>
      </c>
      <c r="AS217">
        <f t="shared" si="154"/>
        <v>86512.5</v>
      </c>
      <c r="AT217" s="5">
        <f t="shared" si="155"/>
        <v>85887.5</v>
      </c>
      <c r="AU217" s="5">
        <f t="shared" si="156"/>
        <v>88700</v>
      </c>
      <c r="AV217" s="5">
        <f t="shared" si="157"/>
        <v>83700</v>
      </c>
      <c r="AW217" s="5">
        <f t="shared" si="158"/>
        <v>86408.333333333328</v>
      </c>
      <c r="AX217" s="5">
        <f t="shared" si="159"/>
        <v>85991.666666666672</v>
      </c>
      <c r="AY217" s="5">
        <f t="shared" si="160"/>
        <v>89950</v>
      </c>
      <c r="AZ217" s="5">
        <f t="shared" si="161"/>
        <v>82450</v>
      </c>
      <c r="BB217" s="32" t="str">
        <f t="shared" si="138"/>
        <v>01/04/2024</v>
      </c>
      <c r="BC217" s="33">
        <f t="shared" si="138"/>
        <v>87780</v>
      </c>
      <c r="BD217" s="4" t="str">
        <f t="shared" si="138"/>
        <v>A8</v>
      </c>
      <c r="BE217">
        <f t="shared" si="162"/>
        <v>86373.75</v>
      </c>
      <c r="BF217">
        <f t="shared" si="163"/>
        <v>85748.75</v>
      </c>
      <c r="BG217">
        <f t="shared" si="164"/>
        <v>86686.25</v>
      </c>
      <c r="BH217">
        <f t="shared" si="165"/>
        <v>85436.25</v>
      </c>
      <c r="BI217">
        <f t="shared" si="166"/>
        <v>86217.5</v>
      </c>
      <c r="BJ217">
        <f t="shared" si="167"/>
        <v>85905</v>
      </c>
      <c r="BK217">
        <f t="shared" si="168"/>
        <v>87311.25</v>
      </c>
      <c r="BL217">
        <f t="shared" si="169"/>
        <v>84811.25</v>
      </c>
      <c r="BM217">
        <f t="shared" si="170"/>
        <v>86165.416666666657</v>
      </c>
      <c r="BN217">
        <f t="shared" si="171"/>
        <v>85957.083333333343</v>
      </c>
      <c r="BO217" s="38">
        <f t="shared" si="172"/>
        <v>87936.25</v>
      </c>
      <c r="BP217">
        <f t="shared" si="173"/>
        <v>84186.25</v>
      </c>
      <c r="BQ217" s="7">
        <f>BO217</f>
        <v>87936.25</v>
      </c>
      <c r="BS217" s="30">
        <f t="shared" si="139"/>
        <v>87780</v>
      </c>
      <c r="BT217" s="4">
        <f t="shared" si="140"/>
        <v>87936.25</v>
      </c>
      <c r="BU217" s="37">
        <f t="shared" si="141"/>
        <v>-156.25</v>
      </c>
      <c r="BV217">
        <f t="shared" si="142"/>
        <v>156.25</v>
      </c>
      <c r="BW217" s="35">
        <f t="shared" si="143"/>
        <v>1.7800182273866485E-3</v>
      </c>
    </row>
    <row r="218" spans="1:75">
      <c r="A218" s="1" t="s">
        <v>219</v>
      </c>
      <c r="B218" s="1">
        <v>88610</v>
      </c>
      <c r="Q218">
        <v>215</v>
      </c>
      <c r="R218" s="27" t="str">
        <f t="shared" si="134"/>
        <v>02/04/2024</v>
      </c>
      <c r="S218" s="27">
        <f t="shared" si="134"/>
        <v>89240</v>
      </c>
      <c r="T218" s="4" t="str">
        <f t="shared" si="135"/>
        <v>A9</v>
      </c>
      <c r="V218">
        <v>215</v>
      </c>
      <c r="W218" s="28" t="str">
        <f t="shared" si="133"/>
        <v>02/04/2024</v>
      </c>
      <c r="X218" s="28">
        <f t="shared" si="133"/>
        <v>89240</v>
      </c>
      <c r="Y218" s="28" t="str">
        <f t="shared" si="133"/>
        <v>A9</v>
      </c>
      <c r="Z218" s="5" t="str">
        <f t="shared" si="144"/>
        <v>A8</v>
      </c>
      <c r="AA218" s="5" t="str">
        <f t="shared" si="145"/>
        <v>A8</v>
      </c>
      <c r="AG218" s="29" t="str">
        <f t="shared" si="136"/>
        <v>02/04/2024</v>
      </c>
      <c r="AH218" s="30">
        <f t="shared" si="136"/>
        <v>89240</v>
      </c>
      <c r="AI218" s="4" t="str">
        <f t="shared" si="137"/>
        <v>A9</v>
      </c>
      <c r="AJ218" s="5" t="str">
        <f t="shared" si="146"/>
        <v>A8</v>
      </c>
      <c r="AK218">
        <f t="shared" si="147"/>
        <v>85922.5</v>
      </c>
      <c r="AL218" t="str">
        <f t="shared" si="148"/>
        <v>A8</v>
      </c>
      <c r="AM218">
        <f t="shared" si="149"/>
        <v>85922.5</v>
      </c>
      <c r="AN218" s="6">
        <f t="shared" si="150"/>
        <v>290</v>
      </c>
      <c r="AO218">
        <f t="shared" si="151"/>
        <v>87925</v>
      </c>
      <c r="AP218">
        <f t="shared" si="174"/>
        <v>87635</v>
      </c>
      <c r="AQ218" s="33">
        <f t="shared" si="152"/>
        <v>88070</v>
      </c>
      <c r="AR218" s="33">
        <f t="shared" si="153"/>
        <v>87490</v>
      </c>
      <c r="AS218">
        <f t="shared" si="154"/>
        <v>87852.5</v>
      </c>
      <c r="AT218" s="5">
        <f t="shared" si="155"/>
        <v>87707.5</v>
      </c>
      <c r="AU218" s="5">
        <f t="shared" si="156"/>
        <v>88360</v>
      </c>
      <c r="AV218" s="5">
        <f t="shared" si="157"/>
        <v>87200</v>
      </c>
      <c r="AW218" s="5">
        <f t="shared" si="158"/>
        <v>87828.333333333328</v>
      </c>
      <c r="AX218" s="5">
        <f t="shared" si="159"/>
        <v>87731.666666666672</v>
      </c>
      <c r="AY218" s="5">
        <f t="shared" si="160"/>
        <v>88650</v>
      </c>
      <c r="AZ218" s="5">
        <f t="shared" si="161"/>
        <v>86910</v>
      </c>
      <c r="BB218" s="32" t="str">
        <f t="shared" si="138"/>
        <v>02/04/2024</v>
      </c>
      <c r="BC218" s="33">
        <f t="shared" si="138"/>
        <v>89240</v>
      </c>
      <c r="BD218" s="4" t="str">
        <f t="shared" si="138"/>
        <v>A9</v>
      </c>
      <c r="BE218">
        <f t="shared" si="162"/>
        <v>86923.75</v>
      </c>
      <c r="BF218">
        <f t="shared" si="163"/>
        <v>86778.75</v>
      </c>
      <c r="BG218">
        <f t="shared" si="164"/>
        <v>86996.25</v>
      </c>
      <c r="BH218">
        <f t="shared" si="165"/>
        <v>86706.25</v>
      </c>
      <c r="BI218">
        <f t="shared" si="166"/>
        <v>86887.5</v>
      </c>
      <c r="BJ218">
        <f t="shared" si="167"/>
        <v>86815</v>
      </c>
      <c r="BK218">
        <f t="shared" si="168"/>
        <v>87141.25</v>
      </c>
      <c r="BL218">
        <f t="shared" si="169"/>
        <v>86561.25</v>
      </c>
      <c r="BM218">
        <f t="shared" si="170"/>
        <v>86875.416666666657</v>
      </c>
      <c r="BN218">
        <f t="shared" si="171"/>
        <v>86827.083333333343</v>
      </c>
      <c r="BO218" s="38">
        <f t="shared" si="172"/>
        <v>87286.25</v>
      </c>
      <c r="BP218">
        <f t="shared" si="173"/>
        <v>86416.25</v>
      </c>
      <c r="BQ218" s="7">
        <f>BO218</f>
        <v>87286.25</v>
      </c>
      <c r="BS218" s="30">
        <f t="shared" si="139"/>
        <v>89240</v>
      </c>
      <c r="BT218" s="4">
        <f t="shared" si="140"/>
        <v>87286.25</v>
      </c>
      <c r="BU218" s="37">
        <f t="shared" si="141"/>
        <v>1953.75</v>
      </c>
      <c r="BV218">
        <f t="shared" si="142"/>
        <v>1953.75</v>
      </c>
      <c r="BW218" s="35">
        <f t="shared" si="143"/>
        <v>2.1893209323173464E-2</v>
      </c>
    </row>
    <row r="219" spans="1:75">
      <c r="A219" s="1" t="s">
        <v>220</v>
      </c>
      <c r="B219" s="1">
        <v>85650</v>
      </c>
      <c r="Q219">
        <v>216</v>
      </c>
      <c r="R219" s="27" t="str">
        <f t="shared" si="134"/>
        <v>03/04/2024</v>
      </c>
      <c r="S219" s="27">
        <f t="shared" si="134"/>
        <v>85920</v>
      </c>
      <c r="T219" s="4" t="str">
        <f t="shared" si="135"/>
        <v>A8</v>
      </c>
      <c r="V219">
        <v>216</v>
      </c>
      <c r="W219" s="28" t="str">
        <f t="shared" si="133"/>
        <v>03/04/2024</v>
      </c>
      <c r="X219" s="28">
        <f t="shared" si="133"/>
        <v>85920</v>
      </c>
      <c r="Y219" s="28" t="str">
        <f t="shared" si="133"/>
        <v>A8</v>
      </c>
      <c r="Z219" s="5" t="str">
        <f t="shared" si="144"/>
        <v>A8</v>
      </c>
      <c r="AA219" s="5" t="str">
        <f t="shared" si="145"/>
        <v>A9</v>
      </c>
      <c r="AG219" s="29" t="str">
        <f t="shared" si="136"/>
        <v>03/04/2024</v>
      </c>
      <c r="AH219" s="30">
        <f t="shared" si="136"/>
        <v>85920</v>
      </c>
      <c r="AI219" s="4" t="str">
        <f t="shared" si="137"/>
        <v>A8</v>
      </c>
      <c r="AJ219" s="5" t="str">
        <f t="shared" si="146"/>
        <v>A8</v>
      </c>
      <c r="AK219">
        <f t="shared" si="147"/>
        <v>85922.5</v>
      </c>
      <c r="AL219" t="str">
        <f t="shared" si="148"/>
        <v>A9</v>
      </c>
      <c r="AM219">
        <f t="shared" si="149"/>
        <v>91953.5</v>
      </c>
      <c r="AN219" s="6">
        <f t="shared" si="150"/>
        <v>120</v>
      </c>
      <c r="AO219">
        <f t="shared" si="151"/>
        <v>89300</v>
      </c>
      <c r="AP219">
        <f t="shared" si="174"/>
        <v>89180</v>
      </c>
      <c r="AQ219" s="33">
        <f t="shared" si="152"/>
        <v>89360</v>
      </c>
      <c r="AR219" s="33">
        <f t="shared" si="153"/>
        <v>89120</v>
      </c>
      <c r="AS219">
        <f t="shared" si="154"/>
        <v>89270</v>
      </c>
      <c r="AT219" s="5">
        <f t="shared" si="155"/>
        <v>89210</v>
      </c>
      <c r="AU219" s="5">
        <f t="shared" si="156"/>
        <v>89480</v>
      </c>
      <c r="AV219" s="5">
        <f t="shared" si="157"/>
        <v>89000</v>
      </c>
      <c r="AW219" s="5">
        <f t="shared" si="158"/>
        <v>89260</v>
      </c>
      <c r="AX219" s="5">
        <f t="shared" si="159"/>
        <v>89220</v>
      </c>
      <c r="AY219" s="5">
        <f t="shared" si="160"/>
        <v>89600</v>
      </c>
      <c r="AZ219" s="5">
        <f t="shared" si="161"/>
        <v>88880</v>
      </c>
      <c r="BB219" s="32" t="str">
        <f t="shared" si="138"/>
        <v>03/04/2024</v>
      </c>
      <c r="BC219" s="33">
        <f t="shared" si="138"/>
        <v>85920</v>
      </c>
      <c r="BD219" s="4" t="str">
        <f t="shared" si="138"/>
        <v>A8</v>
      </c>
      <c r="BE219">
        <f t="shared" si="162"/>
        <v>90626.75</v>
      </c>
      <c r="BF219">
        <f t="shared" si="163"/>
        <v>90566.75</v>
      </c>
      <c r="BG219">
        <f t="shared" si="164"/>
        <v>90656.75</v>
      </c>
      <c r="BH219">
        <f t="shared" si="165"/>
        <v>90536.75</v>
      </c>
      <c r="BI219">
        <f t="shared" si="166"/>
        <v>90611.75</v>
      </c>
      <c r="BJ219">
        <f t="shared" si="167"/>
        <v>90581.75</v>
      </c>
      <c r="BK219">
        <f t="shared" si="168"/>
        <v>90716.75</v>
      </c>
      <c r="BL219">
        <f t="shared" si="169"/>
        <v>90476.75</v>
      </c>
      <c r="BM219">
        <f t="shared" si="170"/>
        <v>90606.75</v>
      </c>
      <c r="BN219">
        <f t="shared" si="171"/>
        <v>90586.75</v>
      </c>
      <c r="BO219">
        <f t="shared" si="172"/>
        <v>90776.75</v>
      </c>
      <c r="BP219" s="38">
        <f t="shared" si="173"/>
        <v>90416.75</v>
      </c>
      <c r="BQ219" s="7">
        <f>BP219</f>
        <v>90416.75</v>
      </c>
      <c r="BS219" s="30">
        <f t="shared" si="139"/>
        <v>85920</v>
      </c>
      <c r="BT219" s="4">
        <f t="shared" si="140"/>
        <v>90416.75</v>
      </c>
      <c r="BU219" s="37">
        <f t="shared" si="141"/>
        <v>-4496.75</v>
      </c>
      <c r="BV219">
        <f t="shared" si="142"/>
        <v>4496.75</v>
      </c>
      <c r="BW219" s="35">
        <f t="shared" si="143"/>
        <v>5.2336475791433891E-2</v>
      </c>
    </row>
    <row r="220" spans="1:75">
      <c r="A220" s="1" t="s">
        <v>221</v>
      </c>
      <c r="B220" s="1">
        <v>86700</v>
      </c>
      <c r="Q220">
        <v>217</v>
      </c>
      <c r="R220" s="27" t="str">
        <f t="shared" si="134"/>
        <v>04/04/2024</v>
      </c>
      <c r="S220" s="27">
        <f t="shared" si="134"/>
        <v>88610</v>
      </c>
      <c r="T220" s="4" t="str">
        <f t="shared" si="135"/>
        <v>A8</v>
      </c>
      <c r="V220">
        <v>217</v>
      </c>
      <c r="W220" s="28" t="str">
        <f t="shared" si="133"/>
        <v>04/04/2024</v>
      </c>
      <c r="X220" s="28">
        <f t="shared" si="133"/>
        <v>88610</v>
      </c>
      <c r="Y220" s="28" t="str">
        <f t="shared" si="133"/>
        <v>A8</v>
      </c>
      <c r="Z220" s="5" t="str">
        <f t="shared" si="144"/>
        <v>A9</v>
      </c>
      <c r="AA220" s="5" t="str">
        <f t="shared" si="145"/>
        <v>A8</v>
      </c>
      <c r="AG220" s="29" t="str">
        <f t="shared" si="136"/>
        <v>04/04/2024</v>
      </c>
      <c r="AH220" s="30">
        <f t="shared" si="136"/>
        <v>88610</v>
      </c>
      <c r="AI220" s="4" t="str">
        <f t="shared" si="137"/>
        <v>A8</v>
      </c>
      <c r="AJ220" s="5" t="str">
        <f t="shared" si="146"/>
        <v>A9</v>
      </c>
      <c r="AK220">
        <f t="shared" si="147"/>
        <v>91953.5</v>
      </c>
      <c r="AL220" t="str">
        <f t="shared" si="148"/>
        <v>A8</v>
      </c>
      <c r="AM220">
        <f t="shared" si="149"/>
        <v>85922.5</v>
      </c>
      <c r="AN220" s="6">
        <f t="shared" si="150"/>
        <v>1860</v>
      </c>
      <c r="AO220">
        <f t="shared" si="151"/>
        <v>86850</v>
      </c>
      <c r="AP220">
        <f t="shared" si="174"/>
        <v>84990</v>
      </c>
      <c r="AQ220" s="33">
        <f t="shared" si="152"/>
        <v>87780</v>
      </c>
      <c r="AR220" s="33">
        <f t="shared" si="153"/>
        <v>84060</v>
      </c>
      <c r="AS220">
        <f t="shared" si="154"/>
        <v>86385</v>
      </c>
      <c r="AT220" s="5">
        <f t="shared" si="155"/>
        <v>85455</v>
      </c>
      <c r="AU220" s="5">
        <f t="shared" si="156"/>
        <v>89640</v>
      </c>
      <c r="AV220" s="5">
        <f t="shared" si="157"/>
        <v>82200</v>
      </c>
      <c r="AW220" s="5">
        <f t="shared" si="158"/>
        <v>86230</v>
      </c>
      <c r="AX220" s="5">
        <f t="shared" si="159"/>
        <v>85610</v>
      </c>
      <c r="AY220" s="5">
        <f t="shared" si="160"/>
        <v>91500</v>
      </c>
      <c r="AZ220" s="5">
        <f t="shared" si="161"/>
        <v>80340</v>
      </c>
      <c r="BB220" s="32" t="str">
        <f t="shared" si="138"/>
        <v>04/04/2024</v>
      </c>
      <c r="BC220" s="33">
        <f t="shared" si="138"/>
        <v>88610</v>
      </c>
      <c r="BD220" s="4" t="str">
        <f t="shared" si="138"/>
        <v>A8</v>
      </c>
      <c r="BE220">
        <f t="shared" si="162"/>
        <v>86386.25</v>
      </c>
      <c r="BF220">
        <f t="shared" si="163"/>
        <v>85456.25</v>
      </c>
      <c r="BG220">
        <f t="shared" si="164"/>
        <v>86851.25</v>
      </c>
      <c r="BH220">
        <f t="shared" si="165"/>
        <v>84991.25</v>
      </c>
      <c r="BI220">
        <f t="shared" si="166"/>
        <v>86153.75</v>
      </c>
      <c r="BJ220">
        <f t="shared" si="167"/>
        <v>85688.75</v>
      </c>
      <c r="BK220">
        <f t="shared" si="168"/>
        <v>87781.25</v>
      </c>
      <c r="BL220">
        <f t="shared" si="169"/>
        <v>84061.25</v>
      </c>
      <c r="BM220">
        <f t="shared" si="170"/>
        <v>86076.25</v>
      </c>
      <c r="BN220">
        <f t="shared" si="171"/>
        <v>85766.25</v>
      </c>
      <c r="BO220" s="38">
        <f t="shared" si="172"/>
        <v>88711.25</v>
      </c>
      <c r="BP220">
        <f t="shared" si="173"/>
        <v>83131.25</v>
      </c>
      <c r="BQ220" s="7">
        <f>BO220</f>
        <v>88711.25</v>
      </c>
      <c r="BS220" s="30">
        <f t="shared" si="139"/>
        <v>88610</v>
      </c>
      <c r="BT220" s="4">
        <f t="shared" si="140"/>
        <v>88711.25</v>
      </c>
      <c r="BU220" s="37">
        <f t="shared" si="141"/>
        <v>-101.25</v>
      </c>
      <c r="BV220">
        <f t="shared" si="142"/>
        <v>101.25</v>
      </c>
      <c r="BW220" s="35">
        <f t="shared" si="143"/>
        <v>1.142647556709175E-3</v>
      </c>
    </row>
    <row r="221" spans="1:75">
      <c r="A221" s="1" t="s">
        <v>222</v>
      </c>
      <c r="B221" s="1">
        <v>87180</v>
      </c>
      <c r="Q221">
        <v>218</v>
      </c>
      <c r="R221" s="27" t="str">
        <f t="shared" si="134"/>
        <v>05/04/2024</v>
      </c>
      <c r="S221" s="27">
        <f t="shared" si="134"/>
        <v>85650</v>
      </c>
      <c r="T221" s="4" t="str">
        <f t="shared" si="135"/>
        <v>A8</v>
      </c>
      <c r="V221">
        <v>218</v>
      </c>
      <c r="W221" s="28" t="str">
        <f t="shared" si="133"/>
        <v>05/04/2024</v>
      </c>
      <c r="X221" s="28">
        <f t="shared" si="133"/>
        <v>85650</v>
      </c>
      <c r="Y221" s="28" t="str">
        <f t="shared" si="133"/>
        <v>A8</v>
      </c>
      <c r="Z221" s="5" t="str">
        <f t="shared" si="144"/>
        <v>A8</v>
      </c>
      <c r="AA221" s="5" t="str">
        <f t="shared" si="145"/>
        <v>A8</v>
      </c>
      <c r="AG221" s="29" t="str">
        <f t="shared" si="136"/>
        <v>05/04/2024</v>
      </c>
      <c r="AH221" s="30">
        <f t="shared" si="136"/>
        <v>85650</v>
      </c>
      <c r="AI221" s="4" t="str">
        <f t="shared" si="137"/>
        <v>A8</v>
      </c>
      <c r="AJ221" s="5" t="str">
        <f t="shared" si="146"/>
        <v>A8</v>
      </c>
      <c r="AK221">
        <f t="shared" si="147"/>
        <v>85922.5</v>
      </c>
      <c r="AL221" t="str">
        <f t="shared" si="148"/>
        <v>A8</v>
      </c>
      <c r="AM221">
        <f t="shared" si="149"/>
        <v>85922.5</v>
      </c>
      <c r="AN221" s="6">
        <f t="shared" si="150"/>
        <v>630</v>
      </c>
      <c r="AO221">
        <f t="shared" si="151"/>
        <v>88925</v>
      </c>
      <c r="AP221">
        <f t="shared" si="174"/>
        <v>88295</v>
      </c>
      <c r="AQ221" s="33">
        <f t="shared" si="152"/>
        <v>89240</v>
      </c>
      <c r="AR221" s="33">
        <f t="shared" si="153"/>
        <v>87980</v>
      </c>
      <c r="AS221">
        <f t="shared" si="154"/>
        <v>88767.5</v>
      </c>
      <c r="AT221" s="5">
        <f t="shared" si="155"/>
        <v>88452.5</v>
      </c>
      <c r="AU221" s="5">
        <f t="shared" si="156"/>
        <v>89870</v>
      </c>
      <c r="AV221" s="5">
        <f t="shared" si="157"/>
        <v>87350</v>
      </c>
      <c r="AW221" s="5">
        <f t="shared" si="158"/>
        <v>88715</v>
      </c>
      <c r="AX221" s="5">
        <f t="shared" si="159"/>
        <v>88505</v>
      </c>
      <c r="AY221" s="5">
        <f t="shared" si="160"/>
        <v>90500</v>
      </c>
      <c r="AZ221" s="5">
        <f t="shared" si="161"/>
        <v>86720</v>
      </c>
      <c r="BB221" s="32" t="str">
        <f t="shared" si="138"/>
        <v>05/04/2024</v>
      </c>
      <c r="BC221" s="33">
        <f t="shared" si="138"/>
        <v>85650</v>
      </c>
      <c r="BD221" s="4" t="str">
        <f t="shared" si="138"/>
        <v>A8</v>
      </c>
      <c r="BE221">
        <f t="shared" si="162"/>
        <v>87423.75</v>
      </c>
      <c r="BF221">
        <f t="shared" si="163"/>
        <v>87108.75</v>
      </c>
      <c r="BG221">
        <f t="shared" si="164"/>
        <v>87581.25</v>
      </c>
      <c r="BH221">
        <f t="shared" si="165"/>
        <v>86951.25</v>
      </c>
      <c r="BI221">
        <f t="shared" si="166"/>
        <v>87345</v>
      </c>
      <c r="BJ221">
        <f t="shared" si="167"/>
        <v>87187.5</v>
      </c>
      <c r="BK221">
        <f t="shared" si="168"/>
        <v>87896.25</v>
      </c>
      <c r="BL221">
        <f t="shared" si="169"/>
        <v>86636.25</v>
      </c>
      <c r="BM221">
        <f t="shared" si="170"/>
        <v>87318.75</v>
      </c>
      <c r="BN221">
        <f t="shared" si="171"/>
        <v>87213.75</v>
      </c>
      <c r="BO221">
        <f t="shared" si="172"/>
        <v>88211.25</v>
      </c>
      <c r="BP221" s="38">
        <f t="shared" si="173"/>
        <v>86321.25</v>
      </c>
      <c r="BQ221" s="7">
        <f>BP221</f>
        <v>86321.25</v>
      </c>
      <c r="BS221" s="30">
        <f t="shared" si="139"/>
        <v>85650</v>
      </c>
      <c r="BT221" s="4">
        <f t="shared" si="140"/>
        <v>86321.25</v>
      </c>
      <c r="BU221" s="37">
        <f t="shared" si="141"/>
        <v>-671.25</v>
      </c>
      <c r="BV221">
        <f t="shared" si="142"/>
        <v>671.25</v>
      </c>
      <c r="BW221" s="35">
        <f t="shared" si="143"/>
        <v>7.8371278458844139E-3</v>
      </c>
    </row>
    <row r="222" spans="1:75">
      <c r="A222" s="1" t="s">
        <v>223</v>
      </c>
      <c r="B222" s="1">
        <v>87850</v>
      </c>
      <c r="Q222">
        <v>219</v>
      </c>
      <c r="R222" s="27" t="str">
        <f t="shared" si="134"/>
        <v>06/04/2024</v>
      </c>
      <c r="S222" s="27">
        <f t="shared" si="134"/>
        <v>86700</v>
      </c>
      <c r="T222" s="4" t="str">
        <f t="shared" si="135"/>
        <v>A8</v>
      </c>
      <c r="V222">
        <v>219</v>
      </c>
      <c r="W222" s="28" t="str">
        <f t="shared" si="133"/>
        <v>06/04/2024</v>
      </c>
      <c r="X222" s="28">
        <f t="shared" si="133"/>
        <v>86700</v>
      </c>
      <c r="Y222" s="28" t="str">
        <f t="shared" si="133"/>
        <v>A8</v>
      </c>
      <c r="Z222" s="5" t="str">
        <f t="shared" si="144"/>
        <v>A8</v>
      </c>
      <c r="AA222" s="5" t="str">
        <f t="shared" si="145"/>
        <v>A8</v>
      </c>
      <c r="AG222" s="29" t="str">
        <f t="shared" si="136"/>
        <v>06/04/2024</v>
      </c>
      <c r="AH222" s="30">
        <f t="shared" si="136"/>
        <v>86700</v>
      </c>
      <c r="AI222" s="4" t="str">
        <f t="shared" si="137"/>
        <v>A8</v>
      </c>
      <c r="AJ222" s="5" t="str">
        <f t="shared" si="146"/>
        <v>A8</v>
      </c>
      <c r="AK222">
        <f t="shared" si="147"/>
        <v>85922.5</v>
      </c>
      <c r="AL222" t="str">
        <f t="shared" si="148"/>
        <v>A8</v>
      </c>
      <c r="AM222">
        <f t="shared" si="149"/>
        <v>85922.5</v>
      </c>
      <c r="AN222" s="6">
        <f t="shared" si="150"/>
        <v>270</v>
      </c>
      <c r="AO222">
        <f t="shared" si="151"/>
        <v>85785</v>
      </c>
      <c r="AP222">
        <f t="shared" si="174"/>
        <v>85515</v>
      </c>
      <c r="AQ222" s="33">
        <f t="shared" si="152"/>
        <v>85920</v>
      </c>
      <c r="AR222" s="33">
        <f t="shared" si="153"/>
        <v>85380</v>
      </c>
      <c r="AS222">
        <f t="shared" si="154"/>
        <v>85717.5</v>
      </c>
      <c r="AT222" s="5">
        <f t="shared" si="155"/>
        <v>85582.5</v>
      </c>
      <c r="AU222" s="5">
        <f t="shared" si="156"/>
        <v>86190</v>
      </c>
      <c r="AV222" s="5">
        <f t="shared" si="157"/>
        <v>85110</v>
      </c>
      <c r="AW222" s="5">
        <f t="shared" si="158"/>
        <v>85695</v>
      </c>
      <c r="AX222" s="5">
        <f t="shared" si="159"/>
        <v>85605</v>
      </c>
      <c r="AY222" s="5">
        <f t="shared" si="160"/>
        <v>86460</v>
      </c>
      <c r="AZ222" s="5">
        <f t="shared" si="161"/>
        <v>84840</v>
      </c>
      <c r="BB222" s="32" t="str">
        <f t="shared" si="138"/>
        <v>06/04/2024</v>
      </c>
      <c r="BC222" s="33">
        <f t="shared" si="138"/>
        <v>86700</v>
      </c>
      <c r="BD222" s="4" t="str">
        <f t="shared" si="138"/>
        <v>A8</v>
      </c>
      <c r="BE222">
        <f t="shared" si="162"/>
        <v>85853.75</v>
      </c>
      <c r="BF222">
        <f t="shared" si="163"/>
        <v>85718.75</v>
      </c>
      <c r="BG222">
        <f t="shared" si="164"/>
        <v>85921.25</v>
      </c>
      <c r="BH222">
        <f t="shared" si="165"/>
        <v>85651.25</v>
      </c>
      <c r="BI222">
        <f t="shared" si="166"/>
        <v>85820</v>
      </c>
      <c r="BJ222">
        <f t="shared" si="167"/>
        <v>85752.5</v>
      </c>
      <c r="BK222">
        <f t="shared" si="168"/>
        <v>86056.25</v>
      </c>
      <c r="BL222">
        <f t="shared" si="169"/>
        <v>85516.25</v>
      </c>
      <c r="BM222">
        <f t="shared" si="170"/>
        <v>85808.75</v>
      </c>
      <c r="BN222">
        <f t="shared" si="171"/>
        <v>85763.75</v>
      </c>
      <c r="BO222" s="38">
        <f t="shared" si="172"/>
        <v>86191.25</v>
      </c>
      <c r="BP222">
        <f t="shared" si="173"/>
        <v>85381.25</v>
      </c>
      <c r="BQ222" s="7">
        <f>BO222</f>
        <v>86191.25</v>
      </c>
      <c r="BS222" s="30">
        <f t="shared" si="139"/>
        <v>86700</v>
      </c>
      <c r="BT222" s="4">
        <f t="shared" si="140"/>
        <v>86191.25</v>
      </c>
      <c r="BU222" s="37">
        <f t="shared" si="141"/>
        <v>508.75</v>
      </c>
      <c r="BV222">
        <f t="shared" si="142"/>
        <v>508.75</v>
      </c>
      <c r="BW222" s="35">
        <f t="shared" si="143"/>
        <v>5.8679354094579011E-3</v>
      </c>
    </row>
    <row r="223" spans="1:75">
      <c r="A223" s="1" t="s">
        <v>224</v>
      </c>
      <c r="B223" s="1">
        <v>86350</v>
      </c>
      <c r="Q223">
        <v>220</v>
      </c>
      <c r="R223" s="27" t="str">
        <f t="shared" si="134"/>
        <v>07/04/2024</v>
      </c>
      <c r="S223" s="27">
        <f t="shared" si="134"/>
        <v>87180</v>
      </c>
      <c r="T223" s="4" t="str">
        <f t="shared" si="135"/>
        <v>A8</v>
      </c>
      <c r="V223">
        <v>220</v>
      </c>
      <c r="W223" s="28" t="str">
        <f t="shared" si="133"/>
        <v>07/04/2024</v>
      </c>
      <c r="X223" s="28">
        <f t="shared" si="133"/>
        <v>87180</v>
      </c>
      <c r="Y223" s="28" t="str">
        <f t="shared" si="133"/>
        <v>A8</v>
      </c>
      <c r="Z223" s="5" t="str">
        <f t="shared" si="144"/>
        <v>A8</v>
      </c>
      <c r="AA223" s="5" t="str">
        <f t="shared" si="145"/>
        <v>A8</v>
      </c>
      <c r="AG223" s="29" t="str">
        <f t="shared" si="136"/>
        <v>07/04/2024</v>
      </c>
      <c r="AH223" s="30">
        <f t="shared" si="136"/>
        <v>87180</v>
      </c>
      <c r="AI223" s="4" t="str">
        <f t="shared" si="137"/>
        <v>A8</v>
      </c>
      <c r="AJ223" s="5" t="str">
        <f t="shared" si="146"/>
        <v>A8</v>
      </c>
      <c r="AK223">
        <f t="shared" si="147"/>
        <v>85922.5</v>
      </c>
      <c r="AL223" t="str">
        <f t="shared" si="148"/>
        <v>A8</v>
      </c>
      <c r="AM223">
        <f t="shared" si="149"/>
        <v>85922.5</v>
      </c>
      <c r="AN223" s="6">
        <f t="shared" si="150"/>
        <v>1910</v>
      </c>
      <c r="AO223">
        <f t="shared" si="151"/>
        <v>87655</v>
      </c>
      <c r="AP223">
        <f t="shared" si="174"/>
        <v>85745</v>
      </c>
      <c r="AQ223" s="33">
        <f t="shared" si="152"/>
        <v>88610</v>
      </c>
      <c r="AR223" s="33">
        <f t="shared" si="153"/>
        <v>84790</v>
      </c>
      <c r="AS223">
        <f t="shared" si="154"/>
        <v>87177.5</v>
      </c>
      <c r="AT223" s="5">
        <f t="shared" si="155"/>
        <v>86222.5</v>
      </c>
      <c r="AU223" s="5">
        <f t="shared" si="156"/>
        <v>90520</v>
      </c>
      <c r="AV223" s="5">
        <f t="shared" si="157"/>
        <v>82880</v>
      </c>
      <c r="AW223" s="5">
        <f t="shared" si="158"/>
        <v>87018.333333333328</v>
      </c>
      <c r="AX223" s="5">
        <f t="shared" si="159"/>
        <v>86381.666666666672</v>
      </c>
      <c r="AY223" s="5">
        <f t="shared" si="160"/>
        <v>92430</v>
      </c>
      <c r="AZ223" s="5">
        <f t="shared" si="161"/>
        <v>80970</v>
      </c>
      <c r="BB223" s="32" t="str">
        <f t="shared" si="138"/>
        <v>07/04/2024</v>
      </c>
      <c r="BC223" s="33">
        <f t="shared" si="138"/>
        <v>87180</v>
      </c>
      <c r="BD223" s="4" t="str">
        <f t="shared" si="138"/>
        <v>A8</v>
      </c>
      <c r="BE223">
        <f t="shared" si="162"/>
        <v>86788.75</v>
      </c>
      <c r="BF223">
        <f t="shared" si="163"/>
        <v>85833.75</v>
      </c>
      <c r="BG223" s="38">
        <f t="shared" si="164"/>
        <v>87266.25</v>
      </c>
      <c r="BH223">
        <f t="shared" si="165"/>
        <v>85356.25</v>
      </c>
      <c r="BI223">
        <f t="shared" si="166"/>
        <v>86550</v>
      </c>
      <c r="BJ223">
        <f t="shared" si="167"/>
        <v>86072.5</v>
      </c>
      <c r="BK223">
        <f t="shared" si="168"/>
        <v>88221.25</v>
      </c>
      <c r="BL223">
        <f t="shared" si="169"/>
        <v>84401.25</v>
      </c>
      <c r="BM223">
        <f t="shared" si="170"/>
        <v>86470.416666666657</v>
      </c>
      <c r="BN223">
        <f t="shared" si="171"/>
        <v>86152.083333333343</v>
      </c>
      <c r="BO223">
        <f t="shared" si="172"/>
        <v>89176.25</v>
      </c>
      <c r="BP223">
        <f t="shared" si="173"/>
        <v>83446.25</v>
      </c>
      <c r="BQ223" s="7">
        <f>BG223</f>
        <v>87266.25</v>
      </c>
      <c r="BS223" s="30">
        <f t="shared" si="139"/>
        <v>87180</v>
      </c>
      <c r="BT223" s="4">
        <f t="shared" si="140"/>
        <v>87266.25</v>
      </c>
      <c r="BU223" s="37">
        <f t="shared" si="141"/>
        <v>-86.25</v>
      </c>
      <c r="BV223">
        <f t="shared" si="142"/>
        <v>86.25</v>
      </c>
      <c r="BW223" s="35">
        <f t="shared" si="143"/>
        <v>9.8933241569167238E-4</v>
      </c>
    </row>
    <row r="224" spans="1:75">
      <c r="A224" s="1" t="s">
        <v>225</v>
      </c>
      <c r="B224" s="1">
        <v>90000</v>
      </c>
      <c r="Q224">
        <v>221</v>
      </c>
      <c r="R224" s="27" t="str">
        <f t="shared" si="134"/>
        <v>08/04/2024</v>
      </c>
      <c r="S224" s="27">
        <f t="shared" si="134"/>
        <v>87850</v>
      </c>
      <c r="T224" s="4" t="str">
        <f t="shared" si="135"/>
        <v>A8</v>
      </c>
      <c r="V224">
        <v>221</v>
      </c>
      <c r="W224" s="28" t="str">
        <f t="shared" si="133"/>
        <v>08/04/2024</v>
      </c>
      <c r="X224" s="28">
        <f t="shared" si="133"/>
        <v>87850</v>
      </c>
      <c r="Y224" s="28" t="str">
        <f t="shared" si="133"/>
        <v>A8</v>
      </c>
      <c r="Z224" s="5" t="str">
        <f t="shared" si="144"/>
        <v>A8</v>
      </c>
      <c r="AA224" s="5" t="str">
        <f t="shared" si="145"/>
        <v>A8</v>
      </c>
      <c r="AG224" s="29" t="str">
        <f t="shared" si="136"/>
        <v>08/04/2024</v>
      </c>
      <c r="AH224" s="30">
        <f t="shared" si="136"/>
        <v>87850</v>
      </c>
      <c r="AI224" s="4" t="str">
        <f t="shared" si="137"/>
        <v>A8</v>
      </c>
      <c r="AJ224" s="5" t="str">
        <f t="shared" si="146"/>
        <v>A8</v>
      </c>
      <c r="AK224">
        <f t="shared" si="147"/>
        <v>85922.5</v>
      </c>
      <c r="AL224" t="str">
        <f t="shared" si="148"/>
        <v>A8</v>
      </c>
      <c r="AM224">
        <f t="shared" si="149"/>
        <v>85922.5</v>
      </c>
      <c r="AN224" s="6">
        <f t="shared" si="150"/>
        <v>570</v>
      </c>
      <c r="AO224">
        <f t="shared" si="151"/>
        <v>87465</v>
      </c>
      <c r="AP224">
        <f t="shared" si="174"/>
        <v>86895</v>
      </c>
      <c r="AQ224" s="33">
        <f t="shared" si="152"/>
        <v>87750</v>
      </c>
      <c r="AR224" s="33">
        <f t="shared" si="153"/>
        <v>86610</v>
      </c>
      <c r="AS224">
        <f t="shared" si="154"/>
        <v>87322.5</v>
      </c>
      <c r="AT224" s="5">
        <f t="shared" si="155"/>
        <v>87037.5</v>
      </c>
      <c r="AU224" s="5">
        <f t="shared" si="156"/>
        <v>88320</v>
      </c>
      <c r="AV224" s="5">
        <f t="shared" si="157"/>
        <v>86040</v>
      </c>
      <c r="AW224" s="5">
        <f t="shared" si="158"/>
        <v>87275</v>
      </c>
      <c r="AX224" s="5">
        <f t="shared" si="159"/>
        <v>87085</v>
      </c>
      <c r="AY224" s="5">
        <f t="shared" si="160"/>
        <v>88890</v>
      </c>
      <c r="AZ224" s="5">
        <f t="shared" si="161"/>
        <v>85470</v>
      </c>
      <c r="BB224" s="32" t="str">
        <f t="shared" si="138"/>
        <v>08/04/2024</v>
      </c>
      <c r="BC224" s="33">
        <f t="shared" si="138"/>
        <v>87850</v>
      </c>
      <c r="BD224" s="4" t="str">
        <f t="shared" si="138"/>
        <v>A8</v>
      </c>
      <c r="BE224">
        <f t="shared" si="162"/>
        <v>86693.75</v>
      </c>
      <c r="BF224">
        <f t="shared" si="163"/>
        <v>86408.75</v>
      </c>
      <c r="BG224">
        <f t="shared" si="164"/>
        <v>86836.25</v>
      </c>
      <c r="BH224">
        <f t="shared" si="165"/>
        <v>86266.25</v>
      </c>
      <c r="BI224">
        <f t="shared" si="166"/>
        <v>86622.5</v>
      </c>
      <c r="BJ224">
        <f t="shared" si="167"/>
        <v>86480</v>
      </c>
      <c r="BK224">
        <f t="shared" si="168"/>
        <v>87121.25</v>
      </c>
      <c r="BL224">
        <f t="shared" si="169"/>
        <v>85981.25</v>
      </c>
      <c r="BM224">
        <f t="shared" si="170"/>
        <v>86598.75</v>
      </c>
      <c r="BN224">
        <f t="shared" si="171"/>
        <v>86503.75</v>
      </c>
      <c r="BO224" s="38">
        <f t="shared" si="172"/>
        <v>87406.25</v>
      </c>
      <c r="BP224">
        <f t="shared" si="173"/>
        <v>85696.25</v>
      </c>
      <c r="BQ224" s="7">
        <f>BO224</f>
        <v>87406.25</v>
      </c>
      <c r="BS224" s="30">
        <f t="shared" si="139"/>
        <v>87850</v>
      </c>
      <c r="BT224" s="4">
        <f t="shared" si="140"/>
        <v>87406.25</v>
      </c>
      <c r="BU224" s="37">
        <f t="shared" si="141"/>
        <v>443.75</v>
      </c>
      <c r="BV224">
        <f t="shared" si="142"/>
        <v>443.75</v>
      </c>
      <c r="BW224" s="35">
        <f t="shared" si="143"/>
        <v>5.0512236767216844E-3</v>
      </c>
    </row>
    <row r="225" spans="1:75">
      <c r="A225" s="1" t="s">
        <v>226</v>
      </c>
      <c r="B225" s="1">
        <v>100000</v>
      </c>
      <c r="Q225">
        <v>222</v>
      </c>
      <c r="R225" s="27" t="str">
        <f t="shared" si="134"/>
        <v>09/04/2024</v>
      </c>
      <c r="S225" s="27">
        <f t="shared" si="134"/>
        <v>86350</v>
      </c>
      <c r="T225" s="4" t="str">
        <f t="shared" si="135"/>
        <v>A8</v>
      </c>
      <c r="V225">
        <v>222</v>
      </c>
      <c r="W225" s="28" t="str">
        <f t="shared" si="133"/>
        <v>09/04/2024</v>
      </c>
      <c r="X225" s="28">
        <f t="shared" si="133"/>
        <v>86350</v>
      </c>
      <c r="Y225" s="28" t="str">
        <f t="shared" si="133"/>
        <v>A8</v>
      </c>
      <c r="Z225" s="5" t="str">
        <f t="shared" si="144"/>
        <v>A8</v>
      </c>
      <c r="AA225" s="5" t="str">
        <f t="shared" si="145"/>
        <v>A8</v>
      </c>
      <c r="AG225" s="29" t="str">
        <f t="shared" si="136"/>
        <v>09/04/2024</v>
      </c>
      <c r="AH225" s="30">
        <f t="shared" si="136"/>
        <v>86350</v>
      </c>
      <c r="AI225" s="4" t="str">
        <f t="shared" si="137"/>
        <v>A8</v>
      </c>
      <c r="AJ225" s="5" t="str">
        <f t="shared" si="146"/>
        <v>A8</v>
      </c>
      <c r="AK225">
        <f t="shared" si="147"/>
        <v>85922.5</v>
      </c>
      <c r="AL225" t="str">
        <f t="shared" si="148"/>
        <v>A8</v>
      </c>
      <c r="AM225">
        <f t="shared" si="149"/>
        <v>85922.5</v>
      </c>
      <c r="AN225" s="6">
        <f t="shared" si="150"/>
        <v>190</v>
      </c>
      <c r="AO225">
        <f t="shared" si="151"/>
        <v>87945</v>
      </c>
      <c r="AP225">
        <f t="shared" si="174"/>
        <v>87755</v>
      </c>
      <c r="AQ225" s="33">
        <f t="shared" si="152"/>
        <v>88040</v>
      </c>
      <c r="AR225" s="33">
        <f t="shared" si="153"/>
        <v>87660</v>
      </c>
      <c r="AS225">
        <f t="shared" si="154"/>
        <v>87897.5</v>
      </c>
      <c r="AT225" s="5">
        <f t="shared" si="155"/>
        <v>87802.5</v>
      </c>
      <c r="AU225" s="5">
        <f t="shared" si="156"/>
        <v>88230</v>
      </c>
      <c r="AV225" s="5">
        <f t="shared" si="157"/>
        <v>87470</v>
      </c>
      <c r="AW225" s="5">
        <f t="shared" si="158"/>
        <v>87881.666666666672</v>
      </c>
      <c r="AX225" s="5">
        <f t="shared" si="159"/>
        <v>87818.333333333328</v>
      </c>
      <c r="AY225" s="5">
        <f t="shared" si="160"/>
        <v>88420</v>
      </c>
      <c r="AZ225" s="5">
        <f t="shared" si="161"/>
        <v>87280</v>
      </c>
      <c r="BB225" s="32" t="str">
        <f t="shared" si="138"/>
        <v>09/04/2024</v>
      </c>
      <c r="BC225" s="33">
        <f t="shared" si="138"/>
        <v>86350</v>
      </c>
      <c r="BD225" s="4" t="str">
        <f t="shared" si="138"/>
        <v>A8</v>
      </c>
      <c r="BE225">
        <f t="shared" si="162"/>
        <v>86933.75</v>
      </c>
      <c r="BF225">
        <f t="shared" si="163"/>
        <v>86838.75</v>
      </c>
      <c r="BG225">
        <f t="shared" si="164"/>
        <v>86981.25</v>
      </c>
      <c r="BH225">
        <f t="shared" si="165"/>
        <v>86791.25</v>
      </c>
      <c r="BI225">
        <f t="shared" si="166"/>
        <v>86910</v>
      </c>
      <c r="BJ225">
        <f t="shared" si="167"/>
        <v>86862.5</v>
      </c>
      <c r="BK225">
        <f t="shared" si="168"/>
        <v>87076.25</v>
      </c>
      <c r="BL225">
        <f t="shared" si="169"/>
        <v>86696.25</v>
      </c>
      <c r="BM225">
        <f t="shared" si="170"/>
        <v>86902.083333333343</v>
      </c>
      <c r="BN225">
        <f t="shared" si="171"/>
        <v>86870.416666666657</v>
      </c>
      <c r="BO225">
        <f t="shared" si="172"/>
        <v>87171.25</v>
      </c>
      <c r="BP225" s="38">
        <f t="shared" si="173"/>
        <v>86601.25</v>
      </c>
      <c r="BQ225" s="7">
        <f>BP225</f>
        <v>86601.25</v>
      </c>
      <c r="BS225" s="30">
        <f t="shared" si="139"/>
        <v>86350</v>
      </c>
      <c r="BT225" s="4">
        <f t="shared" si="140"/>
        <v>86601.25</v>
      </c>
      <c r="BU225" s="37">
        <f t="shared" si="141"/>
        <v>-251.25</v>
      </c>
      <c r="BV225">
        <f t="shared" si="142"/>
        <v>251.25</v>
      </c>
      <c r="BW225" s="35">
        <f t="shared" si="143"/>
        <v>2.9096699478865086E-3</v>
      </c>
    </row>
    <row r="226" spans="1:75">
      <c r="A226" s="1" t="s">
        <v>227</v>
      </c>
      <c r="B226" s="1">
        <v>86820</v>
      </c>
      <c r="Q226">
        <v>223</v>
      </c>
      <c r="R226" s="27" t="str">
        <f t="shared" si="134"/>
        <v>10/04/2024</v>
      </c>
      <c r="S226" s="27">
        <f t="shared" si="134"/>
        <v>90000</v>
      </c>
      <c r="T226" s="4" t="str">
        <f t="shared" si="135"/>
        <v>A9</v>
      </c>
      <c r="V226">
        <v>223</v>
      </c>
      <c r="W226" s="28" t="str">
        <f t="shared" si="133"/>
        <v>10/04/2024</v>
      </c>
      <c r="X226" s="28">
        <f t="shared" si="133"/>
        <v>90000</v>
      </c>
      <c r="Y226" s="28" t="str">
        <f t="shared" si="133"/>
        <v>A9</v>
      </c>
      <c r="Z226" s="5" t="str">
        <f t="shared" si="144"/>
        <v>A8</v>
      </c>
      <c r="AA226" s="5" t="str">
        <f t="shared" si="145"/>
        <v>A8</v>
      </c>
      <c r="AG226" s="29" t="str">
        <f t="shared" si="136"/>
        <v>10/04/2024</v>
      </c>
      <c r="AH226" s="30">
        <f t="shared" si="136"/>
        <v>90000</v>
      </c>
      <c r="AI226" s="4" t="str">
        <f t="shared" si="137"/>
        <v>A9</v>
      </c>
      <c r="AJ226" s="5" t="str">
        <f t="shared" si="146"/>
        <v>A8</v>
      </c>
      <c r="AK226">
        <f t="shared" si="147"/>
        <v>85922.5</v>
      </c>
      <c r="AL226" t="str">
        <f t="shared" si="148"/>
        <v>A8</v>
      </c>
      <c r="AM226">
        <f t="shared" si="149"/>
        <v>85922.5</v>
      </c>
      <c r="AN226" s="6">
        <f t="shared" si="150"/>
        <v>830</v>
      </c>
      <c r="AO226">
        <f t="shared" si="151"/>
        <v>86765</v>
      </c>
      <c r="AP226">
        <f t="shared" si="174"/>
        <v>85935</v>
      </c>
      <c r="AQ226" s="33">
        <f t="shared" si="152"/>
        <v>87180</v>
      </c>
      <c r="AR226" s="33">
        <f t="shared" si="153"/>
        <v>85520</v>
      </c>
      <c r="AS226">
        <f t="shared" si="154"/>
        <v>86557.5</v>
      </c>
      <c r="AT226" s="5">
        <f t="shared" si="155"/>
        <v>86142.5</v>
      </c>
      <c r="AU226" s="5">
        <f t="shared" si="156"/>
        <v>88010</v>
      </c>
      <c r="AV226" s="5">
        <f t="shared" si="157"/>
        <v>84690</v>
      </c>
      <c r="AW226" s="5">
        <f t="shared" si="158"/>
        <v>86488.333333333328</v>
      </c>
      <c r="AX226" s="5">
        <f t="shared" si="159"/>
        <v>86211.666666666672</v>
      </c>
      <c r="AY226" s="5">
        <f t="shared" si="160"/>
        <v>88840</v>
      </c>
      <c r="AZ226" s="5">
        <f t="shared" si="161"/>
        <v>83860</v>
      </c>
      <c r="BB226" s="32" t="str">
        <f t="shared" si="138"/>
        <v>10/04/2024</v>
      </c>
      <c r="BC226" s="33">
        <f t="shared" si="138"/>
        <v>90000</v>
      </c>
      <c r="BD226" s="4" t="str">
        <f t="shared" si="138"/>
        <v>A9</v>
      </c>
      <c r="BE226">
        <f t="shared" si="162"/>
        <v>86343.75</v>
      </c>
      <c r="BF226">
        <f t="shared" si="163"/>
        <v>85928.75</v>
      </c>
      <c r="BG226">
        <f t="shared" si="164"/>
        <v>86551.25</v>
      </c>
      <c r="BH226">
        <f t="shared" si="165"/>
        <v>85721.25</v>
      </c>
      <c r="BI226">
        <f t="shared" si="166"/>
        <v>86240</v>
      </c>
      <c r="BJ226">
        <f t="shared" si="167"/>
        <v>86032.5</v>
      </c>
      <c r="BK226">
        <f t="shared" si="168"/>
        <v>86966.25</v>
      </c>
      <c r="BL226">
        <f t="shared" si="169"/>
        <v>85306.25</v>
      </c>
      <c r="BM226">
        <f t="shared" si="170"/>
        <v>86205.416666666657</v>
      </c>
      <c r="BN226">
        <f t="shared" si="171"/>
        <v>86067.083333333343</v>
      </c>
      <c r="BO226" s="38">
        <f t="shared" si="172"/>
        <v>87381.25</v>
      </c>
      <c r="BP226">
        <f t="shared" si="173"/>
        <v>84891.25</v>
      </c>
      <c r="BQ226" s="7">
        <f>BO226</f>
        <v>87381.25</v>
      </c>
      <c r="BS226" s="30">
        <f t="shared" si="139"/>
        <v>90000</v>
      </c>
      <c r="BT226" s="4">
        <f t="shared" si="140"/>
        <v>87381.25</v>
      </c>
      <c r="BU226" s="37">
        <f t="shared" si="141"/>
        <v>2618.75</v>
      </c>
      <c r="BV226">
        <f t="shared" si="142"/>
        <v>2618.75</v>
      </c>
      <c r="BW226" s="35">
        <f t="shared" si="143"/>
        <v>2.9097222222222222E-2</v>
      </c>
    </row>
    <row r="227" spans="1:75">
      <c r="A227" s="1" t="s">
        <v>228</v>
      </c>
      <c r="B227" s="1">
        <v>89250</v>
      </c>
      <c r="Q227">
        <v>224</v>
      </c>
      <c r="R227" s="27" t="str">
        <f t="shared" si="134"/>
        <v>11/04/2024</v>
      </c>
      <c r="S227" s="27">
        <f t="shared" si="134"/>
        <v>100000</v>
      </c>
      <c r="T227" s="4" t="str">
        <f t="shared" si="135"/>
        <v>A10</v>
      </c>
      <c r="V227">
        <v>224</v>
      </c>
      <c r="W227" s="28" t="str">
        <f t="shared" si="133"/>
        <v>11/04/2024</v>
      </c>
      <c r="X227" s="28">
        <f t="shared" si="133"/>
        <v>100000</v>
      </c>
      <c r="Y227" s="28" t="str">
        <f t="shared" si="133"/>
        <v>A10</v>
      </c>
      <c r="Z227" s="5" t="str">
        <f t="shared" si="144"/>
        <v>A8</v>
      </c>
      <c r="AA227" s="5" t="str">
        <f t="shared" si="145"/>
        <v>A9</v>
      </c>
      <c r="AG227" s="29" t="str">
        <f t="shared" si="136"/>
        <v>11/04/2024</v>
      </c>
      <c r="AH227" s="30">
        <f t="shared" si="136"/>
        <v>100000</v>
      </c>
      <c r="AI227" s="4" t="str">
        <f t="shared" si="137"/>
        <v>A10</v>
      </c>
      <c r="AJ227" s="5" t="str">
        <f t="shared" si="146"/>
        <v>A8</v>
      </c>
      <c r="AK227">
        <f t="shared" si="147"/>
        <v>85922.5</v>
      </c>
      <c r="AL227" t="str">
        <f t="shared" si="148"/>
        <v>A9</v>
      </c>
      <c r="AM227">
        <f t="shared" si="149"/>
        <v>91953.5</v>
      </c>
      <c r="AN227" s="6">
        <f t="shared" si="150"/>
        <v>2150</v>
      </c>
      <c r="AO227">
        <f t="shared" si="151"/>
        <v>91075</v>
      </c>
      <c r="AP227">
        <f t="shared" si="174"/>
        <v>88925</v>
      </c>
      <c r="AQ227" s="33">
        <f t="shared" si="152"/>
        <v>92150</v>
      </c>
      <c r="AR227" s="33">
        <f t="shared" si="153"/>
        <v>87850</v>
      </c>
      <c r="AS227">
        <f t="shared" si="154"/>
        <v>90537.5</v>
      </c>
      <c r="AT227" s="5">
        <f t="shared" si="155"/>
        <v>89462.5</v>
      </c>
      <c r="AU227" s="5">
        <f t="shared" si="156"/>
        <v>94300</v>
      </c>
      <c r="AV227" s="5">
        <f t="shared" si="157"/>
        <v>85700</v>
      </c>
      <c r="AW227" s="5">
        <f t="shared" si="158"/>
        <v>90358.333333333328</v>
      </c>
      <c r="AX227" s="5">
        <f t="shared" si="159"/>
        <v>89641.666666666672</v>
      </c>
      <c r="AY227" s="5">
        <f t="shared" si="160"/>
        <v>96450</v>
      </c>
      <c r="AZ227" s="5">
        <f t="shared" si="161"/>
        <v>83550</v>
      </c>
      <c r="BB227" s="32" t="str">
        <f t="shared" si="138"/>
        <v>11/04/2024</v>
      </c>
      <c r="BC227" s="33">
        <f t="shared" si="138"/>
        <v>100000</v>
      </c>
      <c r="BD227" s="4" t="str">
        <f t="shared" si="138"/>
        <v>A10</v>
      </c>
      <c r="BE227">
        <f t="shared" si="162"/>
        <v>91514.25</v>
      </c>
      <c r="BF227">
        <f t="shared" si="163"/>
        <v>90439.25</v>
      </c>
      <c r="BG227">
        <f t="shared" si="164"/>
        <v>92051.75</v>
      </c>
      <c r="BH227">
        <f t="shared" si="165"/>
        <v>89901.75</v>
      </c>
      <c r="BI227">
        <f t="shared" si="166"/>
        <v>91245.5</v>
      </c>
      <c r="BJ227">
        <f t="shared" si="167"/>
        <v>90708</v>
      </c>
      <c r="BK227">
        <f t="shared" si="168"/>
        <v>93126.75</v>
      </c>
      <c r="BL227">
        <f t="shared" si="169"/>
        <v>88826.75</v>
      </c>
      <c r="BM227">
        <f t="shared" si="170"/>
        <v>91155.916666666657</v>
      </c>
      <c r="BN227">
        <f t="shared" si="171"/>
        <v>90797.583333333343</v>
      </c>
      <c r="BO227" s="38">
        <f t="shared" si="172"/>
        <v>94201.75</v>
      </c>
      <c r="BP227">
        <f t="shared" si="173"/>
        <v>87751.75</v>
      </c>
      <c r="BQ227" s="7">
        <f>BO227</f>
        <v>94201.75</v>
      </c>
      <c r="BS227" s="30">
        <f t="shared" si="139"/>
        <v>100000</v>
      </c>
      <c r="BT227" s="4">
        <f t="shared" si="140"/>
        <v>94201.75</v>
      </c>
      <c r="BU227" s="37">
        <f t="shared" si="141"/>
        <v>5798.25</v>
      </c>
      <c r="BV227">
        <f t="shared" si="142"/>
        <v>5798.25</v>
      </c>
      <c r="BW227" s="35">
        <f t="shared" si="143"/>
        <v>5.7982499999999999E-2</v>
      </c>
    </row>
    <row r="228" spans="1:75">
      <c r="A228" s="1" t="s">
        <v>229</v>
      </c>
      <c r="B228" s="1">
        <v>90080</v>
      </c>
      <c r="Q228">
        <v>225</v>
      </c>
      <c r="R228" s="27" t="str">
        <f t="shared" si="134"/>
        <v>12/04/2024</v>
      </c>
      <c r="S228" s="27">
        <f t="shared" si="134"/>
        <v>86820</v>
      </c>
      <c r="T228" s="4" t="str">
        <f t="shared" si="135"/>
        <v>A8</v>
      </c>
      <c r="V228">
        <v>225</v>
      </c>
      <c r="W228" s="28" t="str">
        <f t="shared" si="133"/>
        <v>12/04/2024</v>
      </c>
      <c r="X228" s="28">
        <f t="shared" si="133"/>
        <v>86820</v>
      </c>
      <c r="Y228" s="28" t="str">
        <f t="shared" si="133"/>
        <v>A8</v>
      </c>
      <c r="Z228" s="5" t="str">
        <f t="shared" si="144"/>
        <v>A9</v>
      </c>
      <c r="AA228" s="5" t="str">
        <f t="shared" si="145"/>
        <v>A10</v>
      </c>
      <c r="AG228" s="29" t="str">
        <f t="shared" si="136"/>
        <v>12/04/2024</v>
      </c>
      <c r="AH228" s="30">
        <f t="shared" si="136"/>
        <v>86820</v>
      </c>
      <c r="AI228" s="4" t="str">
        <f t="shared" si="137"/>
        <v>A8</v>
      </c>
      <c r="AJ228" s="5" t="str">
        <f t="shared" si="146"/>
        <v>A9</v>
      </c>
      <c r="AK228">
        <f t="shared" si="147"/>
        <v>91953.5</v>
      </c>
      <c r="AL228" t="str">
        <f t="shared" si="148"/>
        <v>A10</v>
      </c>
      <c r="AM228">
        <f t="shared" si="149"/>
        <v>97984.5</v>
      </c>
      <c r="AN228" s="6">
        <f t="shared" si="150"/>
        <v>6350</v>
      </c>
      <c r="AO228">
        <f t="shared" si="151"/>
        <v>103175</v>
      </c>
      <c r="AP228">
        <f t="shared" si="174"/>
        <v>96825</v>
      </c>
      <c r="AQ228" s="33">
        <f t="shared" si="152"/>
        <v>106350</v>
      </c>
      <c r="AR228" s="33">
        <f t="shared" si="153"/>
        <v>93650</v>
      </c>
      <c r="AS228">
        <f t="shared" si="154"/>
        <v>101587.5</v>
      </c>
      <c r="AT228" s="5">
        <f t="shared" si="155"/>
        <v>98412.5</v>
      </c>
      <c r="AU228" s="5">
        <f t="shared" si="156"/>
        <v>112700</v>
      </c>
      <c r="AV228" s="5">
        <f t="shared" si="157"/>
        <v>87300</v>
      </c>
      <c r="AW228" s="5">
        <f t="shared" si="158"/>
        <v>101058.33333333333</v>
      </c>
      <c r="AX228" s="5">
        <f t="shared" si="159"/>
        <v>98941.666666666672</v>
      </c>
      <c r="AY228" s="5">
        <f t="shared" si="160"/>
        <v>119050</v>
      </c>
      <c r="AZ228" s="5">
        <f t="shared" si="161"/>
        <v>80950</v>
      </c>
      <c r="BB228" s="32" t="str">
        <f t="shared" si="138"/>
        <v>12/04/2024</v>
      </c>
      <c r="BC228" s="33">
        <f t="shared" si="138"/>
        <v>86820</v>
      </c>
      <c r="BD228" s="4" t="str">
        <f t="shared" si="138"/>
        <v>A8</v>
      </c>
      <c r="BE228">
        <f t="shared" si="162"/>
        <v>100579.75</v>
      </c>
      <c r="BF228">
        <f t="shared" si="163"/>
        <v>97404.75</v>
      </c>
      <c r="BG228">
        <f t="shared" si="164"/>
        <v>102167.25</v>
      </c>
      <c r="BH228">
        <f t="shared" si="165"/>
        <v>95817.25</v>
      </c>
      <c r="BI228">
        <f t="shared" si="166"/>
        <v>99786</v>
      </c>
      <c r="BJ228">
        <f t="shared" si="167"/>
        <v>98198.5</v>
      </c>
      <c r="BK228">
        <f t="shared" si="168"/>
        <v>105342.25</v>
      </c>
      <c r="BL228">
        <f t="shared" si="169"/>
        <v>92642.25</v>
      </c>
      <c r="BM228">
        <f t="shared" si="170"/>
        <v>99521.416666666657</v>
      </c>
      <c r="BN228">
        <f t="shared" si="171"/>
        <v>98463.083333333343</v>
      </c>
      <c r="BO228">
        <f t="shared" si="172"/>
        <v>108517.25</v>
      </c>
      <c r="BP228" s="38">
        <f t="shared" si="173"/>
        <v>89467.25</v>
      </c>
      <c r="BQ228" s="7">
        <f>BP228</f>
        <v>89467.25</v>
      </c>
      <c r="BS228" s="30">
        <f t="shared" si="139"/>
        <v>86820</v>
      </c>
      <c r="BT228" s="4">
        <f t="shared" si="140"/>
        <v>89467.25</v>
      </c>
      <c r="BU228" s="37">
        <f t="shared" si="141"/>
        <v>-2647.25</v>
      </c>
      <c r="BV228">
        <f t="shared" si="142"/>
        <v>2647.25</v>
      </c>
      <c r="BW228" s="35">
        <f t="shared" si="143"/>
        <v>3.04912462566229E-2</v>
      </c>
    </row>
    <row r="229" spans="1:75">
      <c r="A229" s="1" t="s">
        <v>230</v>
      </c>
      <c r="B229" s="1">
        <v>87890</v>
      </c>
      <c r="Q229">
        <v>226</v>
      </c>
      <c r="R229" s="27" t="str">
        <f t="shared" si="134"/>
        <v>13/04/2024</v>
      </c>
      <c r="S229" s="27">
        <f t="shared" si="134"/>
        <v>89250</v>
      </c>
      <c r="T229" s="4" t="str">
        <f t="shared" si="135"/>
        <v>A9</v>
      </c>
      <c r="V229">
        <v>226</v>
      </c>
      <c r="W229" s="28" t="str">
        <f t="shared" si="133"/>
        <v>13/04/2024</v>
      </c>
      <c r="X229" s="28">
        <f t="shared" si="133"/>
        <v>89250</v>
      </c>
      <c r="Y229" s="28" t="str">
        <f t="shared" si="133"/>
        <v>A9</v>
      </c>
      <c r="Z229" s="5" t="str">
        <f t="shared" si="144"/>
        <v>A10</v>
      </c>
      <c r="AA229" s="5" t="str">
        <f t="shared" si="145"/>
        <v>A8</v>
      </c>
      <c r="AG229" s="29" t="str">
        <f t="shared" si="136"/>
        <v>13/04/2024</v>
      </c>
      <c r="AH229" s="30">
        <f t="shared" si="136"/>
        <v>89250</v>
      </c>
      <c r="AI229" s="4" t="str">
        <f t="shared" si="137"/>
        <v>A9</v>
      </c>
      <c r="AJ229" s="5" t="str">
        <f t="shared" si="146"/>
        <v>A10</v>
      </c>
      <c r="AK229">
        <f t="shared" si="147"/>
        <v>97984.5</v>
      </c>
      <c r="AL229" t="str">
        <f t="shared" si="148"/>
        <v>A8</v>
      </c>
      <c r="AM229">
        <f t="shared" si="149"/>
        <v>85922.5</v>
      </c>
      <c r="AN229" s="6">
        <f t="shared" si="150"/>
        <v>3180</v>
      </c>
      <c r="AO229">
        <f t="shared" si="151"/>
        <v>88410</v>
      </c>
      <c r="AP229">
        <f t="shared" si="174"/>
        <v>85230</v>
      </c>
      <c r="AQ229" s="33">
        <f t="shared" si="152"/>
        <v>90000</v>
      </c>
      <c r="AR229" s="33">
        <f t="shared" si="153"/>
        <v>83640</v>
      </c>
      <c r="AS229">
        <f t="shared" si="154"/>
        <v>87615</v>
      </c>
      <c r="AT229" s="5">
        <f t="shared" si="155"/>
        <v>86025</v>
      </c>
      <c r="AU229" s="5">
        <f t="shared" si="156"/>
        <v>93180</v>
      </c>
      <c r="AV229" s="5">
        <f t="shared" si="157"/>
        <v>80460</v>
      </c>
      <c r="AW229" s="5">
        <f t="shared" si="158"/>
        <v>87350</v>
      </c>
      <c r="AX229" s="5">
        <f t="shared" si="159"/>
        <v>86290</v>
      </c>
      <c r="AY229" s="5">
        <f t="shared" si="160"/>
        <v>96360</v>
      </c>
      <c r="AZ229" s="5">
        <f t="shared" si="161"/>
        <v>77280</v>
      </c>
      <c r="BB229" s="32" t="str">
        <f t="shared" si="138"/>
        <v>13/04/2024</v>
      </c>
      <c r="BC229" s="33">
        <f t="shared" si="138"/>
        <v>89250</v>
      </c>
      <c r="BD229" s="4" t="str">
        <f t="shared" si="138"/>
        <v>A9</v>
      </c>
      <c r="BE229">
        <f t="shared" si="162"/>
        <v>87166.25</v>
      </c>
      <c r="BF229">
        <f t="shared" si="163"/>
        <v>85576.25</v>
      </c>
      <c r="BG229">
        <f t="shared" si="164"/>
        <v>87961.25</v>
      </c>
      <c r="BH229">
        <f t="shared" si="165"/>
        <v>84781.25</v>
      </c>
      <c r="BI229">
        <f t="shared" si="166"/>
        <v>86768.75</v>
      </c>
      <c r="BJ229">
        <f t="shared" si="167"/>
        <v>85973.75</v>
      </c>
      <c r="BK229" s="38">
        <f t="shared" si="168"/>
        <v>89551.25</v>
      </c>
      <c r="BL229">
        <f t="shared" si="169"/>
        <v>83191.25</v>
      </c>
      <c r="BM229">
        <f t="shared" si="170"/>
        <v>86636.25</v>
      </c>
      <c r="BN229">
        <f t="shared" si="171"/>
        <v>86106.25</v>
      </c>
      <c r="BO229">
        <f t="shared" si="172"/>
        <v>91141.25</v>
      </c>
      <c r="BP229">
        <f t="shared" si="173"/>
        <v>81601.25</v>
      </c>
      <c r="BQ229" s="7">
        <f>BK229</f>
        <v>89551.25</v>
      </c>
      <c r="BS229" s="30">
        <f t="shared" si="139"/>
        <v>89250</v>
      </c>
      <c r="BT229" s="4">
        <f t="shared" si="140"/>
        <v>89551.25</v>
      </c>
      <c r="BU229" s="37">
        <f t="shared" si="141"/>
        <v>-301.25</v>
      </c>
      <c r="BV229">
        <f t="shared" si="142"/>
        <v>301.25</v>
      </c>
      <c r="BW229" s="35">
        <f t="shared" si="143"/>
        <v>3.3753501400560224E-3</v>
      </c>
    </row>
    <row r="230" spans="1:75">
      <c r="A230" s="1" t="s">
        <v>231</v>
      </c>
      <c r="B230" s="1">
        <v>86390</v>
      </c>
      <c r="Q230">
        <v>227</v>
      </c>
      <c r="R230" s="27" t="str">
        <f t="shared" si="134"/>
        <v>14/04/2024</v>
      </c>
      <c r="S230" s="27">
        <f t="shared" si="134"/>
        <v>90080</v>
      </c>
      <c r="T230" s="4" t="str">
        <f t="shared" si="135"/>
        <v>A9</v>
      </c>
      <c r="V230">
        <v>227</v>
      </c>
      <c r="W230" s="28" t="str">
        <f t="shared" si="133"/>
        <v>14/04/2024</v>
      </c>
      <c r="X230" s="28">
        <f t="shared" si="133"/>
        <v>90080</v>
      </c>
      <c r="Y230" s="28" t="str">
        <f t="shared" si="133"/>
        <v>A9</v>
      </c>
      <c r="Z230" s="5" t="str">
        <f t="shared" si="144"/>
        <v>A8</v>
      </c>
      <c r="AA230" s="5" t="str">
        <f t="shared" si="145"/>
        <v>A9</v>
      </c>
      <c r="AG230" s="29" t="str">
        <f t="shared" si="136"/>
        <v>14/04/2024</v>
      </c>
      <c r="AH230" s="30">
        <f t="shared" si="136"/>
        <v>90080</v>
      </c>
      <c r="AI230" s="4" t="str">
        <f t="shared" si="137"/>
        <v>A9</v>
      </c>
      <c r="AJ230" s="5" t="str">
        <f t="shared" si="146"/>
        <v>A8</v>
      </c>
      <c r="AK230">
        <f t="shared" si="147"/>
        <v>85922.5</v>
      </c>
      <c r="AL230" t="str">
        <f t="shared" si="148"/>
        <v>A9</v>
      </c>
      <c r="AM230">
        <f t="shared" si="149"/>
        <v>91953.5</v>
      </c>
      <c r="AN230" s="6">
        <f t="shared" si="150"/>
        <v>10750</v>
      </c>
      <c r="AO230">
        <f t="shared" si="151"/>
        <v>94625</v>
      </c>
      <c r="AP230">
        <f t="shared" si="174"/>
        <v>83875</v>
      </c>
      <c r="AQ230" s="33">
        <f t="shared" si="152"/>
        <v>100000</v>
      </c>
      <c r="AR230" s="33">
        <f t="shared" si="153"/>
        <v>78500</v>
      </c>
      <c r="AS230">
        <f t="shared" si="154"/>
        <v>91937.5</v>
      </c>
      <c r="AT230" s="5">
        <f t="shared" si="155"/>
        <v>86562.5</v>
      </c>
      <c r="AU230" s="5">
        <f t="shared" si="156"/>
        <v>110750</v>
      </c>
      <c r="AV230" s="5">
        <f t="shared" si="157"/>
        <v>67750</v>
      </c>
      <c r="AW230" s="5">
        <f t="shared" si="158"/>
        <v>91041.666666666672</v>
      </c>
      <c r="AX230" s="5">
        <f t="shared" si="159"/>
        <v>87458.333333333328</v>
      </c>
      <c r="AY230" s="5">
        <f t="shared" si="160"/>
        <v>121500</v>
      </c>
      <c r="AZ230" s="5">
        <f t="shared" si="161"/>
        <v>57000</v>
      </c>
      <c r="BB230" s="32" t="str">
        <f t="shared" si="138"/>
        <v>14/04/2024</v>
      </c>
      <c r="BC230" s="33">
        <f t="shared" si="138"/>
        <v>90080</v>
      </c>
      <c r="BD230" s="4" t="str">
        <f t="shared" si="138"/>
        <v>A9</v>
      </c>
      <c r="BE230">
        <f t="shared" si="162"/>
        <v>93289.25</v>
      </c>
      <c r="BF230">
        <f t="shared" si="163"/>
        <v>87914.25</v>
      </c>
      <c r="BG230">
        <f t="shared" si="164"/>
        <v>95976.75</v>
      </c>
      <c r="BH230">
        <f t="shared" si="165"/>
        <v>85226.75</v>
      </c>
      <c r="BI230">
        <f t="shared" si="166"/>
        <v>91945.5</v>
      </c>
      <c r="BJ230">
        <f t="shared" si="167"/>
        <v>89258</v>
      </c>
      <c r="BK230">
        <f t="shared" si="168"/>
        <v>101351.75</v>
      </c>
      <c r="BL230">
        <f t="shared" si="169"/>
        <v>79851.75</v>
      </c>
      <c r="BM230">
        <f t="shared" si="170"/>
        <v>91497.583333333343</v>
      </c>
      <c r="BN230" s="38">
        <f t="shared" si="171"/>
        <v>89705.916666666657</v>
      </c>
      <c r="BO230">
        <f t="shared" si="172"/>
        <v>106726.75</v>
      </c>
      <c r="BP230">
        <f t="shared" si="173"/>
        <v>74476.75</v>
      </c>
      <c r="BQ230" s="7">
        <f>BN230</f>
        <v>89705.916666666657</v>
      </c>
      <c r="BS230" s="30">
        <f t="shared" si="139"/>
        <v>90080</v>
      </c>
      <c r="BT230" s="4">
        <f t="shared" si="140"/>
        <v>89705.916666666657</v>
      </c>
      <c r="BU230" s="37">
        <f t="shared" si="141"/>
        <v>374.08333333334303</v>
      </c>
      <c r="BV230">
        <f t="shared" si="142"/>
        <v>374.08333333334303</v>
      </c>
      <c r="BW230" s="35">
        <f t="shared" si="143"/>
        <v>4.1527901124927069E-3</v>
      </c>
    </row>
    <row r="231" spans="1:75">
      <c r="A231" s="1" t="s">
        <v>232</v>
      </c>
      <c r="B231" s="1">
        <v>84200</v>
      </c>
      <c r="Q231">
        <v>228</v>
      </c>
      <c r="R231" s="27" t="str">
        <f t="shared" si="134"/>
        <v>15/04/2024</v>
      </c>
      <c r="S231" s="27">
        <f t="shared" si="134"/>
        <v>87890</v>
      </c>
      <c r="T231" s="4" t="str">
        <f t="shared" si="135"/>
        <v>A8</v>
      </c>
      <c r="V231">
        <v>228</v>
      </c>
      <c r="W231" s="28" t="str">
        <f t="shared" si="133"/>
        <v>15/04/2024</v>
      </c>
      <c r="X231" s="28">
        <f t="shared" si="133"/>
        <v>87890</v>
      </c>
      <c r="Y231" s="28" t="str">
        <f t="shared" si="133"/>
        <v>A8</v>
      </c>
      <c r="Z231" s="5" t="str">
        <f t="shared" si="144"/>
        <v>A9</v>
      </c>
      <c r="AA231" s="5" t="str">
        <f t="shared" si="145"/>
        <v>A9</v>
      </c>
      <c r="AG231" s="29" t="str">
        <f t="shared" si="136"/>
        <v>15/04/2024</v>
      </c>
      <c r="AH231" s="30">
        <f t="shared" si="136"/>
        <v>87890</v>
      </c>
      <c r="AI231" s="4" t="str">
        <f t="shared" si="137"/>
        <v>A8</v>
      </c>
      <c r="AJ231" s="5" t="str">
        <f t="shared" si="146"/>
        <v>A9</v>
      </c>
      <c r="AK231">
        <f t="shared" si="147"/>
        <v>91953.5</v>
      </c>
      <c r="AL231" t="str">
        <f t="shared" si="148"/>
        <v>A9</v>
      </c>
      <c r="AM231">
        <f t="shared" si="149"/>
        <v>91953.5</v>
      </c>
      <c r="AN231" s="6">
        <f t="shared" si="150"/>
        <v>1600</v>
      </c>
      <c r="AO231">
        <f t="shared" si="151"/>
        <v>90880</v>
      </c>
      <c r="AP231">
        <f t="shared" si="174"/>
        <v>89280</v>
      </c>
      <c r="AQ231" s="33">
        <f t="shared" si="152"/>
        <v>91680</v>
      </c>
      <c r="AR231" s="33">
        <f t="shared" si="153"/>
        <v>88480</v>
      </c>
      <c r="AS231">
        <f t="shared" si="154"/>
        <v>90480</v>
      </c>
      <c r="AT231" s="5">
        <f t="shared" si="155"/>
        <v>89680</v>
      </c>
      <c r="AU231" s="5">
        <f t="shared" si="156"/>
        <v>93280</v>
      </c>
      <c r="AV231" s="5">
        <f t="shared" si="157"/>
        <v>86880</v>
      </c>
      <c r="AW231" s="5">
        <f t="shared" si="158"/>
        <v>90346.666666666672</v>
      </c>
      <c r="AX231" s="5">
        <f t="shared" si="159"/>
        <v>89813.333333333328</v>
      </c>
      <c r="AY231" s="5">
        <f t="shared" si="160"/>
        <v>94880</v>
      </c>
      <c r="AZ231" s="5">
        <f t="shared" si="161"/>
        <v>85280</v>
      </c>
      <c r="BB231" s="32" t="str">
        <f t="shared" si="138"/>
        <v>15/04/2024</v>
      </c>
      <c r="BC231" s="33">
        <f t="shared" si="138"/>
        <v>87890</v>
      </c>
      <c r="BD231" s="4" t="str">
        <f t="shared" si="138"/>
        <v>A8</v>
      </c>
      <c r="BE231">
        <f t="shared" si="162"/>
        <v>91416.75</v>
      </c>
      <c r="BF231">
        <f t="shared" si="163"/>
        <v>90616.75</v>
      </c>
      <c r="BG231">
        <f t="shared" si="164"/>
        <v>91816.75</v>
      </c>
      <c r="BH231">
        <f t="shared" si="165"/>
        <v>90216.75</v>
      </c>
      <c r="BI231">
        <f t="shared" si="166"/>
        <v>91216.75</v>
      </c>
      <c r="BJ231">
        <f t="shared" si="167"/>
        <v>90816.75</v>
      </c>
      <c r="BK231">
        <f t="shared" si="168"/>
        <v>92616.75</v>
      </c>
      <c r="BL231">
        <f t="shared" si="169"/>
        <v>89416.75</v>
      </c>
      <c r="BM231">
        <f t="shared" si="170"/>
        <v>91150.083333333343</v>
      </c>
      <c r="BN231">
        <f t="shared" si="171"/>
        <v>90883.416666666657</v>
      </c>
      <c r="BO231">
        <f t="shared" si="172"/>
        <v>93416.75</v>
      </c>
      <c r="BP231" s="38">
        <f t="shared" si="173"/>
        <v>88616.75</v>
      </c>
      <c r="BQ231" s="7">
        <f>BP231</f>
        <v>88616.75</v>
      </c>
      <c r="BS231" s="30">
        <f t="shared" si="139"/>
        <v>87890</v>
      </c>
      <c r="BT231" s="4">
        <f t="shared" si="140"/>
        <v>88616.75</v>
      </c>
      <c r="BU231" s="37">
        <f t="shared" si="141"/>
        <v>-726.75</v>
      </c>
      <c r="BV231">
        <f t="shared" si="142"/>
        <v>726.75</v>
      </c>
      <c r="BW231" s="35">
        <f t="shared" si="143"/>
        <v>8.2688588007736943E-3</v>
      </c>
    </row>
    <row r="232" spans="1:75">
      <c r="A232" s="1" t="s">
        <v>233</v>
      </c>
      <c r="B232" s="1">
        <v>84260</v>
      </c>
      <c r="Q232">
        <v>229</v>
      </c>
      <c r="R232" s="27" t="str">
        <f t="shared" si="134"/>
        <v>16/04/2024</v>
      </c>
      <c r="S232" s="27">
        <f t="shared" si="134"/>
        <v>86390</v>
      </c>
      <c r="T232" s="4" t="str">
        <f t="shared" si="135"/>
        <v>A8</v>
      </c>
      <c r="V232">
        <v>229</v>
      </c>
      <c r="W232" s="28" t="str">
        <f t="shared" si="133"/>
        <v>16/04/2024</v>
      </c>
      <c r="X232" s="28">
        <f t="shared" si="133"/>
        <v>86390</v>
      </c>
      <c r="Y232" s="28" t="str">
        <f t="shared" si="133"/>
        <v>A8</v>
      </c>
      <c r="Z232" s="5" t="str">
        <f t="shared" si="144"/>
        <v>A9</v>
      </c>
      <c r="AA232" s="5" t="str">
        <f t="shared" si="145"/>
        <v>A8</v>
      </c>
      <c r="AG232" s="29" t="str">
        <f t="shared" si="136"/>
        <v>16/04/2024</v>
      </c>
      <c r="AH232" s="30">
        <f t="shared" si="136"/>
        <v>86390</v>
      </c>
      <c r="AI232" s="4" t="str">
        <f t="shared" si="137"/>
        <v>A8</v>
      </c>
      <c r="AJ232" s="5" t="str">
        <f t="shared" si="146"/>
        <v>A9</v>
      </c>
      <c r="AK232">
        <f t="shared" si="147"/>
        <v>91953.5</v>
      </c>
      <c r="AL232" t="str">
        <f t="shared" si="148"/>
        <v>A8</v>
      </c>
      <c r="AM232">
        <f t="shared" si="149"/>
        <v>85922.5</v>
      </c>
      <c r="AN232" s="6">
        <f t="shared" si="150"/>
        <v>1360</v>
      </c>
      <c r="AO232">
        <f t="shared" si="151"/>
        <v>88570</v>
      </c>
      <c r="AP232">
        <f t="shared" si="174"/>
        <v>87210</v>
      </c>
      <c r="AQ232" s="33">
        <f t="shared" si="152"/>
        <v>89250</v>
      </c>
      <c r="AR232" s="33">
        <f t="shared" si="153"/>
        <v>86530</v>
      </c>
      <c r="AS232">
        <f t="shared" si="154"/>
        <v>88230</v>
      </c>
      <c r="AT232" s="5">
        <f t="shared" si="155"/>
        <v>87550</v>
      </c>
      <c r="AU232" s="5">
        <f t="shared" si="156"/>
        <v>90610</v>
      </c>
      <c r="AV232" s="5">
        <f t="shared" si="157"/>
        <v>85170</v>
      </c>
      <c r="AW232" s="5">
        <f t="shared" si="158"/>
        <v>88116.666666666672</v>
      </c>
      <c r="AX232" s="5">
        <f t="shared" si="159"/>
        <v>87663.333333333328</v>
      </c>
      <c r="AY232" s="5">
        <f t="shared" si="160"/>
        <v>91970</v>
      </c>
      <c r="AZ232" s="5">
        <f t="shared" si="161"/>
        <v>83810</v>
      </c>
      <c r="BB232" s="32" t="str">
        <f t="shared" si="138"/>
        <v>16/04/2024</v>
      </c>
      <c r="BC232" s="33">
        <f t="shared" si="138"/>
        <v>86390</v>
      </c>
      <c r="BD232" s="4" t="str">
        <f t="shared" si="138"/>
        <v>A8</v>
      </c>
      <c r="BE232">
        <f t="shared" si="162"/>
        <v>87246.25</v>
      </c>
      <c r="BF232">
        <f t="shared" si="163"/>
        <v>86566.25</v>
      </c>
      <c r="BG232">
        <f t="shared" si="164"/>
        <v>87586.25</v>
      </c>
      <c r="BH232" s="38">
        <f t="shared" si="165"/>
        <v>86226.25</v>
      </c>
      <c r="BI232">
        <f t="shared" si="166"/>
        <v>87076.25</v>
      </c>
      <c r="BJ232">
        <f t="shared" si="167"/>
        <v>86736.25</v>
      </c>
      <c r="BK232">
        <f t="shared" si="168"/>
        <v>88266.25</v>
      </c>
      <c r="BL232">
        <f t="shared" si="169"/>
        <v>85546.25</v>
      </c>
      <c r="BM232">
        <f t="shared" si="170"/>
        <v>87019.583333333343</v>
      </c>
      <c r="BN232">
        <f t="shared" si="171"/>
        <v>86792.916666666657</v>
      </c>
      <c r="BO232">
        <f t="shared" si="172"/>
        <v>88946.25</v>
      </c>
      <c r="BP232">
        <f t="shared" si="173"/>
        <v>84866.25</v>
      </c>
      <c r="BQ232" s="7">
        <f>BH232</f>
        <v>86226.25</v>
      </c>
      <c r="BS232" s="30">
        <f t="shared" si="139"/>
        <v>86390</v>
      </c>
      <c r="BT232" s="4">
        <f t="shared" si="140"/>
        <v>86226.25</v>
      </c>
      <c r="BU232" s="37">
        <f t="shared" si="141"/>
        <v>163.75</v>
      </c>
      <c r="BV232">
        <f t="shared" si="142"/>
        <v>163.75</v>
      </c>
      <c r="BW232" s="35">
        <f t="shared" si="143"/>
        <v>1.8954740131959717E-3</v>
      </c>
    </row>
    <row r="233" spans="1:75">
      <c r="A233" s="1" t="s">
        <v>234</v>
      </c>
      <c r="B233" s="1">
        <v>82360</v>
      </c>
      <c r="Q233">
        <v>230</v>
      </c>
      <c r="R233" s="27" t="str">
        <f t="shared" si="134"/>
        <v>17/04/2024</v>
      </c>
      <c r="S233" s="27">
        <f t="shared" si="134"/>
        <v>84200</v>
      </c>
      <c r="T233" s="4" t="str">
        <f t="shared" si="135"/>
        <v>A8</v>
      </c>
      <c r="V233">
        <v>230</v>
      </c>
      <c r="W233" s="28" t="str">
        <f t="shared" si="133"/>
        <v>17/04/2024</v>
      </c>
      <c r="X233" s="28">
        <f t="shared" si="133"/>
        <v>84200</v>
      </c>
      <c r="Y233" s="28" t="str">
        <f t="shared" si="133"/>
        <v>A8</v>
      </c>
      <c r="Z233" s="5" t="str">
        <f t="shared" si="144"/>
        <v>A8</v>
      </c>
      <c r="AA233" s="5" t="str">
        <f t="shared" si="145"/>
        <v>A8</v>
      </c>
      <c r="AG233" s="29" t="str">
        <f t="shared" si="136"/>
        <v>17/04/2024</v>
      </c>
      <c r="AH233" s="30">
        <f t="shared" si="136"/>
        <v>84200</v>
      </c>
      <c r="AI233" s="4" t="str">
        <f t="shared" si="137"/>
        <v>A8</v>
      </c>
      <c r="AJ233" s="5" t="str">
        <f t="shared" si="146"/>
        <v>A8</v>
      </c>
      <c r="AK233">
        <f t="shared" si="147"/>
        <v>85922.5</v>
      </c>
      <c r="AL233" t="str">
        <f t="shared" si="148"/>
        <v>A8</v>
      </c>
      <c r="AM233">
        <f t="shared" si="149"/>
        <v>85922.5</v>
      </c>
      <c r="AN233" s="6">
        <f t="shared" si="150"/>
        <v>690</v>
      </c>
      <c r="AO233">
        <f t="shared" si="151"/>
        <v>86735</v>
      </c>
      <c r="AP233">
        <f t="shared" si="174"/>
        <v>86045</v>
      </c>
      <c r="AQ233" s="33">
        <f t="shared" si="152"/>
        <v>87080</v>
      </c>
      <c r="AR233" s="33">
        <f t="shared" si="153"/>
        <v>85700</v>
      </c>
      <c r="AS233">
        <f t="shared" si="154"/>
        <v>86562.5</v>
      </c>
      <c r="AT233" s="5">
        <f t="shared" si="155"/>
        <v>86217.5</v>
      </c>
      <c r="AU233" s="5">
        <f t="shared" si="156"/>
        <v>87770</v>
      </c>
      <c r="AV233" s="5">
        <f t="shared" si="157"/>
        <v>85010</v>
      </c>
      <c r="AW233" s="5">
        <f t="shared" si="158"/>
        <v>86505</v>
      </c>
      <c r="AX233" s="5">
        <f t="shared" si="159"/>
        <v>86275</v>
      </c>
      <c r="AY233" s="5">
        <f t="shared" si="160"/>
        <v>88460</v>
      </c>
      <c r="AZ233" s="5">
        <f t="shared" si="161"/>
        <v>84320</v>
      </c>
      <c r="BB233" s="32" t="str">
        <f t="shared" si="138"/>
        <v>17/04/2024</v>
      </c>
      <c r="BC233" s="33">
        <f t="shared" si="138"/>
        <v>84200</v>
      </c>
      <c r="BD233" s="4" t="str">
        <f t="shared" si="138"/>
        <v>A8</v>
      </c>
      <c r="BE233">
        <f t="shared" si="162"/>
        <v>86328.75</v>
      </c>
      <c r="BF233">
        <f t="shared" si="163"/>
        <v>85983.75</v>
      </c>
      <c r="BG233">
        <f t="shared" si="164"/>
        <v>86501.25</v>
      </c>
      <c r="BH233">
        <f t="shared" si="165"/>
        <v>85811.25</v>
      </c>
      <c r="BI233">
        <f t="shared" si="166"/>
        <v>86242.5</v>
      </c>
      <c r="BJ233">
        <f t="shared" si="167"/>
        <v>86070</v>
      </c>
      <c r="BK233">
        <f t="shared" si="168"/>
        <v>86846.25</v>
      </c>
      <c r="BL233">
        <f t="shared" si="169"/>
        <v>85466.25</v>
      </c>
      <c r="BM233">
        <f t="shared" si="170"/>
        <v>86213.75</v>
      </c>
      <c r="BN233">
        <f t="shared" si="171"/>
        <v>86098.75</v>
      </c>
      <c r="BO233">
        <f t="shared" si="172"/>
        <v>87191.25</v>
      </c>
      <c r="BP233" s="38">
        <f t="shared" si="173"/>
        <v>85121.25</v>
      </c>
      <c r="BQ233" s="7">
        <f>BP233</f>
        <v>85121.25</v>
      </c>
      <c r="BS233" s="30">
        <f t="shared" si="139"/>
        <v>84200</v>
      </c>
      <c r="BT233" s="4">
        <f t="shared" si="140"/>
        <v>85121.25</v>
      </c>
      <c r="BU233" s="37">
        <f t="shared" si="141"/>
        <v>-921.25</v>
      </c>
      <c r="BV233">
        <f t="shared" si="142"/>
        <v>921.25</v>
      </c>
      <c r="BW233" s="35">
        <f t="shared" si="143"/>
        <v>1.0941211401425179E-2</v>
      </c>
    </row>
    <row r="234" spans="1:75">
      <c r="A234" s="1" t="s">
        <v>235</v>
      </c>
      <c r="B234" s="1">
        <v>83100</v>
      </c>
      <c r="Q234">
        <v>231</v>
      </c>
      <c r="R234" s="27" t="str">
        <f t="shared" si="134"/>
        <v>18/04/2024</v>
      </c>
      <c r="S234" s="27">
        <f t="shared" si="134"/>
        <v>84260</v>
      </c>
      <c r="T234" s="4" t="str">
        <f t="shared" si="135"/>
        <v>A8</v>
      </c>
      <c r="V234">
        <v>231</v>
      </c>
      <c r="W234" s="28" t="str">
        <f t="shared" si="133"/>
        <v>18/04/2024</v>
      </c>
      <c r="X234" s="28">
        <f t="shared" si="133"/>
        <v>84260</v>
      </c>
      <c r="Y234" s="28" t="str">
        <f t="shared" si="133"/>
        <v>A8</v>
      </c>
      <c r="Z234" s="5" t="str">
        <f t="shared" si="144"/>
        <v>A8</v>
      </c>
      <c r="AA234" s="5" t="str">
        <f t="shared" si="145"/>
        <v>A8</v>
      </c>
      <c r="AG234" s="29" t="str">
        <f t="shared" si="136"/>
        <v>18/04/2024</v>
      </c>
      <c r="AH234" s="30">
        <f t="shared" si="136"/>
        <v>84260</v>
      </c>
      <c r="AI234" s="4" t="str">
        <f t="shared" si="137"/>
        <v>A8</v>
      </c>
      <c r="AJ234" s="5" t="str">
        <f t="shared" si="146"/>
        <v>A8</v>
      </c>
      <c r="AK234">
        <f t="shared" si="147"/>
        <v>85922.5</v>
      </c>
      <c r="AL234" t="str">
        <f t="shared" si="148"/>
        <v>A8</v>
      </c>
      <c r="AM234">
        <f t="shared" si="149"/>
        <v>85922.5</v>
      </c>
      <c r="AN234" s="6">
        <f t="shared" si="150"/>
        <v>690</v>
      </c>
      <c r="AO234">
        <f t="shared" si="151"/>
        <v>84545</v>
      </c>
      <c r="AP234">
        <f t="shared" si="174"/>
        <v>83855</v>
      </c>
      <c r="AQ234" s="33">
        <f t="shared" si="152"/>
        <v>84890</v>
      </c>
      <c r="AR234" s="33">
        <f t="shared" si="153"/>
        <v>83510</v>
      </c>
      <c r="AS234">
        <f t="shared" si="154"/>
        <v>84372.5</v>
      </c>
      <c r="AT234" s="5">
        <f t="shared" si="155"/>
        <v>84027.5</v>
      </c>
      <c r="AU234" s="5">
        <f t="shared" si="156"/>
        <v>85580</v>
      </c>
      <c r="AV234" s="5">
        <f t="shared" si="157"/>
        <v>82820</v>
      </c>
      <c r="AW234" s="5">
        <f t="shared" si="158"/>
        <v>84315</v>
      </c>
      <c r="AX234" s="5">
        <f t="shared" si="159"/>
        <v>84085</v>
      </c>
      <c r="AY234" s="5">
        <f t="shared" si="160"/>
        <v>86270</v>
      </c>
      <c r="AZ234" s="5">
        <f t="shared" si="161"/>
        <v>82130</v>
      </c>
      <c r="BB234" s="32" t="str">
        <f t="shared" si="138"/>
        <v>18/04/2024</v>
      </c>
      <c r="BC234" s="33">
        <f t="shared" si="138"/>
        <v>84260</v>
      </c>
      <c r="BD234" s="4" t="str">
        <f t="shared" si="138"/>
        <v>A8</v>
      </c>
      <c r="BE234">
        <f t="shared" si="162"/>
        <v>85233.75</v>
      </c>
      <c r="BF234">
        <f t="shared" si="163"/>
        <v>84888.75</v>
      </c>
      <c r="BG234">
        <f t="shared" si="164"/>
        <v>85406.25</v>
      </c>
      <c r="BH234">
        <f t="shared" si="165"/>
        <v>84716.25</v>
      </c>
      <c r="BI234">
        <f t="shared" si="166"/>
        <v>85147.5</v>
      </c>
      <c r="BJ234">
        <f t="shared" si="167"/>
        <v>84975</v>
      </c>
      <c r="BK234">
        <f t="shared" si="168"/>
        <v>85751.25</v>
      </c>
      <c r="BL234" s="38">
        <f t="shared" si="169"/>
        <v>84371.25</v>
      </c>
      <c r="BM234">
        <f t="shared" si="170"/>
        <v>85118.75</v>
      </c>
      <c r="BN234">
        <f t="shared" si="171"/>
        <v>85003.75</v>
      </c>
      <c r="BO234">
        <f t="shared" si="172"/>
        <v>86096.25</v>
      </c>
      <c r="BP234">
        <f t="shared" si="173"/>
        <v>84026.25</v>
      </c>
      <c r="BQ234" s="7">
        <f>BL234</f>
        <v>84371.25</v>
      </c>
      <c r="BS234" s="30">
        <f t="shared" si="139"/>
        <v>84260</v>
      </c>
      <c r="BT234" s="4">
        <f t="shared" si="140"/>
        <v>84371.25</v>
      </c>
      <c r="BU234" s="37">
        <f t="shared" si="141"/>
        <v>-111.25</v>
      </c>
      <c r="BV234">
        <f t="shared" si="142"/>
        <v>111.25</v>
      </c>
      <c r="BW234" s="35">
        <f t="shared" si="143"/>
        <v>1.3203180631379064E-3</v>
      </c>
    </row>
    <row r="235" spans="1:75">
      <c r="A235" s="1" t="s">
        <v>236</v>
      </c>
      <c r="B235" s="1">
        <v>83290</v>
      </c>
      <c r="Q235">
        <v>232</v>
      </c>
      <c r="R235" s="27" t="str">
        <f t="shared" si="134"/>
        <v>19/04/2024</v>
      </c>
      <c r="S235" s="27">
        <f t="shared" si="134"/>
        <v>82360</v>
      </c>
      <c r="T235" s="4" t="str">
        <f t="shared" si="135"/>
        <v>A7</v>
      </c>
      <c r="V235">
        <v>232</v>
      </c>
      <c r="W235" s="28" t="str">
        <f t="shared" si="133"/>
        <v>19/04/2024</v>
      </c>
      <c r="X235" s="28">
        <f t="shared" si="133"/>
        <v>82360</v>
      </c>
      <c r="Y235" s="28" t="str">
        <f t="shared" si="133"/>
        <v>A7</v>
      </c>
      <c r="Z235" s="5" t="str">
        <f t="shared" si="144"/>
        <v>A8</v>
      </c>
      <c r="AA235" s="5" t="str">
        <f t="shared" si="145"/>
        <v>A8</v>
      </c>
      <c r="AG235" s="29" t="str">
        <f t="shared" si="136"/>
        <v>19/04/2024</v>
      </c>
      <c r="AH235" s="30">
        <f t="shared" si="136"/>
        <v>82360</v>
      </c>
      <c r="AI235" s="4" t="str">
        <f t="shared" si="137"/>
        <v>A7</v>
      </c>
      <c r="AJ235" s="5" t="str">
        <f t="shared" si="146"/>
        <v>A8</v>
      </c>
      <c r="AK235">
        <f t="shared" si="147"/>
        <v>85922.5</v>
      </c>
      <c r="AL235" t="str">
        <f t="shared" si="148"/>
        <v>A8</v>
      </c>
      <c r="AM235">
        <f t="shared" si="149"/>
        <v>85922.5</v>
      </c>
      <c r="AN235" s="6">
        <f t="shared" si="150"/>
        <v>2130</v>
      </c>
      <c r="AO235">
        <f t="shared" si="151"/>
        <v>85325</v>
      </c>
      <c r="AP235">
        <f t="shared" si="174"/>
        <v>83195</v>
      </c>
      <c r="AQ235" s="33">
        <f t="shared" si="152"/>
        <v>86390</v>
      </c>
      <c r="AR235" s="33">
        <f t="shared" si="153"/>
        <v>82130</v>
      </c>
      <c r="AS235">
        <f t="shared" si="154"/>
        <v>84792.5</v>
      </c>
      <c r="AT235" s="5">
        <f t="shared" si="155"/>
        <v>83727.5</v>
      </c>
      <c r="AU235" s="5">
        <f t="shared" si="156"/>
        <v>88520</v>
      </c>
      <c r="AV235" s="5">
        <f t="shared" si="157"/>
        <v>80000</v>
      </c>
      <c r="AW235" s="5">
        <f t="shared" si="158"/>
        <v>84615</v>
      </c>
      <c r="AX235" s="5">
        <f t="shared" si="159"/>
        <v>83905</v>
      </c>
      <c r="AY235" s="5">
        <f t="shared" si="160"/>
        <v>90650</v>
      </c>
      <c r="AZ235" s="5">
        <f t="shared" si="161"/>
        <v>77870</v>
      </c>
      <c r="BB235" s="32" t="str">
        <f t="shared" si="138"/>
        <v>19/04/2024</v>
      </c>
      <c r="BC235" s="33">
        <f t="shared" si="138"/>
        <v>82360</v>
      </c>
      <c r="BD235" s="4" t="str">
        <f t="shared" si="138"/>
        <v>A7</v>
      </c>
      <c r="BE235">
        <f t="shared" si="162"/>
        <v>85623.75</v>
      </c>
      <c r="BF235">
        <f t="shared" si="163"/>
        <v>84558.75</v>
      </c>
      <c r="BG235">
        <f t="shared" si="164"/>
        <v>86156.25</v>
      </c>
      <c r="BH235">
        <f t="shared" si="165"/>
        <v>84026.25</v>
      </c>
      <c r="BI235">
        <f t="shared" si="166"/>
        <v>85357.5</v>
      </c>
      <c r="BJ235">
        <f t="shared" si="167"/>
        <v>84825</v>
      </c>
      <c r="BK235">
        <f t="shared" si="168"/>
        <v>87221.25</v>
      </c>
      <c r="BL235" s="38">
        <f t="shared" si="169"/>
        <v>82961.25</v>
      </c>
      <c r="BM235">
        <f t="shared" si="170"/>
        <v>85268.75</v>
      </c>
      <c r="BN235">
        <f t="shared" si="171"/>
        <v>84913.75</v>
      </c>
      <c r="BO235">
        <f t="shared" si="172"/>
        <v>88286.25</v>
      </c>
      <c r="BP235">
        <f t="shared" si="173"/>
        <v>81896.25</v>
      </c>
      <c r="BQ235" s="7">
        <f>BL235</f>
        <v>82961.25</v>
      </c>
      <c r="BS235" s="30">
        <f t="shared" si="139"/>
        <v>82360</v>
      </c>
      <c r="BT235" s="4">
        <f t="shared" si="140"/>
        <v>82961.25</v>
      </c>
      <c r="BU235" s="37">
        <f t="shared" si="141"/>
        <v>-601.25</v>
      </c>
      <c r="BV235">
        <f t="shared" si="142"/>
        <v>601.25</v>
      </c>
      <c r="BW235" s="35">
        <f t="shared" si="143"/>
        <v>7.3002671199611461E-3</v>
      </c>
    </row>
    <row r="236" spans="1:75">
      <c r="A236" s="1" t="s">
        <v>237</v>
      </c>
      <c r="B236" s="1">
        <v>82820</v>
      </c>
      <c r="Q236">
        <v>233</v>
      </c>
      <c r="R236" s="27" t="str">
        <f t="shared" si="134"/>
        <v>20/04/2024</v>
      </c>
      <c r="S236" s="27">
        <f t="shared" si="134"/>
        <v>83100</v>
      </c>
      <c r="T236" s="4" t="str">
        <f t="shared" si="135"/>
        <v>A8</v>
      </c>
      <c r="V236">
        <v>233</v>
      </c>
      <c r="W236" s="28" t="str">
        <f t="shared" si="133"/>
        <v>20/04/2024</v>
      </c>
      <c r="X236" s="28">
        <f t="shared" si="133"/>
        <v>83100</v>
      </c>
      <c r="Y236" s="28" t="str">
        <f t="shared" si="133"/>
        <v>A8</v>
      </c>
      <c r="Z236" s="5" t="str">
        <f t="shared" si="144"/>
        <v>A8</v>
      </c>
      <c r="AA236" s="5" t="str">
        <f t="shared" si="145"/>
        <v>A7</v>
      </c>
      <c r="AG236" s="29" t="str">
        <f t="shared" si="136"/>
        <v>20/04/2024</v>
      </c>
      <c r="AH236" s="30">
        <f t="shared" si="136"/>
        <v>83100</v>
      </c>
      <c r="AI236" s="4" t="str">
        <f t="shared" si="137"/>
        <v>A8</v>
      </c>
      <c r="AJ236" s="5" t="str">
        <f t="shared" si="146"/>
        <v>A8</v>
      </c>
      <c r="AK236">
        <f t="shared" si="147"/>
        <v>85922.5</v>
      </c>
      <c r="AL236" t="str">
        <f t="shared" si="148"/>
        <v>A7</v>
      </c>
      <c r="AM236">
        <f t="shared" si="149"/>
        <v>79891.5</v>
      </c>
      <c r="AN236" s="6">
        <f t="shared" si="150"/>
        <v>1840</v>
      </c>
      <c r="AO236">
        <f t="shared" si="151"/>
        <v>83280</v>
      </c>
      <c r="AP236">
        <f t="shared" si="174"/>
        <v>81440</v>
      </c>
      <c r="AQ236" s="33">
        <f t="shared" si="152"/>
        <v>84200</v>
      </c>
      <c r="AR236" s="33">
        <f t="shared" si="153"/>
        <v>80520</v>
      </c>
      <c r="AS236">
        <f t="shared" si="154"/>
        <v>82820</v>
      </c>
      <c r="AT236" s="5">
        <f t="shared" si="155"/>
        <v>81900</v>
      </c>
      <c r="AU236" s="5">
        <f t="shared" si="156"/>
        <v>86040</v>
      </c>
      <c r="AV236" s="5">
        <f t="shared" si="157"/>
        <v>78680</v>
      </c>
      <c r="AW236" s="5">
        <f t="shared" si="158"/>
        <v>82666.666666666672</v>
      </c>
      <c r="AX236" s="5">
        <f t="shared" si="159"/>
        <v>82053.333333333328</v>
      </c>
      <c r="AY236" s="5">
        <f t="shared" si="160"/>
        <v>87880</v>
      </c>
      <c r="AZ236" s="5">
        <f t="shared" si="161"/>
        <v>76840</v>
      </c>
      <c r="BB236" s="32" t="str">
        <f t="shared" si="138"/>
        <v>20/04/2024</v>
      </c>
      <c r="BC236" s="33">
        <f t="shared" si="138"/>
        <v>83100</v>
      </c>
      <c r="BD236" s="4" t="str">
        <f t="shared" si="138"/>
        <v>A8</v>
      </c>
      <c r="BE236">
        <f t="shared" si="162"/>
        <v>81585.75</v>
      </c>
      <c r="BF236">
        <f t="shared" si="163"/>
        <v>80665.75</v>
      </c>
      <c r="BG236">
        <f t="shared" si="164"/>
        <v>82045.75</v>
      </c>
      <c r="BH236">
        <f t="shared" si="165"/>
        <v>80205.75</v>
      </c>
      <c r="BI236">
        <f t="shared" si="166"/>
        <v>81355.75</v>
      </c>
      <c r="BJ236">
        <f t="shared" si="167"/>
        <v>80895.75</v>
      </c>
      <c r="BK236">
        <f t="shared" si="168"/>
        <v>82965.75</v>
      </c>
      <c r="BL236">
        <f t="shared" si="169"/>
        <v>79285.75</v>
      </c>
      <c r="BM236">
        <f t="shared" si="170"/>
        <v>81279.083333333343</v>
      </c>
      <c r="BN236">
        <f t="shared" si="171"/>
        <v>80972.416666666657</v>
      </c>
      <c r="BO236" s="38">
        <f t="shared" si="172"/>
        <v>83885.75</v>
      </c>
      <c r="BP236">
        <f t="shared" si="173"/>
        <v>78365.75</v>
      </c>
      <c r="BQ236" s="7">
        <f>BO236</f>
        <v>83885.75</v>
      </c>
      <c r="BS236" s="30">
        <f t="shared" si="139"/>
        <v>83100</v>
      </c>
      <c r="BT236" s="4">
        <f t="shared" si="140"/>
        <v>83885.75</v>
      </c>
      <c r="BU236" s="37">
        <f t="shared" si="141"/>
        <v>-785.75</v>
      </c>
      <c r="BV236">
        <f t="shared" si="142"/>
        <v>785.75</v>
      </c>
      <c r="BW236" s="35">
        <f t="shared" si="143"/>
        <v>9.4554753309265948E-3</v>
      </c>
    </row>
    <row r="237" spans="1:75">
      <c r="A237" s="1" t="s">
        <v>238</v>
      </c>
      <c r="B237" s="1">
        <v>79970</v>
      </c>
      <c r="Q237">
        <v>234</v>
      </c>
      <c r="R237" s="27" t="str">
        <f t="shared" si="134"/>
        <v>21/04/2024</v>
      </c>
      <c r="S237" s="27">
        <f t="shared" si="134"/>
        <v>83290</v>
      </c>
      <c r="T237" s="4" t="str">
        <f t="shared" si="135"/>
        <v>A8</v>
      </c>
      <c r="V237">
        <v>234</v>
      </c>
      <c r="W237" s="28" t="str">
        <f t="shared" si="133"/>
        <v>21/04/2024</v>
      </c>
      <c r="X237" s="28">
        <f t="shared" si="133"/>
        <v>83290</v>
      </c>
      <c r="Y237" s="28" t="str">
        <f t="shared" si="133"/>
        <v>A8</v>
      </c>
      <c r="Z237" s="5" t="str">
        <f t="shared" si="144"/>
        <v>A7</v>
      </c>
      <c r="AA237" s="5" t="str">
        <f t="shared" si="145"/>
        <v>A8</v>
      </c>
      <c r="AG237" s="29" t="str">
        <f t="shared" si="136"/>
        <v>21/04/2024</v>
      </c>
      <c r="AH237" s="30">
        <f t="shared" si="136"/>
        <v>83290</v>
      </c>
      <c r="AI237" s="4" t="str">
        <f t="shared" si="137"/>
        <v>A8</v>
      </c>
      <c r="AJ237" s="5" t="str">
        <f t="shared" si="146"/>
        <v>A7</v>
      </c>
      <c r="AK237">
        <f t="shared" si="147"/>
        <v>79891.5</v>
      </c>
      <c r="AL237" t="str">
        <f t="shared" si="148"/>
        <v>A8</v>
      </c>
      <c r="AM237">
        <f t="shared" si="149"/>
        <v>85922.5</v>
      </c>
      <c r="AN237" s="6">
        <f t="shared" si="150"/>
        <v>1160</v>
      </c>
      <c r="AO237">
        <f t="shared" si="151"/>
        <v>83680</v>
      </c>
      <c r="AP237">
        <f t="shared" si="174"/>
        <v>82520</v>
      </c>
      <c r="AQ237" s="33">
        <f t="shared" si="152"/>
        <v>84260</v>
      </c>
      <c r="AR237" s="33">
        <f t="shared" si="153"/>
        <v>81940</v>
      </c>
      <c r="AS237">
        <f t="shared" si="154"/>
        <v>83390</v>
      </c>
      <c r="AT237" s="5">
        <f t="shared" si="155"/>
        <v>82810</v>
      </c>
      <c r="AU237" s="5">
        <f t="shared" si="156"/>
        <v>85420</v>
      </c>
      <c r="AV237" s="5">
        <f t="shared" si="157"/>
        <v>80780</v>
      </c>
      <c r="AW237" s="5">
        <f t="shared" si="158"/>
        <v>83293.333333333328</v>
      </c>
      <c r="AX237" s="5">
        <f t="shared" si="159"/>
        <v>82906.666666666672</v>
      </c>
      <c r="AY237" s="5">
        <f t="shared" si="160"/>
        <v>86580</v>
      </c>
      <c r="AZ237" s="5">
        <f t="shared" si="161"/>
        <v>79620</v>
      </c>
      <c r="BB237" s="32" t="str">
        <f t="shared" si="138"/>
        <v>21/04/2024</v>
      </c>
      <c r="BC237" s="33">
        <f t="shared" si="138"/>
        <v>83290</v>
      </c>
      <c r="BD237" s="4" t="str">
        <f t="shared" si="138"/>
        <v>A8</v>
      </c>
      <c r="BE237">
        <f t="shared" si="162"/>
        <v>84801.25</v>
      </c>
      <c r="BF237">
        <f t="shared" si="163"/>
        <v>84221.25</v>
      </c>
      <c r="BG237">
        <f t="shared" si="164"/>
        <v>85091.25</v>
      </c>
      <c r="BH237">
        <f t="shared" si="165"/>
        <v>83931.25</v>
      </c>
      <c r="BI237">
        <f t="shared" si="166"/>
        <v>84656.25</v>
      </c>
      <c r="BJ237">
        <f t="shared" si="167"/>
        <v>84366.25</v>
      </c>
      <c r="BK237">
        <f t="shared" si="168"/>
        <v>85671.25</v>
      </c>
      <c r="BL237" s="38">
        <f t="shared" si="169"/>
        <v>83351.25</v>
      </c>
      <c r="BM237">
        <f t="shared" si="170"/>
        <v>84607.916666666657</v>
      </c>
      <c r="BN237">
        <f t="shared" si="171"/>
        <v>84414.583333333343</v>
      </c>
      <c r="BO237">
        <f t="shared" si="172"/>
        <v>86251.25</v>
      </c>
      <c r="BP237">
        <f t="shared" si="173"/>
        <v>82771.25</v>
      </c>
      <c r="BQ237" s="7">
        <f>BL237</f>
        <v>83351.25</v>
      </c>
      <c r="BS237" s="30">
        <f t="shared" si="139"/>
        <v>83290</v>
      </c>
      <c r="BT237" s="4">
        <f t="shared" si="140"/>
        <v>83351.25</v>
      </c>
      <c r="BU237" s="37">
        <f t="shared" si="141"/>
        <v>-61.25</v>
      </c>
      <c r="BV237">
        <f t="shared" si="142"/>
        <v>61.25</v>
      </c>
      <c r="BW237" s="35">
        <f t="shared" si="143"/>
        <v>7.3538239884740066E-4</v>
      </c>
    </row>
    <row r="238" spans="1:75">
      <c r="A238" s="1" t="s">
        <v>239</v>
      </c>
      <c r="B238" s="1">
        <v>80800</v>
      </c>
      <c r="Q238">
        <v>235</v>
      </c>
      <c r="R238" s="27" t="str">
        <f t="shared" si="134"/>
        <v>22/04/2024</v>
      </c>
      <c r="S238" s="27">
        <f t="shared" si="134"/>
        <v>82820</v>
      </c>
      <c r="T238" s="4" t="str">
        <f t="shared" si="135"/>
        <v>A7</v>
      </c>
      <c r="V238">
        <v>235</v>
      </c>
      <c r="W238" s="28" t="str">
        <f t="shared" si="133"/>
        <v>22/04/2024</v>
      </c>
      <c r="X238" s="28">
        <f t="shared" si="133"/>
        <v>82820</v>
      </c>
      <c r="Y238" s="28" t="str">
        <f t="shared" si="133"/>
        <v>A7</v>
      </c>
      <c r="Z238" s="5" t="str">
        <f t="shared" si="144"/>
        <v>A8</v>
      </c>
      <c r="AA238" s="5" t="str">
        <f t="shared" si="145"/>
        <v>A8</v>
      </c>
      <c r="AG238" s="29" t="str">
        <f t="shared" si="136"/>
        <v>22/04/2024</v>
      </c>
      <c r="AH238" s="30">
        <f t="shared" si="136"/>
        <v>82820</v>
      </c>
      <c r="AI238" s="4" t="str">
        <f t="shared" si="137"/>
        <v>A7</v>
      </c>
      <c r="AJ238" s="5" t="str">
        <f t="shared" si="146"/>
        <v>A8</v>
      </c>
      <c r="AK238">
        <f t="shared" si="147"/>
        <v>85922.5</v>
      </c>
      <c r="AL238" t="str">
        <f t="shared" si="148"/>
        <v>A8</v>
      </c>
      <c r="AM238">
        <f t="shared" si="149"/>
        <v>85922.5</v>
      </c>
      <c r="AN238" s="6">
        <f t="shared" si="150"/>
        <v>550</v>
      </c>
      <c r="AO238">
        <f t="shared" si="151"/>
        <v>83565</v>
      </c>
      <c r="AP238">
        <f t="shared" si="174"/>
        <v>83015</v>
      </c>
      <c r="AQ238" s="33">
        <f t="shared" si="152"/>
        <v>83840</v>
      </c>
      <c r="AR238" s="33">
        <f t="shared" si="153"/>
        <v>82740</v>
      </c>
      <c r="AS238">
        <f t="shared" si="154"/>
        <v>83427.5</v>
      </c>
      <c r="AT238" s="5">
        <f t="shared" si="155"/>
        <v>83152.5</v>
      </c>
      <c r="AU238" s="5">
        <f t="shared" si="156"/>
        <v>84390</v>
      </c>
      <c r="AV238" s="5">
        <f t="shared" si="157"/>
        <v>82190</v>
      </c>
      <c r="AW238" s="5">
        <f t="shared" si="158"/>
        <v>83381.666666666672</v>
      </c>
      <c r="AX238" s="5">
        <f t="shared" si="159"/>
        <v>83198.333333333328</v>
      </c>
      <c r="AY238" s="5">
        <f t="shared" si="160"/>
        <v>84940</v>
      </c>
      <c r="AZ238" s="5">
        <f t="shared" si="161"/>
        <v>81640</v>
      </c>
      <c r="BB238" s="32" t="str">
        <f t="shared" si="138"/>
        <v>22/04/2024</v>
      </c>
      <c r="BC238" s="33">
        <f t="shared" si="138"/>
        <v>82820</v>
      </c>
      <c r="BD238" s="4" t="str">
        <f t="shared" si="138"/>
        <v>A7</v>
      </c>
      <c r="BE238">
        <f t="shared" si="162"/>
        <v>84743.75</v>
      </c>
      <c r="BF238">
        <f t="shared" si="163"/>
        <v>84468.75</v>
      </c>
      <c r="BG238">
        <f t="shared" si="164"/>
        <v>84881.25</v>
      </c>
      <c r="BH238">
        <f t="shared" si="165"/>
        <v>84331.25</v>
      </c>
      <c r="BI238">
        <f t="shared" si="166"/>
        <v>84675</v>
      </c>
      <c r="BJ238">
        <f t="shared" si="167"/>
        <v>84537.5</v>
      </c>
      <c r="BK238">
        <f t="shared" si="168"/>
        <v>85156.25</v>
      </c>
      <c r="BL238">
        <f t="shared" si="169"/>
        <v>84056.25</v>
      </c>
      <c r="BM238">
        <f t="shared" si="170"/>
        <v>84652.083333333343</v>
      </c>
      <c r="BN238">
        <f t="shared" si="171"/>
        <v>84560.416666666657</v>
      </c>
      <c r="BO238">
        <f t="shared" si="172"/>
        <v>85431.25</v>
      </c>
      <c r="BP238" s="38">
        <f t="shared" si="173"/>
        <v>83781.25</v>
      </c>
      <c r="BQ238" s="7">
        <f>BP238</f>
        <v>83781.25</v>
      </c>
      <c r="BS238" s="30">
        <f t="shared" si="139"/>
        <v>82820</v>
      </c>
      <c r="BT238" s="4">
        <f t="shared" si="140"/>
        <v>83781.25</v>
      </c>
      <c r="BU238" s="37">
        <f t="shared" si="141"/>
        <v>-961.25</v>
      </c>
      <c r="BV238">
        <f t="shared" si="142"/>
        <v>961.25</v>
      </c>
      <c r="BW238" s="35">
        <f t="shared" si="143"/>
        <v>1.1606496015455204E-2</v>
      </c>
    </row>
    <row r="239" spans="1:75">
      <c r="A239" s="1" t="s">
        <v>240</v>
      </c>
      <c r="B239" s="1">
        <v>78560</v>
      </c>
      <c r="Q239">
        <v>236</v>
      </c>
      <c r="R239" s="27" t="str">
        <f t="shared" si="134"/>
        <v>23/04/2024</v>
      </c>
      <c r="S239" s="27">
        <f t="shared" si="134"/>
        <v>79970</v>
      </c>
      <c r="T239" s="4" t="str">
        <f t="shared" si="135"/>
        <v>A7</v>
      </c>
      <c r="V239">
        <v>236</v>
      </c>
      <c r="W239" s="28" t="str">
        <f t="shared" si="133"/>
        <v>23/04/2024</v>
      </c>
      <c r="X239" s="28">
        <f t="shared" si="133"/>
        <v>79970</v>
      </c>
      <c r="Y239" s="28" t="str">
        <f t="shared" si="133"/>
        <v>A7</v>
      </c>
      <c r="Z239" s="5" t="str">
        <f t="shared" si="144"/>
        <v>A8</v>
      </c>
      <c r="AA239" s="5" t="str">
        <f t="shared" si="145"/>
        <v>A7</v>
      </c>
      <c r="AG239" s="29" t="str">
        <f t="shared" si="136"/>
        <v>23/04/2024</v>
      </c>
      <c r="AH239" s="30">
        <f t="shared" si="136"/>
        <v>79970</v>
      </c>
      <c r="AI239" s="4" t="str">
        <f t="shared" si="137"/>
        <v>A7</v>
      </c>
      <c r="AJ239" s="5" t="str">
        <f t="shared" si="146"/>
        <v>A8</v>
      </c>
      <c r="AK239">
        <f t="shared" si="147"/>
        <v>85922.5</v>
      </c>
      <c r="AL239" t="str">
        <f t="shared" si="148"/>
        <v>A7</v>
      </c>
      <c r="AM239">
        <f t="shared" si="149"/>
        <v>79891.5</v>
      </c>
      <c r="AN239" s="6">
        <f t="shared" si="150"/>
        <v>280</v>
      </c>
      <c r="AO239">
        <f t="shared" si="151"/>
        <v>82960</v>
      </c>
      <c r="AP239">
        <f t="shared" si="174"/>
        <v>82680</v>
      </c>
      <c r="AQ239" s="33">
        <f t="shared" si="152"/>
        <v>83100</v>
      </c>
      <c r="AR239" s="33">
        <f t="shared" si="153"/>
        <v>82540</v>
      </c>
      <c r="AS239">
        <f t="shared" si="154"/>
        <v>82890</v>
      </c>
      <c r="AT239" s="5">
        <f t="shared" si="155"/>
        <v>82750</v>
      </c>
      <c r="AU239" s="5">
        <f t="shared" si="156"/>
        <v>83380</v>
      </c>
      <c r="AV239" s="5">
        <f t="shared" si="157"/>
        <v>82260</v>
      </c>
      <c r="AW239" s="5">
        <f t="shared" si="158"/>
        <v>82866.666666666672</v>
      </c>
      <c r="AX239" s="5">
        <f t="shared" si="159"/>
        <v>82773.333333333328</v>
      </c>
      <c r="AY239" s="5">
        <f t="shared" si="160"/>
        <v>83660</v>
      </c>
      <c r="AZ239" s="5">
        <f t="shared" si="161"/>
        <v>81980</v>
      </c>
      <c r="BB239" s="32" t="str">
        <f t="shared" si="138"/>
        <v>23/04/2024</v>
      </c>
      <c r="BC239" s="33">
        <f t="shared" si="138"/>
        <v>79970</v>
      </c>
      <c r="BD239" s="4" t="str">
        <f t="shared" si="138"/>
        <v>A7</v>
      </c>
      <c r="BE239">
        <f t="shared" si="162"/>
        <v>81425.75</v>
      </c>
      <c r="BF239">
        <f t="shared" si="163"/>
        <v>81285.75</v>
      </c>
      <c r="BG239">
        <f t="shared" si="164"/>
        <v>81495.75</v>
      </c>
      <c r="BH239">
        <f t="shared" si="165"/>
        <v>81215.75</v>
      </c>
      <c r="BI239">
        <f t="shared" si="166"/>
        <v>81390.75</v>
      </c>
      <c r="BJ239">
        <f t="shared" si="167"/>
        <v>81320.75</v>
      </c>
      <c r="BK239">
        <f t="shared" si="168"/>
        <v>81635.75</v>
      </c>
      <c r="BL239">
        <f t="shared" si="169"/>
        <v>81075.75</v>
      </c>
      <c r="BM239">
        <f t="shared" si="170"/>
        <v>81379.083333333343</v>
      </c>
      <c r="BN239">
        <f t="shared" si="171"/>
        <v>81332.416666666657</v>
      </c>
      <c r="BO239">
        <f t="shared" si="172"/>
        <v>81775.75</v>
      </c>
      <c r="BP239" s="38">
        <f t="shared" si="173"/>
        <v>80935.75</v>
      </c>
      <c r="BQ239" s="7">
        <f>BP239</f>
        <v>80935.75</v>
      </c>
      <c r="BS239" s="30">
        <f t="shared" si="139"/>
        <v>79970</v>
      </c>
      <c r="BT239" s="4">
        <f t="shared" si="140"/>
        <v>80935.75</v>
      </c>
      <c r="BU239" s="37">
        <f t="shared" si="141"/>
        <v>-965.75</v>
      </c>
      <c r="BV239">
        <f t="shared" si="142"/>
        <v>965.75</v>
      </c>
      <c r="BW239" s="35">
        <f t="shared" si="143"/>
        <v>1.2076403651369264E-2</v>
      </c>
    </row>
    <row r="240" spans="1:75">
      <c r="A240" s="1" t="s">
        <v>241</v>
      </c>
      <c r="B240" s="1">
        <v>79380</v>
      </c>
      <c r="Q240">
        <v>237</v>
      </c>
      <c r="R240" s="27" t="str">
        <f t="shared" si="134"/>
        <v>24/04/2024</v>
      </c>
      <c r="S240" s="27">
        <f t="shared" si="134"/>
        <v>80800</v>
      </c>
      <c r="T240" s="4" t="str">
        <f t="shared" si="135"/>
        <v>A7</v>
      </c>
      <c r="V240">
        <v>237</v>
      </c>
      <c r="W240" s="28" t="str">
        <f t="shared" si="133"/>
        <v>24/04/2024</v>
      </c>
      <c r="X240" s="28">
        <f t="shared" si="133"/>
        <v>80800</v>
      </c>
      <c r="Y240" s="28" t="str">
        <f t="shared" si="133"/>
        <v>A7</v>
      </c>
      <c r="Z240" s="5" t="str">
        <f t="shared" si="144"/>
        <v>A7</v>
      </c>
      <c r="AA240" s="5" t="str">
        <f t="shared" si="145"/>
        <v>A7</v>
      </c>
      <c r="AG240" s="29" t="str">
        <f t="shared" si="136"/>
        <v>24/04/2024</v>
      </c>
      <c r="AH240" s="30">
        <f t="shared" si="136"/>
        <v>80800</v>
      </c>
      <c r="AI240" s="4" t="str">
        <f t="shared" si="137"/>
        <v>A7</v>
      </c>
      <c r="AJ240" s="5" t="str">
        <f t="shared" si="146"/>
        <v>A7</v>
      </c>
      <c r="AK240">
        <f t="shared" si="147"/>
        <v>79891.5</v>
      </c>
      <c r="AL240" t="str">
        <f t="shared" si="148"/>
        <v>A7</v>
      </c>
      <c r="AM240">
        <f t="shared" si="149"/>
        <v>79891.5</v>
      </c>
      <c r="AN240" s="6">
        <f t="shared" si="150"/>
        <v>2380</v>
      </c>
      <c r="AO240">
        <f t="shared" si="151"/>
        <v>81160</v>
      </c>
      <c r="AP240">
        <f t="shared" si="174"/>
        <v>78780</v>
      </c>
      <c r="AQ240" s="33">
        <f t="shared" si="152"/>
        <v>82350</v>
      </c>
      <c r="AR240" s="33">
        <f t="shared" si="153"/>
        <v>77590</v>
      </c>
      <c r="AS240">
        <f t="shared" si="154"/>
        <v>80565</v>
      </c>
      <c r="AT240" s="5">
        <f t="shared" si="155"/>
        <v>79375</v>
      </c>
      <c r="AU240" s="5">
        <f t="shared" si="156"/>
        <v>84730</v>
      </c>
      <c r="AV240" s="5">
        <f t="shared" si="157"/>
        <v>75210</v>
      </c>
      <c r="AW240" s="5">
        <f t="shared" si="158"/>
        <v>80366.666666666672</v>
      </c>
      <c r="AX240" s="5">
        <f t="shared" si="159"/>
        <v>79573.333333333328</v>
      </c>
      <c r="AY240" s="5">
        <f t="shared" si="160"/>
        <v>87110</v>
      </c>
      <c r="AZ240" s="5">
        <f t="shared" si="161"/>
        <v>72830</v>
      </c>
      <c r="BB240" s="32" t="str">
        <f t="shared" si="138"/>
        <v>24/04/2024</v>
      </c>
      <c r="BC240" s="33">
        <f t="shared" si="138"/>
        <v>80800</v>
      </c>
      <c r="BD240" s="4" t="str">
        <f t="shared" si="138"/>
        <v>A7</v>
      </c>
      <c r="BE240" s="38">
        <f t="shared" si="162"/>
        <v>80525.75</v>
      </c>
      <c r="BF240">
        <f t="shared" si="163"/>
        <v>79335.75</v>
      </c>
      <c r="BG240">
        <f t="shared" si="164"/>
        <v>81120.75</v>
      </c>
      <c r="BH240">
        <f t="shared" si="165"/>
        <v>78740.75</v>
      </c>
      <c r="BI240">
        <f t="shared" si="166"/>
        <v>80228.25</v>
      </c>
      <c r="BJ240">
        <f t="shared" si="167"/>
        <v>79633.25</v>
      </c>
      <c r="BK240">
        <f t="shared" si="168"/>
        <v>82310.75</v>
      </c>
      <c r="BL240">
        <f t="shared" si="169"/>
        <v>77550.75</v>
      </c>
      <c r="BM240">
        <f t="shared" si="170"/>
        <v>80129.083333333343</v>
      </c>
      <c r="BN240">
        <f t="shared" si="171"/>
        <v>79732.416666666657</v>
      </c>
      <c r="BO240">
        <f t="shared" si="172"/>
        <v>83500.75</v>
      </c>
      <c r="BP240">
        <f t="shared" si="173"/>
        <v>76360.75</v>
      </c>
      <c r="BQ240" s="7">
        <f>BE240</f>
        <v>80525.75</v>
      </c>
      <c r="BS240" s="30">
        <f t="shared" si="139"/>
        <v>80800</v>
      </c>
      <c r="BT240" s="4">
        <f t="shared" si="140"/>
        <v>80525.75</v>
      </c>
      <c r="BU240" s="37">
        <f t="shared" si="141"/>
        <v>274.25</v>
      </c>
      <c r="BV240">
        <f t="shared" si="142"/>
        <v>274.25</v>
      </c>
      <c r="BW240" s="35">
        <f t="shared" si="143"/>
        <v>3.3941831683168317E-3</v>
      </c>
    </row>
    <row r="241" spans="1:75">
      <c r="A241" s="1" t="s">
        <v>242</v>
      </c>
      <c r="B241" s="1">
        <v>79480</v>
      </c>
      <c r="Q241">
        <v>238</v>
      </c>
      <c r="R241" s="27" t="str">
        <f t="shared" si="134"/>
        <v>25/04/2024</v>
      </c>
      <c r="S241" s="27">
        <f t="shared" si="134"/>
        <v>78560</v>
      </c>
      <c r="T241" s="4" t="str">
        <f t="shared" si="135"/>
        <v>A7</v>
      </c>
      <c r="V241">
        <v>238</v>
      </c>
      <c r="W241" s="28" t="str">
        <f t="shared" si="133"/>
        <v>25/04/2024</v>
      </c>
      <c r="X241" s="28">
        <f t="shared" si="133"/>
        <v>78560</v>
      </c>
      <c r="Y241" s="28" t="str">
        <f t="shared" si="133"/>
        <v>A7</v>
      </c>
      <c r="Z241" s="5" t="str">
        <f t="shared" si="144"/>
        <v>A7</v>
      </c>
      <c r="AA241" s="5" t="str">
        <f t="shared" si="145"/>
        <v>A7</v>
      </c>
      <c r="AG241" s="29" t="str">
        <f t="shared" si="136"/>
        <v>25/04/2024</v>
      </c>
      <c r="AH241" s="30">
        <f t="shared" si="136"/>
        <v>78560</v>
      </c>
      <c r="AI241" s="4" t="str">
        <f t="shared" si="137"/>
        <v>A7</v>
      </c>
      <c r="AJ241" s="5" t="str">
        <f t="shared" si="146"/>
        <v>A7</v>
      </c>
      <c r="AK241">
        <f t="shared" si="147"/>
        <v>79891.5</v>
      </c>
      <c r="AL241" t="str">
        <f t="shared" si="148"/>
        <v>A7</v>
      </c>
      <c r="AM241">
        <f t="shared" si="149"/>
        <v>79891.5</v>
      </c>
      <c r="AN241" s="6">
        <f t="shared" si="150"/>
        <v>2020</v>
      </c>
      <c r="AO241">
        <f t="shared" si="151"/>
        <v>81810</v>
      </c>
      <c r="AP241">
        <f t="shared" si="174"/>
        <v>79790</v>
      </c>
      <c r="AQ241" s="33">
        <f t="shared" si="152"/>
        <v>82820</v>
      </c>
      <c r="AR241" s="33">
        <f t="shared" si="153"/>
        <v>78780</v>
      </c>
      <c r="AS241">
        <f t="shared" si="154"/>
        <v>81305</v>
      </c>
      <c r="AT241" s="5">
        <f t="shared" si="155"/>
        <v>80295</v>
      </c>
      <c r="AU241" s="5">
        <f t="shared" si="156"/>
        <v>84840</v>
      </c>
      <c r="AV241" s="5">
        <f t="shared" si="157"/>
        <v>76760</v>
      </c>
      <c r="AW241" s="5">
        <f t="shared" si="158"/>
        <v>81136.666666666672</v>
      </c>
      <c r="AX241" s="5">
        <f t="shared" si="159"/>
        <v>80463.333333333328</v>
      </c>
      <c r="AY241" s="5">
        <f t="shared" si="160"/>
        <v>86860</v>
      </c>
      <c r="AZ241" s="5">
        <f t="shared" si="161"/>
        <v>74740</v>
      </c>
      <c r="BB241" s="32" t="str">
        <f t="shared" si="138"/>
        <v>25/04/2024</v>
      </c>
      <c r="BC241" s="33">
        <f t="shared" si="138"/>
        <v>78560</v>
      </c>
      <c r="BD241" s="4" t="str">
        <f t="shared" si="138"/>
        <v>A7</v>
      </c>
      <c r="BE241">
        <f t="shared" si="162"/>
        <v>80850.75</v>
      </c>
      <c r="BF241">
        <f t="shared" si="163"/>
        <v>79840.75</v>
      </c>
      <c r="BG241">
        <f t="shared" si="164"/>
        <v>81355.75</v>
      </c>
      <c r="BH241">
        <f t="shared" si="165"/>
        <v>79335.75</v>
      </c>
      <c r="BI241">
        <f t="shared" si="166"/>
        <v>80598.25</v>
      </c>
      <c r="BJ241">
        <f t="shared" si="167"/>
        <v>80093.25</v>
      </c>
      <c r="BK241">
        <f t="shared" si="168"/>
        <v>82365.75</v>
      </c>
      <c r="BL241" s="38">
        <f t="shared" si="169"/>
        <v>78325.75</v>
      </c>
      <c r="BM241">
        <f t="shared" si="170"/>
        <v>80514.083333333343</v>
      </c>
      <c r="BN241">
        <f t="shared" si="171"/>
        <v>80177.416666666657</v>
      </c>
      <c r="BO241">
        <f t="shared" si="172"/>
        <v>83375.75</v>
      </c>
      <c r="BP241">
        <f t="shared" si="173"/>
        <v>77315.75</v>
      </c>
      <c r="BQ241" s="7">
        <f>BL241</f>
        <v>78325.75</v>
      </c>
      <c r="BS241" s="30">
        <f t="shared" si="139"/>
        <v>78560</v>
      </c>
      <c r="BT241" s="4">
        <f t="shared" si="140"/>
        <v>78325.75</v>
      </c>
      <c r="BU241" s="37">
        <f t="shared" si="141"/>
        <v>234.25</v>
      </c>
      <c r="BV241">
        <f t="shared" si="142"/>
        <v>234.25</v>
      </c>
      <c r="BW241" s="35">
        <f t="shared" si="143"/>
        <v>2.9817973523421589E-3</v>
      </c>
    </row>
    <row r="242" spans="1:75">
      <c r="A242" s="1" t="s">
        <v>243</v>
      </c>
      <c r="B242" s="1">
        <v>79160</v>
      </c>
      <c r="Q242">
        <v>239</v>
      </c>
      <c r="R242" s="27" t="str">
        <f t="shared" si="134"/>
        <v>26/04/2024</v>
      </c>
      <c r="S242" s="27">
        <f t="shared" si="134"/>
        <v>79380</v>
      </c>
      <c r="T242" s="4" t="str">
        <f t="shared" si="135"/>
        <v>A7</v>
      </c>
      <c r="V242">
        <v>239</v>
      </c>
      <c r="W242" s="28" t="str">
        <f t="shared" si="133"/>
        <v>26/04/2024</v>
      </c>
      <c r="X242" s="28">
        <f t="shared" si="133"/>
        <v>79380</v>
      </c>
      <c r="Y242" s="28" t="str">
        <f t="shared" si="133"/>
        <v>A7</v>
      </c>
      <c r="Z242" s="5" t="str">
        <f t="shared" si="144"/>
        <v>A7</v>
      </c>
      <c r="AA242" s="5" t="str">
        <f t="shared" si="145"/>
        <v>A7</v>
      </c>
      <c r="AG242" s="29" t="str">
        <f t="shared" si="136"/>
        <v>26/04/2024</v>
      </c>
      <c r="AH242" s="30">
        <f t="shared" si="136"/>
        <v>79380</v>
      </c>
      <c r="AI242" s="4" t="str">
        <f t="shared" si="137"/>
        <v>A7</v>
      </c>
      <c r="AJ242" s="5" t="str">
        <f t="shared" si="146"/>
        <v>A7</v>
      </c>
      <c r="AK242">
        <f t="shared" si="147"/>
        <v>79891.5</v>
      </c>
      <c r="AL242" t="str">
        <f t="shared" si="148"/>
        <v>A7</v>
      </c>
      <c r="AM242">
        <f t="shared" si="149"/>
        <v>79891.5</v>
      </c>
      <c r="AN242" s="6">
        <f t="shared" si="150"/>
        <v>1410</v>
      </c>
      <c r="AO242">
        <f t="shared" si="151"/>
        <v>79265</v>
      </c>
      <c r="AP242">
        <f t="shared" si="174"/>
        <v>77855</v>
      </c>
      <c r="AQ242" s="33">
        <f t="shared" si="152"/>
        <v>79970</v>
      </c>
      <c r="AR242" s="33">
        <f t="shared" si="153"/>
        <v>77150</v>
      </c>
      <c r="AS242">
        <f t="shared" si="154"/>
        <v>78912.5</v>
      </c>
      <c r="AT242" s="5">
        <f t="shared" si="155"/>
        <v>78207.5</v>
      </c>
      <c r="AU242" s="5">
        <f t="shared" si="156"/>
        <v>81380</v>
      </c>
      <c r="AV242" s="5">
        <f t="shared" si="157"/>
        <v>75740</v>
      </c>
      <c r="AW242" s="5">
        <f t="shared" si="158"/>
        <v>78795</v>
      </c>
      <c r="AX242" s="5">
        <f t="shared" si="159"/>
        <v>78325</v>
      </c>
      <c r="AY242" s="5">
        <f t="shared" si="160"/>
        <v>82790</v>
      </c>
      <c r="AZ242" s="5">
        <f t="shared" si="161"/>
        <v>74330</v>
      </c>
      <c r="BB242" s="32" t="str">
        <f t="shared" si="138"/>
        <v>26/04/2024</v>
      </c>
      <c r="BC242" s="33">
        <f t="shared" si="138"/>
        <v>79380</v>
      </c>
      <c r="BD242" s="4" t="str">
        <f t="shared" si="138"/>
        <v>A7</v>
      </c>
      <c r="BE242">
        <f t="shared" si="162"/>
        <v>79578.25</v>
      </c>
      <c r="BF242">
        <f t="shared" si="163"/>
        <v>78873.25</v>
      </c>
      <c r="BG242">
        <f t="shared" si="164"/>
        <v>79930.75</v>
      </c>
      <c r="BH242">
        <f t="shared" si="165"/>
        <v>78520.75</v>
      </c>
      <c r="BI242">
        <f t="shared" si="166"/>
        <v>79402</v>
      </c>
      <c r="BJ242">
        <f t="shared" si="167"/>
        <v>79049.5</v>
      </c>
      <c r="BK242">
        <f t="shared" si="168"/>
        <v>80635.75</v>
      </c>
      <c r="BL242">
        <f t="shared" si="169"/>
        <v>77815.75</v>
      </c>
      <c r="BM242" s="38">
        <f t="shared" si="170"/>
        <v>79343.25</v>
      </c>
      <c r="BN242">
        <f t="shared" si="171"/>
        <v>79108.25</v>
      </c>
      <c r="BO242">
        <f t="shared" si="172"/>
        <v>81340.75</v>
      </c>
      <c r="BP242">
        <f t="shared" si="173"/>
        <v>77110.75</v>
      </c>
      <c r="BQ242" s="7">
        <f>BM242</f>
        <v>79343.25</v>
      </c>
      <c r="BS242" s="30">
        <f t="shared" si="139"/>
        <v>79380</v>
      </c>
      <c r="BT242" s="4">
        <f t="shared" si="140"/>
        <v>79343.25</v>
      </c>
      <c r="BU242" s="37">
        <f t="shared" si="141"/>
        <v>36.75</v>
      </c>
      <c r="BV242">
        <f t="shared" si="142"/>
        <v>36.75</v>
      </c>
      <c r="BW242" s="35">
        <f t="shared" si="143"/>
        <v>4.6296296296296298E-4</v>
      </c>
    </row>
    <row r="243" spans="1:75">
      <c r="A243" s="1" t="s">
        <v>244</v>
      </c>
      <c r="B243" s="1">
        <v>78670</v>
      </c>
      <c r="Q243">
        <v>240</v>
      </c>
      <c r="R243" s="27" t="str">
        <f t="shared" si="134"/>
        <v>27/04/2024</v>
      </c>
      <c r="S243" s="27">
        <f t="shared" si="134"/>
        <v>79480</v>
      </c>
      <c r="T243" s="4" t="str">
        <f t="shared" si="135"/>
        <v>A7</v>
      </c>
      <c r="V243">
        <v>240</v>
      </c>
      <c r="W243" s="28" t="str">
        <f t="shared" si="133"/>
        <v>27/04/2024</v>
      </c>
      <c r="X243" s="28">
        <f t="shared" si="133"/>
        <v>79480</v>
      </c>
      <c r="Y243" s="28" t="str">
        <f t="shared" si="133"/>
        <v>A7</v>
      </c>
      <c r="Z243" s="5" t="str">
        <f t="shared" si="144"/>
        <v>A7</v>
      </c>
      <c r="AA243" s="5" t="str">
        <f t="shared" si="145"/>
        <v>A7</v>
      </c>
      <c r="AG243" s="29" t="str">
        <f t="shared" si="136"/>
        <v>27/04/2024</v>
      </c>
      <c r="AH243" s="30">
        <f t="shared" si="136"/>
        <v>79480</v>
      </c>
      <c r="AI243" s="4" t="str">
        <f t="shared" si="137"/>
        <v>A7</v>
      </c>
      <c r="AJ243" s="5" t="str">
        <f t="shared" si="146"/>
        <v>A7</v>
      </c>
      <c r="AK243">
        <f t="shared" si="147"/>
        <v>79891.5</v>
      </c>
      <c r="AL243" t="str">
        <f t="shared" si="148"/>
        <v>A7</v>
      </c>
      <c r="AM243">
        <f t="shared" si="149"/>
        <v>79891.5</v>
      </c>
      <c r="AN243" s="6">
        <f t="shared" si="150"/>
        <v>1420</v>
      </c>
      <c r="AO243">
        <f t="shared" si="151"/>
        <v>80090</v>
      </c>
      <c r="AP243">
        <f t="shared" si="174"/>
        <v>78670</v>
      </c>
      <c r="AQ243" s="33">
        <f t="shared" si="152"/>
        <v>80800</v>
      </c>
      <c r="AR243" s="33">
        <f t="shared" si="153"/>
        <v>77960</v>
      </c>
      <c r="AS243">
        <f t="shared" si="154"/>
        <v>79735</v>
      </c>
      <c r="AT243" s="5">
        <f t="shared" si="155"/>
        <v>79025</v>
      </c>
      <c r="AU243" s="5">
        <f t="shared" si="156"/>
        <v>82220</v>
      </c>
      <c r="AV243" s="5">
        <f t="shared" si="157"/>
        <v>76540</v>
      </c>
      <c r="AW243" s="5">
        <f t="shared" si="158"/>
        <v>79616.666666666672</v>
      </c>
      <c r="AX243" s="5">
        <f t="shared" si="159"/>
        <v>79143.333333333328</v>
      </c>
      <c r="AY243" s="5">
        <f t="shared" si="160"/>
        <v>83640</v>
      </c>
      <c r="AZ243" s="5">
        <f t="shared" si="161"/>
        <v>75120</v>
      </c>
      <c r="BB243" s="32" t="str">
        <f t="shared" si="138"/>
        <v>27/04/2024</v>
      </c>
      <c r="BC243" s="33">
        <f t="shared" si="138"/>
        <v>79480</v>
      </c>
      <c r="BD243" s="4" t="str">
        <f t="shared" si="138"/>
        <v>A7</v>
      </c>
      <c r="BE243">
        <f t="shared" si="162"/>
        <v>79990.75</v>
      </c>
      <c r="BF243">
        <f t="shared" si="163"/>
        <v>79280.75</v>
      </c>
      <c r="BG243">
        <f t="shared" si="164"/>
        <v>80345.75</v>
      </c>
      <c r="BH243">
        <f t="shared" si="165"/>
        <v>78925.75</v>
      </c>
      <c r="BI243">
        <f t="shared" si="166"/>
        <v>79813.25</v>
      </c>
      <c r="BJ243" s="38">
        <f t="shared" si="167"/>
        <v>79458.25</v>
      </c>
      <c r="BK243">
        <f t="shared" si="168"/>
        <v>81055.75</v>
      </c>
      <c r="BL243">
        <f t="shared" si="169"/>
        <v>78215.75</v>
      </c>
      <c r="BM243">
        <f t="shared" si="170"/>
        <v>79754.083333333343</v>
      </c>
      <c r="BN243">
        <f t="shared" si="171"/>
        <v>79517.416666666657</v>
      </c>
      <c r="BO243">
        <f t="shared" si="172"/>
        <v>81765.75</v>
      </c>
      <c r="BP243">
        <f t="shared" si="173"/>
        <v>77505.75</v>
      </c>
      <c r="BQ243" s="7">
        <f>BJ243</f>
        <v>79458.25</v>
      </c>
      <c r="BS243" s="30">
        <f t="shared" si="139"/>
        <v>79480</v>
      </c>
      <c r="BT243" s="4">
        <f t="shared" si="140"/>
        <v>79458.25</v>
      </c>
      <c r="BU243" s="37">
        <f t="shared" si="141"/>
        <v>21.75</v>
      </c>
      <c r="BV243">
        <f t="shared" si="142"/>
        <v>21.75</v>
      </c>
      <c r="BW243" s="35">
        <f t="shared" si="143"/>
        <v>2.7365374937091092E-4</v>
      </c>
    </row>
    <row r="244" spans="1:75">
      <c r="A244" s="1" t="s">
        <v>245</v>
      </c>
      <c r="B244" s="1">
        <v>77490</v>
      </c>
      <c r="Q244">
        <v>241</v>
      </c>
      <c r="R244" s="27" t="str">
        <f t="shared" si="134"/>
        <v>28/04/2024</v>
      </c>
      <c r="S244" s="27">
        <f t="shared" si="134"/>
        <v>79160</v>
      </c>
      <c r="T244" s="4" t="str">
        <f t="shared" si="135"/>
        <v>A7</v>
      </c>
      <c r="V244">
        <v>241</v>
      </c>
      <c r="W244" s="28" t="str">
        <f t="shared" si="133"/>
        <v>28/04/2024</v>
      </c>
      <c r="X244" s="28">
        <f t="shared" si="133"/>
        <v>79160</v>
      </c>
      <c r="Y244" s="28" t="str">
        <f t="shared" si="133"/>
        <v>A7</v>
      </c>
      <c r="Z244" s="5" t="str">
        <f t="shared" si="144"/>
        <v>A7</v>
      </c>
      <c r="AA244" s="5" t="str">
        <f t="shared" si="145"/>
        <v>A7</v>
      </c>
      <c r="AG244" s="29" t="str">
        <f t="shared" si="136"/>
        <v>28/04/2024</v>
      </c>
      <c r="AH244" s="30">
        <f t="shared" si="136"/>
        <v>79160</v>
      </c>
      <c r="AI244" s="4" t="str">
        <f t="shared" si="137"/>
        <v>A7</v>
      </c>
      <c r="AJ244" s="5" t="str">
        <f t="shared" si="146"/>
        <v>A7</v>
      </c>
      <c r="AK244">
        <f t="shared" si="147"/>
        <v>79891.5</v>
      </c>
      <c r="AL244" t="str">
        <f t="shared" si="148"/>
        <v>A7</v>
      </c>
      <c r="AM244">
        <f t="shared" si="149"/>
        <v>79891.5</v>
      </c>
      <c r="AN244" s="6">
        <f t="shared" si="150"/>
        <v>720</v>
      </c>
      <c r="AO244">
        <f t="shared" si="151"/>
        <v>79840</v>
      </c>
      <c r="AP244">
        <f t="shared" si="174"/>
        <v>79120</v>
      </c>
      <c r="AQ244" s="33">
        <f t="shared" si="152"/>
        <v>80200</v>
      </c>
      <c r="AR244" s="33">
        <f t="shared" si="153"/>
        <v>78760</v>
      </c>
      <c r="AS244">
        <f t="shared" si="154"/>
        <v>79660</v>
      </c>
      <c r="AT244" s="5">
        <f t="shared" si="155"/>
        <v>79300</v>
      </c>
      <c r="AU244" s="5">
        <f t="shared" si="156"/>
        <v>80920</v>
      </c>
      <c r="AV244" s="5">
        <f t="shared" si="157"/>
        <v>78040</v>
      </c>
      <c r="AW244" s="5">
        <f t="shared" si="158"/>
        <v>79600</v>
      </c>
      <c r="AX244" s="5">
        <f t="shared" si="159"/>
        <v>79360</v>
      </c>
      <c r="AY244" s="5">
        <f t="shared" si="160"/>
        <v>81640</v>
      </c>
      <c r="AZ244" s="5">
        <f t="shared" si="161"/>
        <v>77320</v>
      </c>
      <c r="BB244" s="32" t="str">
        <f t="shared" si="138"/>
        <v>28/04/2024</v>
      </c>
      <c r="BC244" s="33">
        <f t="shared" si="138"/>
        <v>79160</v>
      </c>
      <c r="BD244" s="4" t="str">
        <f t="shared" si="138"/>
        <v>A7</v>
      </c>
      <c r="BE244">
        <f t="shared" si="162"/>
        <v>79865.75</v>
      </c>
      <c r="BF244">
        <f t="shared" si="163"/>
        <v>79505.75</v>
      </c>
      <c r="BG244">
        <f t="shared" si="164"/>
        <v>80045.75</v>
      </c>
      <c r="BH244" s="38">
        <f t="shared" si="165"/>
        <v>79325.75</v>
      </c>
      <c r="BI244">
        <f t="shared" si="166"/>
        <v>79775.75</v>
      </c>
      <c r="BJ244">
        <f t="shared" si="167"/>
        <v>79595.75</v>
      </c>
      <c r="BK244">
        <f t="shared" si="168"/>
        <v>80405.75</v>
      </c>
      <c r="BL244">
        <f t="shared" si="169"/>
        <v>78965.75</v>
      </c>
      <c r="BM244">
        <f t="shared" si="170"/>
        <v>79745.75</v>
      </c>
      <c r="BN244">
        <f t="shared" si="171"/>
        <v>79625.75</v>
      </c>
      <c r="BO244">
        <f t="shared" si="172"/>
        <v>80765.75</v>
      </c>
      <c r="BP244">
        <f t="shared" si="173"/>
        <v>78605.75</v>
      </c>
      <c r="BQ244" s="7">
        <f>BH244</f>
        <v>79325.75</v>
      </c>
      <c r="BS244" s="30">
        <f t="shared" si="139"/>
        <v>79160</v>
      </c>
      <c r="BT244" s="4">
        <f t="shared" si="140"/>
        <v>79325.75</v>
      </c>
      <c r="BU244" s="37">
        <f t="shared" si="141"/>
        <v>-165.75</v>
      </c>
      <c r="BV244">
        <f t="shared" si="142"/>
        <v>165.75</v>
      </c>
      <c r="BW244" s="35">
        <f t="shared" si="143"/>
        <v>2.0938605356240524E-3</v>
      </c>
    </row>
    <row r="245" spans="1:75">
      <c r="A245" s="1" t="s">
        <v>246</v>
      </c>
      <c r="B245" s="1">
        <v>75370</v>
      </c>
      <c r="Q245">
        <v>242</v>
      </c>
      <c r="R245" s="27" t="str">
        <f t="shared" si="134"/>
        <v>29/04/2024</v>
      </c>
      <c r="S245" s="27">
        <f t="shared" si="134"/>
        <v>78670</v>
      </c>
      <c r="T245" s="4" t="str">
        <f t="shared" si="135"/>
        <v>A7</v>
      </c>
      <c r="V245">
        <v>242</v>
      </c>
      <c r="W245" s="28" t="str">
        <f t="shared" si="133"/>
        <v>29/04/2024</v>
      </c>
      <c r="X245" s="28">
        <f t="shared" si="133"/>
        <v>78670</v>
      </c>
      <c r="Y245" s="28" t="str">
        <f t="shared" si="133"/>
        <v>A7</v>
      </c>
      <c r="Z245" s="5" t="str">
        <f t="shared" si="144"/>
        <v>A7</v>
      </c>
      <c r="AA245" s="5" t="str">
        <f t="shared" si="145"/>
        <v>A7</v>
      </c>
      <c r="AG245" s="29" t="str">
        <f t="shared" si="136"/>
        <v>29/04/2024</v>
      </c>
      <c r="AH245" s="30">
        <f t="shared" si="136"/>
        <v>78670</v>
      </c>
      <c r="AI245" s="4" t="str">
        <f t="shared" si="137"/>
        <v>A7</v>
      </c>
      <c r="AJ245" s="5" t="str">
        <f t="shared" si="146"/>
        <v>A7</v>
      </c>
      <c r="AK245">
        <f t="shared" si="147"/>
        <v>79891.5</v>
      </c>
      <c r="AL245" t="str">
        <f t="shared" si="148"/>
        <v>A7</v>
      </c>
      <c r="AM245">
        <f t="shared" si="149"/>
        <v>79891.5</v>
      </c>
      <c r="AN245" s="6">
        <f t="shared" si="150"/>
        <v>220</v>
      </c>
      <c r="AO245">
        <f t="shared" si="151"/>
        <v>79270</v>
      </c>
      <c r="AP245">
        <f t="shared" si="174"/>
        <v>79050</v>
      </c>
      <c r="AQ245" s="33">
        <f t="shared" si="152"/>
        <v>79380</v>
      </c>
      <c r="AR245" s="33">
        <f t="shared" si="153"/>
        <v>78940</v>
      </c>
      <c r="AS245">
        <f t="shared" si="154"/>
        <v>79215</v>
      </c>
      <c r="AT245" s="5">
        <f t="shared" si="155"/>
        <v>79105</v>
      </c>
      <c r="AU245" s="5">
        <f t="shared" si="156"/>
        <v>79600</v>
      </c>
      <c r="AV245" s="5">
        <f t="shared" si="157"/>
        <v>78720</v>
      </c>
      <c r="AW245" s="5">
        <f t="shared" si="158"/>
        <v>79196.666666666672</v>
      </c>
      <c r="AX245" s="5">
        <f t="shared" si="159"/>
        <v>79123.333333333328</v>
      </c>
      <c r="AY245" s="5">
        <f t="shared" si="160"/>
        <v>79820</v>
      </c>
      <c r="AZ245" s="5">
        <f t="shared" si="161"/>
        <v>78500</v>
      </c>
      <c r="BB245" s="32" t="str">
        <f t="shared" si="138"/>
        <v>29/04/2024</v>
      </c>
      <c r="BC245" s="33">
        <f t="shared" si="138"/>
        <v>78670</v>
      </c>
      <c r="BD245" s="4" t="str">
        <f t="shared" si="138"/>
        <v>A7</v>
      </c>
      <c r="BE245">
        <f t="shared" si="162"/>
        <v>79580.75</v>
      </c>
      <c r="BF245">
        <f t="shared" si="163"/>
        <v>79470.75</v>
      </c>
      <c r="BG245">
        <f t="shared" si="164"/>
        <v>79635.75</v>
      </c>
      <c r="BH245">
        <f t="shared" si="165"/>
        <v>79415.75</v>
      </c>
      <c r="BI245">
        <f t="shared" si="166"/>
        <v>79553.25</v>
      </c>
      <c r="BJ245">
        <f t="shared" si="167"/>
        <v>79498.25</v>
      </c>
      <c r="BK245">
        <f t="shared" si="168"/>
        <v>79745.75</v>
      </c>
      <c r="BL245">
        <f t="shared" si="169"/>
        <v>79305.75</v>
      </c>
      <c r="BM245">
        <f t="shared" si="170"/>
        <v>79544.083333333343</v>
      </c>
      <c r="BN245">
        <f t="shared" si="171"/>
        <v>79507.416666666657</v>
      </c>
      <c r="BO245">
        <f t="shared" si="172"/>
        <v>79855.75</v>
      </c>
      <c r="BP245" s="38">
        <f t="shared" si="173"/>
        <v>79195.75</v>
      </c>
      <c r="BQ245" s="7">
        <f>BP245</f>
        <v>79195.75</v>
      </c>
      <c r="BS245" s="30">
        <f t="shared" si="139"/>
        <v>78670</v>
      </c>
      <c r="BT245" s="4">
        <f t="shared" si="140"/>
        <v>79195.75</v>
      </c>
      <c r="BU245" s="37">
        <f t="shared" si="141"/>
        <v>-525.75</v>
      </c>
      <c r="BV245">
        <f t="shared" si="142"/>
        <v>525.75</v>
      </c>
      <c r="BW245" s="35">
        <f t="shared" si="143"/>
        <v>6.6829795347654762E-3</v>
      </c>
    </row>
    <row r="246" spans="1:75">
      <c r="A246" s="1" t="s">
        <v>247</v>
      </c>
      <c r="B246" s="1">
        <v>72090</v>
      </c>
      <c r="Q246">
        <v>243</v>
      </c>
      <c r="R246" s="27" t="str">
        <f t="shared" si="134"/>
        <v>30/04/2024</v>
      </c>
      <c r="S246" s="27">
        <f t="shared" si="134"/>
        <v>77490</v>
      </c>
      <c r="T246" s="4" t="str">
        <f t="shared" si="135"/>
        <v>A7</v>
      </c>
      <c r="V246">
        <v>243</v>
      </c>
      <c r="W246" s="28" t="str">
        <f t="shared" si="133"/>
        <v>30/04/2024</v>
      </c>
      <c r="X246" s="28">
        <f t="shared" si="133"/>
        <v>77490</v>
      </c>
      <c r="Y246" s="28" t="str">
        <f t="shared" si="133"/>
        <v>A7</v>
      </c>
      <c r="Z246" s="5" t="str">
        <f t="shared" si="144"/>
        <v>A7</v>
      </c>
      <c r="AA246" s="5" t="str">
        <f t="shared" si="145"/>
        <v>A7</v>
      </c>
      <c r="AG246" s="29" t="str">
        <f t="shared" si="136"/>
        <v>30/04/2024</v>
      </c>
      <c r="AH246" s="30">
        <f t="shared" si="136"/>
        <v>77490</v>
      </c>
      <c r="AI246" s="4" t="str">
        <f t="shared" si="137"/>
        <v>A7</v>
      </c>
      <c r="AJ246" s="5" t="str">
        <f t="shared" si="146"/>
        <v>A7</v>
      </c>
      <c r="AK246">
        <f t="shared" si="147"/>
        <v>79891.5</v>
      </c>
      <c r="AL246" t="str">
        <f t="shared" si="148"/>
        <v>A7</v>
      </c>
      <c r="AM246">
        <f t="shared" si="149"/>
        <v>79891.5</v>
      </c>
      <c r="AN246" s="6">
        <f t="shared" si="150"/>
        <v>170</v>
      </c>
      <c r="AO246">
        <f t="shared" si="151"/>
        <v>78755</v>
      </c>
      <c r="AP246">
        <f t="shared" si="174"/>
        <v>78585</v>
      </c>
      <c r="AQ246" s="33">
        <f t="shared" si="152"/>
        <v>78840</v>
      </c>
      <c r="AR246" s="33">
        <f t="shared" si="153"/>
        <v>78500</v>
      </c>
      <c r="AS246">
        <f t="shared" si="154"/>
        <v>78712.5</v>
      </c>
      <c r="AT246" s="5">
        <f t="shared" si="155"/>
        <v>78627.5</v>
      </c>
      <c r="AU246" s="5">
        <f t="shared" si="156"/>
        <v>79010</v>
      </c>
      <c r="AV246" s="5">
        <f t="shared" si="157"/>
        <v>78330</v>
      </c>
      <c r="AW246" s="5">
        <f t="shared" si="158"/>
        <v>78698.333333333328</v>
      </c>
      <c r="AX246" s="5">
        <f t="shared" si="159"/>
        <v>78641.666666666672</v>
      </c>
      <c r="AY246" s="5">
        <f t="shared" si="160"/>
        <v>79180</v>
      </c>
      <c r="AZ246" s="5">
        <f t="shared" si="161"/>
        <v>78160</v>
      </c>
      <c r="BB246" s="32" t="str">
        <f t="shared" si="138"/>
        <v>30/04/2024</v>
      </c>
      <c r="BC246" s="33">
        <f t="shared" si="138"/>
        <v>77490</v>
      </c>
      <c r="BD246" s="4" t="str">
        <f t="shared" si="138"/>
        <v>A7</v>
      </c>
      <c r="BE246">
        <f t="shared" si="162"/>
        <v>79323.25</v>
      </c>
      <c r="BF246">
        <f t="shared" si="163"/>
        <v>79238.25</v>
      </c>
      <c r="BG246">
        <f t="shared" si="164"/>
        <v>79365.75</v>
      </c>
      <c r="BH246">
        <f t="shared" si="165"/>
        <v>79195.75</v>
      </c>
      <c r="BI246">
        <f t="shared" si="166"/>
        <v>79302</v>
      </c>
      <c r="BJ246">
        <f t="shared" si="167"/>
        <v>79259.5</v>
      </c>
      <c r="BK246">
        <f t="shared" si="168"/>
        <v>79450.75</v>
      </c>
      <c r="BL246">
        <f t="shared" si="169"/>
        <v>79110.75</v>
      </c>
      <c r="BM246">
        <f t="shared" si="170"/>
        <v>79294.916666666657</v>
      </c>
      <c r="BN246">
        <f t="shared" si="171"/>
        <v>79266.583333333343</v>
      </c>
      <c r="BO246">
        <f t="shared" si="172"/>
        <v>79535.75</v>
      </c>
      <c r="BP246" s="38">
        <f t="shared" si="173"/>
        <v>79025.75</v>
      </c>
      <c r="BQ246" s="7">
        <f>BP246</f>
        <v>79025.75</v>
      </c>
      <c r="BS246" s="30">
        <f t="shared" si="139"/>
        <v>77490</v>
      </c>
      <c r="BT246" s="4">
        <f t="shared" si="140"/>
        <v>79025.75</v>
      </c>
      <c r="BU246" s="37">
        <f t="shared" si="141"/>
        <v>-1535.75</v>
      </c>
      <c r="BV246">
        <f t="shared" si="142"/>
        <v>1535.75</v>
      </c>
      <c r="BW246" s="35">
        <f t="shared" si="143"/>
        <v>1.9818686282100918E-2</v>
      </c>
    </row>
    <row r="247" spans="1:75">
      <c r="A247" s="1" t="s">
        <v>248</v>
      </c>
      <c r="B247" s="1">
        <v>73370</v>
      </c>
      <c r="Q247">
        <v>244</v>
      </c>
      <c r="R247" s="27" t="str">
        <f t="shared" si="134"/>
        <v>01/05/2024</v>
      </c>
      <c r="S247" s="27">
        <f t="shared" si="134"/>
        <v>75370</v>
      </c>
      <c r="T247" s="4" t="str">
        <f t="shared" si="135"/>
        <v>A6</v>
      </c>
      <c r="V247">
        <v>244</v>
      </c>
      <c r="W247" s="28" t="str">
        <f t="shared" si="133"/>
        <v>01/05/2024</v>
      </c>
      <c r="X247" s="28">
        <f t="shared" si="133"/>
        <v>75370</v>
      </c>
      <c r="Y247" s="28" t="str">
        <f t="shared" si="133"/>
        <v>A6</v>
      </c>
      <c r="Z247" s="5" t="str">
        <f t="shared" si="144"/>
        <v>A7</v>
      </c>
      <c r="AA247" s="5" t="str">
        <f t="shared" si="145"/>
        <v>A7</v>
      </c>
      <c r="AG247" s="29" t="str">
        <f t="shared" si="136"/>
        <v>01/05/2024</v>
      </c>
      <c r="AH247" s="30">
        <f t="shared" si="136"/>
        <v>75370</v>
      </c>
      <c r="AI247" s="4" t="str">
        <f t="shared" si="137"/>
        <v>A6</v>
      </c>
      <c r="AJ247" s="5" t="str">
        <f t="shared" si="146"/>
        <v>A7</v>
      </c>
      <c r="AK247">
        <f t="shared" si="147"/>
        <v>79891.5</v>
      </c>
      <c r="AL247" t="str">
        <f t="shared" si="148"/>
        <v>A7</v>
      </c>
      <c r="AM247">
        <f t="shared" si="149"/>
        <v>79891.5</v>
      </c>
      <c r="AN247" s="6">
        <f t="shared" si="150"/>
        <v>690</v>
      </c>
      <c r="AO247">
        <f t="shared" si="151"/>
        <v>77835</v>
      </c>
      <c r="AP247">
        <f t="shared" si="174"/>
        <v>77145</v>
      </c>
      <c r="AQ247" s="33">
        <f t="shared" si="152"/>
        <v>78180</v>
      </c>
      <c r="AR247" s="33">
        <f t="shared" si="153"/>
        <v>76800</v>
      </c>
      <c r="AS247">
        <f t="shared" si="154"/>
        <v>77662.5</v>
      </c>
      <c r="AT247" s="5">
        <f t="shared" si="155"/>
        <v>77317.5</v>
      </c>
      <c r="AU247" s="5">
        <f t="shared" si="156"/>
        <v>78870</v>
      </c>
      <c r="AV247" s="5">
        <f t="shared" si="157"/>
        <v>76110</v>
      </c>
      <c r="AW247" s="5">
        <f t="shared" si="158"/>
        <v>77605</v>
      </c>
      <c r="AX247" s="5">
        <f t="shared" si="159"/>
        <v>77375</v>
      </c>
      <c r="AY247" s="5">
        <f t="shared" si="160"/>
        <v>79560</v>
      </c>
      <c r="AZ247" s="5">
        <f t="shared" si="161"/>
        <v>75420</v>
      </c>
      <c r="BB247" s="32" t="str">
        <f t="shared" si="138"/>
        <v>01/05/2024</v>
      </c>
      <c r="BC247" s="33">
        <f t="shared" si="138"/>
        <v>75370</v>
      </c>
      <c r="BD247" s="4" t="str">
        <f t="shared" si="138"/>
        <v>A6</v>
      </c>
      <c r="BE247">
        <f t="shared" si="162"/>
        <v>78863.25</v>
      </c>
      <c r="BF247">
        <f t="shared" si="163"/>
        <v>78518.25</v>
      </c>
      <c r="BG247">
        <f t="shared" si="164"/>
        <v>79035.75</v>
      </c>
      <c r="BH247">
        <f t="shared" si="165"/>
        <v>78345.75</v>
      </c>
      <c r="BI247">
        <f t="shared" si="166"/>
        <v>78777</v>
      </c>
      <c r="BJ247">
        <f t="shared" si="167"/>
        <v>78604.5</v>
      </c>
      <c r="BK247">
        <f t="shared" si="168"/>
        <v>79380.75</v>
      </c>
      <c r="BL247">
        <f t="shared" si="169"/>
        <v>78000.75</v>
      </c>
      <c r="BM247">
        <f t="shared" si="170"/>
        <v>78748.25</v>
      </c>
      <c r="BN247">
        <f t="shared" si="171"/>
        <v>78633.25</v>
      </c>
      <c r="BO247">
        <f t="shared" si="172"/>
        <v>79725.75</v>
      </c>
      <c r="BP247" s="38">
        <f t="shared" si="173"/>
        <v>77655.75</v>
      </c>
      <c r="BQ247" s="7">
        <f>BP247</f>
        <v>77655.75</v>
      </c>
      <c r="BS247" s="30">
        <f t="shared" si="139"/>
        <v>75370</v>
      </c>
      <c r="BT247" s="4">
        <f t="shared" si="140"/>
        <v>77655.75</v>
      </c>
      <c r="BU247" s="37">
        <f t="shared" si="141"/>
        <v>-2285.75</v>
      </c>
      <c r="BV247">
        <f t="shared" si="142"/>
        <v>2285.75</v>
      </c>
      <c r="BW247" s="35">
        <f t="shared" si="143"/>
        <v>3.0327053204192649E-2</v>
      </c>
    </row>
    <row r="248" spans="1:75">
      <c r="A248" s="1" t="s">
        <v>249</v>
      </c>
      <c r="B248" s="1">
        <v>70150</v>
      </c>
      <c r="Q248">
        <v>245</v>
      </c>
      <c r="R248" s="27" t="str">
        <f t="shared" si="134"/>
        <v>02/05/2024</v>
      </c>
      <c r="S248" s="27">
        <f t="shared" si="134"/>
        <v>72090</v>
      </c>
      <c r="T248" s="4" t="str">
        <f t="shared" si="135"/>
        <v>A6</v>
      </c>
      <c r="V248">
        <v>245</v>
      </c>
      <c r="W248" s="28" t="str">
        <f t="shared" si="133"/>
        <v>02/05/2024</v>
      </c>
      <c r="X248" s="28">
        <f t="shared" si="133"/>
        <v>72090</v>
      </c>
      <c r="Y248" s="28" t="str">
        <f t="shared" si="133"/>
        <v>A6</v>
      </c>
      <c r="Z248" s="5" t="str">
        <f t="shared" si="144"/>
        <v>A7</v>
      </c>
      <c r="AA248" s="5" t="str">
        <f t="shared" si="145"/>
        <v>A6</v>
      </c>
      <c r="AG248" s="29" t="str">
        <f t="shared" si="136"/>
        <v>02/05/2024</v>
      </c>
      <c r="AH248" s="30">
        <f t="shared" si="136"/>
        <v>72090</v>
      </c>
      <c r="AI248" s="4" t="str">
        <f t="shared" si="137"/>
        <v>A6</v>
      </c>
      <c r="AJ248" s="5" t="str">
        <f t="shared" si="146"/>
        <v>A7</v>
      </c>
      <c r="AK248">
        <f t="shared" si="147"/>
        <v>79891.5</v>
      </c>
      <c r="AL248" t="str">
        <f t="shared" si="148"/>
        <v>A6</v>
      </c>
      <c r="AM248">
        <f t="shared" si="149"/>
        <v>73860.5</v>
      </c>
      <c r="AN248" s="6">
        <f t="shared" si="150"/>
        <v>940</v>
      </c>
      <c r="AO248">
        <f t="shared" si="151"/>
        <v>75840</v>
      </c>
      <c r="AP248">
        <f t="shared" si="174"/>
        <v>74900</v>
      </c>
      <c r="AQ248" s="33">
        <f t="shared" si="152"/>
        <v>76310</v>
      </c>
      <c r="AR248" s="33">
        <f t="shared" si="153"/>
        <v>74430</v>
      </c>
      <c r="AS248">
        <f t="shared" si="154"/>
        <v>75605</v>
      </c>
      <c r="AT248" s="5">
        <f t="shared" si="155"/>
        <v>75135</v>
      </c>
      <c r="AU248" s="5">
        <f t="shared" si="156"/>
        <v>77250</v>
      </c>
      <c r="AV248" s="5">
        <f t="shared" si="157"/>
        <v>73490</v>
      </c>
      <c r="AW248" s="5">
        <f t="shared" si="158"/>
        <v>75526.666666666672</v>
      </c>
      <c r="AX248" s="5">
        <f t="shared" si="159"/>
        <v>75213.333333333328</v>
      </c>
      <c r="AY248" s="5">
        <f t="shared" si="160"/>
        <v>78190</v>
      </c>
      <c r="AZ248" s="5">
        <f t="shared" si="161"/>
        <v>72550</v>
      </c>
      <c r="BB248" s="32" t="str">
        <f t="shared" si="138"/>
        <v>02/05/2024</v>
      </c>
      <c r="BC248" s="33">
        <f t="shared" si="138"/>
        <v>72090</v>
      </c>
      <c r="BD248" s="4" t="str">
        <f t="shared" si="138"/>
        <v>A6</v>
      </c>
      <c r="BE248">
        <f t="shared" si="162"/>
        <v>74850.25</v>
      </c>
      <c r="BF248">
        <f t="shared" si="163"/>
        <v>74380.25</v>
      </c>
      <c r="BG248">
        <f t="shared" si="164"/>
        <v>75085.25</v>
      </c>
      <c r="BH248">
        <f t="shared" si="165"/>
        <v>74145.25</v>
      </c>
      <c r="BI248">
        <f t="shared" si="166"/>
        <v>74732.75</v>
      </c>
      <c r="BJ248">
        <f t="shared" si="167"/>
        <v>74497.75</v>
      </c>
      <c r="BK248">
        <f t="shared" si="168"/>
        <v>75555.25</v>
      </c>
      <c r="BL248">
        <f t="shared" si="169"/>
        <v>73675.25</v>
      </c>
      <c r="BM248">
        <f t="shared" si="170"/>
        <v>74693.583333333343</v>
      </c>
      <c r="BN248">
        <f t="shared" si="171"/>
        <v>74536.916666666657</v>
      </c>
      <c r="BO248">
        <f t="shared" si="172"/>
        <v>76025.25</v>
      </c>
      <c r="BP248" s="38">
        <f t="shared" si="173"/>
        <v>73205.25</v>
      </c>
      <c r="BQ248" s="7">
        <f>BP248</f>
        <v>73205.25</v>
      </c>
      <c r="BS248" s="30">
        <f t="shared" si="139"/>
        <v>72090</v>
      </c>
      <c r="BT248" s="4">
        <f t="shared" si="140"/>
        <v>73205.25</v>
      </c>
      <c r="BU248" s="37">
        <f t="shared" si="141"/>
        <v>-1115.25</v>
      </c>
      <c r="BV248">
        <f t="shared" si="142"/>
        <v>1115.25</v>
      </c>
      <c r="BW248" s="35">
        <f t="shared" si="143"/>
        <v>1.5470245526425301E-2</v>
      </c>
    </row>
    <row r="249" spans="1:75">
      <c r="A249" s="1" t="s">
        <v>250</v>
      </c>
      <c r="B249" s="1">
        <v>70250</v>
      </c>
      <c r="Q249">
        <v>246</v>
      </c>
      <c r="R249" s="27" t="str">
        <f t="shared" si="134"/>
        <v>03/05/2024</v>
      </c>
      <c r="S249" s="27">
        <f t="shared" si="134"/>
        <v>73370</v>
      </c>
      <c r="T249" s="4" t="str">
        <f t="shared" si="135"/>
        <v>A6</v>
      </c>
      <c r="V249">
        <v>246</v>
      </c>
      <c r="W249" s="28" t="str">
        <f t="shared" si="133"/>
        <v>03/05/2024</v>
      </c>
      <c r="X249" s="28">
        <f t="shared" si="133"/>
        <v>73370</v>
      </c>
      <c r="Y249" s="28" t="str">
        <f t="shared" si="133"/>
        <v>A6</v>
      </c>
      <c r="Z249" s="5" t="str">
        <f t="shared" si="144"/>
        <v>A6</v>
      </c>
      <c r="AA249" s="5" t="str">
        <f t="shared" si="145"/>
        <v>A6</v>
      </c>
      <c r="AG249" s="29" t="str">
        <f t="shared" si="136"/>
        <v>03/05/2024</v>
      </c>
      <c r="AH249" s="30">
        <f t="shared" si="136"/>
        <v>73370</v>
      </c>
      <c r="AI249" s="4" t="str">
        <f t="shared" si="137"/>
        <v>A6</v>
      </c>
      <c r="AJ249" s="5" t="str">
        <f t="shared" si="146"/>
        <v>A6</v>
      </c>
      <c r="AK249">
        <f t="shared" si="147"/>
        <v>73860.5</v>
      </c>
      <c r="AL249" t="str">
        <f t="shared" si="148"/>
        <v>A6</v>
      </c>
      <c r="AM249">
        <f t="shared" si="149"/>
        <v>73860.5</v>
      </c>
      <c r="AN249" s="6">
        <f t="shared" si="150"/>
        <v>1160</v>
      </c>
      <c r="AO249">
        <f t="shared" si="151"/>
        <v>72670</v>
      </c>
      <c r="AP249">
        <f t="shared" si="174"/>
        <v>71510</v>
      </c>
      <c r="AQ249" s="33">
        <f t="shared" si="152"/>
        <v>73250</v>
      </c>
      <c r="AR249" s="33">
        <f t="shared" si="153"/>
        <v>70930</v>
      </c>
      <c r="AS249">
        <f t="shared" si="154"/>
        <v>72380</v>
      </c>
      <c r="AT249" s="5">
        <f t="shared" si="155"/>
        <v>71800</v>
      </c>
      <c r="AU249" s="5">
        <f t="shared" si="156"/>
        <v>74410</v>
      </c>
      <c r="AV249" s="5">
        <f t="shared" si="157"/>
        <v>69770</v>
      </c>
      <c r="AW249" s="5">
        <f t="shared" si="158"/>
        <v>72283.333333333328</v>
      </c>
      <c r="AX249" s="5">
        <f t="shared" si="159"/>
        <v>71896.666666666672</v>
      </c>
      <c r="AY249" s="5">
        <f t="shared" si="160"/>
        <v>75570</v>
      </c>
      <c r="AZ249" s="5">
        <f t="shared" si="161"/>
        <v>68610</v>
      </c>
      <c r="BB249" s="32" t="str">
        <f t="shared" si="138"/>
        <v>03/05/2024</v>
      </c>
      <c r="BC249" s="33">
        <f t="shared" si="138"/>
        <v>73370</v>
      </c>
      <c r="BD249" s="4" t="str">
        <f t="shared" si="138"/>
        <v>A6</v>
      </c>
      <c r="BE249" s="38">
        <f t="shared" si="162"/>
        <v>73265.25</v>
      </c>
      <c r="BF249">
        <f t="shared" si="163"/>
        <v>72685.25</v>
      </c>
      <c r="BG249">
        <f t="shared" si="164"/>
        <v>73555.25</v>
      </c>
      <c r="BH249">
        <f t="shared" si="165"/>
        <v>72395.25</v>
      </c>
      <c r="BI249">
        <f t="shared" si="166"/>
        <v>73120.25</v>
      </c>
      <c r="BJ249">
        <f t="shared" si="167"/>
        <v>72830.25</v>
      </c>
      <c r="BK249">
        <f t="shared" si="168"/>
        <v>74135.25</v>
      </c>
      <c r="BL249">
        <f t="shared" si="169"/>
        <v>71815.25</v>
      </c>
      <c r="BM249">
        <f t="shared" si="170"/>
        <v>73071.916666666657</v>
      </c>
      <c r="BN249">
        <f t="shared" si="171"/>
        <v>72878.583333333343</v>
      </c>
      <c r="BO249">
        <f t="shared" si="172"/>
        <v>74715.25</v>
      </c>
      <c r="BP249">
        <f t="shared" si="173"/>
        <v>71235.25</v>
      </c>
      <c r="BQ249" s="7">
        <f>BE249</f>
        <v>73265.25</v>
      </c>
      <c r="BS249" s="30">
        <f t="shared" si="139"/>
        <v>73370</v>
      </c>
      <c r="BT249" s="4">
        <f t="shared" si="140"/>
        <v>73265.25</v>
      </c>
      <c r="BU249" s="37">
        <f t="shared" si="141"/>
        <v>104.75</v>
      </c>
      <c r="BV249">
        <f t="shared" si="142"/>
        <v>104.75</v>
      </c>
      <c r="BW249" s="35">
        <f t="shared" si="143"/>
        <v>1.4276952432874471E-3</v>
      </c>
    </row>
    <row r="250" spans="1:75">
      <c r="A250" s="1" t="s">
        <v>251</v>
      </c>
      <c r="B250" s="1">
        <v>70200</v>
      </c>
      <c r="Q250">
        <v>247</v>
      </c>
      <c r="R250" s="27" t="str">
        <f t="shared" si="134"/>
        <v>04/05/2024</v>
      </c>
      <c r="S250" s="27">
        <f t="shared" si="134"/>
        <v>70150</v>
      </c>
      <c r="T250" s="4" t="str">
        <f t="shared" si="135"/>
        <v>A5</v>
      </c>
      <c r="V250">
        <v>247</v>
      </c>
      <c r="W250" s="28" t="str">
        <f t="shared" si="133"/>
        <v>04/05/2024</v>
      </c>
      <c r="X250" s="28">
        <f t="shared" si="133"/>
        <v>70150</v>
      </c>
      <c r="Y250" s="28" t="str">
        <f t="shared" si="133"/>
        <v>A5</v>
      </c>
      <c r="Z250" s="5" t="str">
        <f t="shared" si="144"/>
        <v>A6</v>
      </c>
      <c r="AA250" s="5" t="str">
        <f t="shared" si="145"/>
        <v>A6</v>
      </c>
      <c r="AG250" s="29" t="str">
        <f t="shared" si="136"/>
        <v>04/05/2024</v>
      </c>
      <c r="AH250" s="30">
        <f t="shared" si="136"/>
        <v>70150</v>
      </c>
      <c r="AI250" s="4" t="str">
        <f t="shared" si="137"/>
        <v>A5</v>
      </c>
      <c r="AJ250" s="5" t="str">
        <f t="shared" si="146"/>
        <v>A6</v>
      </c>
      <c r="AK250">
        <f t="shared" si="147"/>
        <v>73860.5</v>
      </c>
      <c r="AL250" t="str">
        <f t="shared" si="148"/>
        <v>A6</v>
      </c>
      <c r="AM250">
        <f t="shared" si="149"/>
        <v>73860.5</v>
      </c>
      <c r="AN250" s="6">
        <f t="shared" si="150"/>
        <v>2000</v>
      </c>
      <c r="AO250">
        <f t="shared" si="151"/>
        <v>74370</v>
      </c>
      <c r="AP250">
        <f t="shared" si="174"/>
        <v>72370</v>
      </c>
      <c r="AQ250" s="33">
        <f t="shared" si="152"/>
        <v>75370</v>
      </c>
      <c r="AR250" s="33">
        <f t="shared" si="153"/>
        <v>71370</v>
      </c>
      <c r="AS250">
        <f t="shared" si="154"/>
        <v>73870</v>
      </c>
      <c r="AT250" s="5">
        <f t="shared" si="155"/>
        <v>72870</v>
      </c>
      <c r="AU250" s="5">
        <f t="shared" si="156"/>
        <v>77370</v>
      </c>
      <c r="AV250" s="5">
        <f t="shared" si="157"/>
        <v>69370</v>
      </c>
      <c r="AW250" s="5">
        <f t="shared" si="158"/>
        <v>73703.333333333328</v>
      </c>
      <c r="AX250" s="5">
        <f t="shared" si="159"/>
        <v>73036.666666666672</v>
      </c>
      <c r="AY250" s="5">
        <f t="shared" si="160"/>
        <v>79370</v>
      </c>
      <c r="AZ250" s="5">
        <f t="shared" si="161"/>
        <v>67370</v>
      </c>
      <c r="BB250" s="32" t="str">
        <f t="shared" si="138"/>
        <v>04/05/2024</v>
      </c>
      <c r="BC250" s="33">
        <f t="shared" si="138"/>
        <v>70150</v>
      </c>
      <c r="BD250" s="4" t="str">
        <f t="shared" si="138"/>
        <v>A5</v>
      </c>
      <c r="BE250">
        <f t="shared" si="162"/>
        <v>74115.25</v>
      </c>
      <c r="BF250">
        <f t="shared" si="163"/>
        <v>73115.25</v>
      </c>
      <c r="BG250">
        <f t="shared" si="164"/>
        <v>74615.25</v>
      </c>
      <c r="BH250">
        <f t="shared" si="165"/>
        <v>72615.25</v>
      </c>
      <c r="BI250">
        <f t="shared" si="166"/>
        <v>73865.25</v>
      </c>
      <c r="BJ250">
        <f t="shared" si="167"/>
        <v>73365.25</v>
      </c>
      <c r="BK250">
        <f t="shared" si="168"/>
        <v>75615.25</v>
      </c>
      <c r="BL250">
        <f t="shared" si="169"/>
        <v>71615.25</v>
      </c>
      <c r="BM250">
        <f t="shared" si="170"/>
        <v>73781.916666666657</v>
      </c>
      <c r="BN250">
        <f t="shared" si="171"/>
        <v>73448.583333333343</v>
      </c>
      <c r="BO250">
        <f t="shared" si="172"/>
        <v>76615.25</v>
      </c>
      <c r="BP250" s="38">
        <f t="shared" si="173"/>
        <v>70615.25</v>
      </c>
      <c r="BQ250" s="7">
        <f>BP250</f>
        <v>70615.25</v>
      </c>
      <c r="BS250" s="30">
        <f t="shared" si="139"/>
        <v>70150</v>
      </c>
      <c r="BT250" s="4">
        <f t="shared" si="140"/>
        <v>70615.25</v>
      </c>
      <c r="BU250" s="37">
        <f t="shared" si="141"/>
        <v>-465.25</v>
      </c>
      <c r="BV250">
        <f t="shared" si="142"/>
        <v>465.25</v>
      </c>
      <c r="BW250" s="35">
        <f t="shared" si="143"/>
        <v>6.6322166785459727E-3</v>
      </c>
    </row>
    <row r="251" spans="1:75">
      <c r="A251" s="1" t="s">
        <v>252</v>
      </c>
      <c r="B251" s="1">
        <v>70230</v>
      </c>
      <c r="Q251">
        <v>248</v>
      </c>
      <c r="R251" s="27" t="str">
        <f t="shared" si="134"/>
        <v>05/05/2024</v>
      </c>
      <c r="S251" s="27">
        <f t="shared" si="134"/>
        <v>70250</v>
      </c>
      <c r="T251" s="4" t="str">
        <f t="shared" si="135"/>
        <v>A5</v>
      </c>
      <c r="V251">
        <v>248</v>
      </c>
      <c r="W251" s="28" t="str">
        <f t="shared" si="133"/>
        <v>05/05/2024</v>
      </c>
      <c r="X251" s="28">
        <f t="shared" si="133"/>
        <v>70250</v>
      </c>
      <c r="Y251" s="28" t="str">
        <f t="shared" si="133"/>
        <v>A5</v>
      </c>
      <c r="Z251" s="5" t="str">
        <f t="shared" si="144"/>
        <v>A6</v>
      </c>
      <c r="AA251" s="5" t="str">
        <f t="shared" si="145"/>
        <v>A5</v>
      </c>
      <c r="AG251" s="29" t="str">
        <f t="shared" si="136"/>
        <v>05/05/2024</v>
      </c>
      <c r="AH251" s="30">
        <f t="shared" si="136"/>
        <v>70250</v>
      </c>
      <c r="AI251" s="4" t="str">
        <f t="shared" si="137"/>
        <v>A5</v>
      </c>
      <c r="AJ251" s="5" t="str">
        <f t="shared" si="146"/>
        <v>A6</v>
      </c>
      <c r="AK251">
        <f t="shared" si="147"/>
        <v>73860.5</v>
      </c>
      <c r="AL251" t="str">
        <f t="shared" si="148"/>
        <v>A5</v>
      </c>
      <c r="AM251">
        <f t="shared" si="149"/>
        <v>67829.5</v>
      </c>
      <c r="AN251" s="6">
        <f t="shared" si="150"/>
        <v>1940</v>
      </c>
      <c r="AO251">
        <f t="shared" si="151"/>
        <v>71120</v>
      </c>
      <c r="AP251">
        <f t="shared" si="174"/>
        <v>69180</v>
      </c>
      <c r="AQ251" s="33">
        <f t="shared" si="152"/>
        <v>72090</v>
      </c>
      <c r="AR251" s="33">
        <f t="shared" si="153"/>
        <v>68210</v>
      </c>
      <c r="AS251">
        <f t="shared" si="154"/>
        <v>70635</v>
      </c>
      <c r="AT251" s="5">
        <f t="shared" si="155"/>
        <v>69665</v>
      </c>
      <c r="AU251" s="5">
        <f t="shared" si="156"/>
        <v>74030</v>
      </c>
      <c r="AV251" s="5">
        <f t="shared" si="157"/>
        <v>66270</v>
      </c>
      <c r="AW251" s="5">
        <f t="shared" si="158"/>
        <v>70473.333333333328</v>
      </c>
      <c r="AX251" s="5">
        <f t="shared" si="159"/>
        <v>69826.666666666672</v>
      </c>
      <c r="AY251" s="5">
        <f t="shared" si="160"/>
        <v>75970</v>
      </c>
      <c r="AZ251" s="5">
        <f t="shared" si="161"/>
        <v>64330</v>
      </c>
      <c r="BB251" s="32" t="str">
        <f t="shared" si="138"/>
        <v>05/05/2024</v>
      </c>
      <c r="BC251" s="33">
        <f t="shared" si="138"/>
        <v>70250</v>
      </c>
      <c r="BD251" s="4" t="str">
        <f t="shared" si="138"/>
        <v>A5</v>
      </c>
      <c r="BE251">
        <f t="shared" si="162"/>
        <v>69474.75</v>
      </c>
      <c r="BF251">
        <f t="shared" si="163"/>
        <v>68504.75</v>
      </c>
      <c r="BG251" s="38">
        <f t="shared" si="164"/>
        <v>69959.75</v>
      </c>
      <c r="BH251">
        <f t="shared" si="165"/>
        <v>68019.75</v>
      </c>
      <c r="BI251">
        <f t="shared" si="166"/>
        <v>69232.25</v>
      </c>
      <c r="BJ251">
        <f t="shared" si="167"/>
        <v>68747.25</v>
      </c>
      <c r="BK251">
        <f t="shared" si="168"/>
        <v>70929.75</v>
      </c>
      <c r="BL251">
        <f t="shared" si="169"/>
        <v>67049.75</v>
      </c>
      <c r="BM251">
        <f t="shared" si="170"/>
        <v>69151.416666666657</v>
      </c>
      <c r="BN251">
        <f t="shared" si="171"/>
        <v>68828.083333333343</v>
      </c>
      <c r="BO251">
        <f t="shared" si="172"/>
        <v>71899.75</v>
      </c>
      <c r="BP251">
        <f t="shared" si="173"/>
        <v>66079.75</v>
      </c>
      <c r="BQ251" s="7">
        <f>BG251</f>
        <v>69959.75</v>
      </c>
      <c r="BS251" s="30">
        <f t="shared" si="139"/>
        <v>70250</v>
      </c>
      <c r="BT251" s="4">
        <f t="shared" si="140"/>
        <v>69959.75</v>
      </c>
      <c r="BU251" s="37">
        <f t="shared" si="141"/>
        <v>290.25</v>
      </c>
      <c r="BV251">
        <f t="shared" si="142"/>
        <v>290.25</v>
      </c>
      <c r="BW251" s="35">
        <f t="shared" si="143"/>
        <v>4.1316725978647684E-3</v>
      </c>
    </row>
    <row r="252" spans="1:75">
      <c r="A252" s="1" t="s">
        <v>253</v>
      </c>
      <c r="B252" s="1">
        <v>70080</v>
      </c>
      <c r="Q252">
        <v>249</v>
      </c>
      <c r="R252" s="27" t="str">
        <f t="shared" si="134"/>
        <v>06/05/2024</v>
      </c>
      <c r="S252" s="27">
        <f t="shared" si="134"/>
        <v>70200</v>
      </c>
      <c r="T252" s="4" t="str">
        <f t="shared" si="135"/>
        <v>A5</v>
      </c>
      <c r="V252">
        <v>249</v>
      </c>
      <c r="W252" s="28" t="str">
        <f t="shared" si="133"/>
        <v>06/05/2024</v>
      </c>
      <c r="X252" s="28">
        <f t="shared" si="133"/>
        <v>70200</v>
      </c>
      <c r="Y252" s="28" t="str">
        <f t="shared" si="133"/>
        <v>A5</v>
      </c>
      <c r="Z252" s="5" t="str">
        <f t="shared" si="144"/>
        <v>A5</v>
      </c>
      <c r="AA252" s="5" t="str">
        <f t="shared" si="145"/>
        <v>A5</v>
      </c>
      <c r="AG252" s="29" t="str">
        <f t="shared" si="136"/>
        <v>06/05/2024</v>
      </c>
      <c r="AH252" s="30">
        <f t="shared" si="136"/>
        <v>70200</v>
      </c>
      <c r="AI252" s="4" t="str">
        <f t="shared" si="137"/>
        <v>A5</v>
      </c>
      <c r="AJ252" s="5" t="str">
        <f t="shared" si="146"/>
        <v>A5</v>
      </c>
      <c r="AK252">
        <f t="shared" si="147"/>
        <v>67829.5</v>
      </c>
      <c r="AL252" t="str">
        <f t="shared" si="148"/>
        <v>A5</v>
      </c>
      <c r="AM252">
        <f t="shared" si="149"/>
        <v>67829.5</v>
      </c>
      <c r="AN252" s="6">
        <f t="shared" si="150"/>
        <v>3120</v>
      </c>
      <c r="AO252">
        <f t="shared" si="151"/>
        <v>71810</v>
      </c>
      <c r="AP252">
        <f t="shared" si="174"/>
        <v>68690</v>
      </c>
      <c r="AQ252" s="33">
        <f t="shared" si="152"/>
        <v>73370</v>
      </c>
      <c r="AR252" s="33">
        <f t="shared" si="153"/>
        <v>67130</v>
      </c>
      <c r="AS252">
        <f t="shared" si="154"/>
        <v>71030</v>
      </c>
      <c r="AT252" s="5">
        <f t="shared" si="155"/>
        <v>69470</v>
      </c>
      <c r="AU252" s="5">
        <f t="shared" si="156"/>
        <v>76490</v>
      </c>
      <c r="AV252" s="5">
        <f t="shared" si="157"/>
        <v>64010</v>
      </c>
      <c r="AW252" s="5">
        <f t="shared" si="158"/>
        <v>70770</v>
      </c>
      <c r="AX252" s="5">
        <f t="shared" si="159"/>
        <v>69730</v>
      </c>
      <c r="AY252" s="5">
        <f t="shared" si="160"/>
        <v>79610</v>
      </c>
      <c r="AZ252" s="5">
        <f t="shared" si="161"/>
        <v>60890</v>
      </c>
      <c r="BB252" s="32" t="str">
        <f t="shared" si="138"/>
        <v>06/05/2024</v>
      </c>
      <c r="BC252" s="33">
        <f t="shared" si="138"/>
        <v>70200</v>
      </c>
      <c r="BD252" s="4" t="str">
        <f t="shared" si="138"/>
        <v>A5</v>
      </c>
      <c r="BE252">
        <f t="shared" si="162"/>
        <v>69819.75</v>
      </c>
      <c r="BF252">
        <f t="shared" si="163"/>
        <v>68259.75</v>
      </c>
      <c r="BG252" s="38">
        <f t="shared" si="164"/>
        <v>70599.75</v>
      </c>
      <c r="BH252">
        <f t="shared" si="165"/>
        <v>67479.75</v>
      </c>
      <c r="BI252">
        <f t="shared" si="166"/>
        <v>69429.75</v>
      </c>
      <c r="BJ252">
        <f t="shared" si="167"/>
        <v>68649.75</v>
      </c>
      <c r="BK252">
        <f t="shared" si="168"/>
        <v>72159.75</v>
      </c>
      <c r="BL252">
        <f t="shared" si="169"/>
        <v>65919.75</v>
      </c>
      <c r="BM252">
        <f t="shared" si="170"/>
        <v>69299.75</v>
      </c>
      <c r="BN252">
        <f t="shared" si="171"/>
        <v>68779.75</v>
      </c>
      <c r="BO252">
        <f t="shared" si="172"/>
        <v>73719.75</v>
      </c>
      <c r="BP252">
        <f t="shared" si="173"/>
        <v>64359.75</v>
      </c>
      <c r="BQ252" s="7">
        <f>BG252</f>
        <v>70599.75</v>
      </c>
      <c r="BS252" s="30">
        <f t="shared" si="139"/>
        <v>70200</v>
      </c>
      <c r="BT252" s="4">
        <f t="shared" si="140"/>
        <v>70599.75</v>
      </c>
      <c r="BU252" s="37">
        <f t="shared" si="141"/>
        <v>-399.75</v>
      </c>
      <c r="BV252">
        <f t="shared" si="142"/>
        <v>399.75</v>
      </c>
      <c r="BW252" s="35">
        <f t="shared" si="143"/>
        <v>5.6944444444444447E-3</v>
      </c>
    </row>
    <row r="253" spans="1:75">
      <c r="A253" s="1" t="s">
        <v>254</v>
      </c>
      <c r="B253" s="1">
        <v>69470</v>
      </c>
      <c r="Q253">
        <v>250</v>
      </c>
      <c r="R253" s="27" t="str">
        <f t="shared" si="134"/>
        <v>07/05/2024</v>
      </c>
      <c r="S253" s="27">
        <f t="shared" si="134"/>
        <v>70230</v>
      </c>
      <c r="T253" s="4" t="str">
        <f t="shared" si="135"/>
        <v>A5</v>
      </c>
      <c r="V253">
        <v>250</v>
      </c>
      <c r="W253" s="28" t="str">
        <f t="shared" si="133"/>
        <v>07/05/2024</v>
      </c>
      <c r="X253" s="28">
        <f t="shared" si="133"/>
        <v>70230</v>
      </c>
      <c r="Y253" s="28" t="str">
        <f t="shared" si="133"/>
        <v>A5</v>
      </c>
      <c r="Z253" s="5" t="str">
        <f t="shared" si="144"/>
        <v>A5</v>
      </c>
      <c r="AA253" s="5" t="str">
        <f t="shared" si="145"/>
        <v>A5</v>
      </c>
      <c r="AG253" s="29" t="str">
        <f t="shared" si="136"/>
        <v>07/05/2024</v>
      </c>
      <c r="AH253" s="30">
        <f t="shared" si="136"/>
        <v>70230</v>
      </c>
      <c r="AI253" s="4" t="str">
        <f t="shared" si="137"/>
        <v>A5</v>
      </c>
      <c r="AJ253" s="5" t="str">
        <f t="shared" si="146"/>
        <v>A5</v>
      </c>
      <c r="AK253">
        <f t="shared" si="147"/>
        <v>67829.5</v>
      </c>
      <c r="AL253" t="str">
        <f t="shared" si="148"/>
        <v>A5</v>
      </c>
      <c r="AM253">
        <f t="shared" si="149"/>
        <v>67829.5</v>
      </c>
      <c r="AN253" s="6">
        <f t="shared" si="150"/>
        <v>50</v>
      </c>
      <c r="AO253">
        <f t="shared" si="151"/>
        <v>70225</v>
      </c>
      <c r="AP253">
        <f t="shared" si="174"/>
        <v>70175</v>
      </c>
      <c r="AQ253" s="33">
        <f t="shared" si="152"/>
        <v>70250</v>
      </c>
      <c r="AR253" s="33">
        <f t="shared" si="153"/>
        <v>70150</v>
      </c>
      <c r="AS253">
        <f t="shared" si="154"/>
        <v>70212.5</v>
      </c>
      <c r="AT253" s="5">
        <f t="shared" si="155"/>
        <v>70187.5</v>
      </c>
      <c r="AU253" s="5">
        <f t="shared" si="156"/>
        <v>70300</v>
      </c>
      <c r="AV253" s="5">
        <f t="shared" si="157"/>
        <v>70100</v>
      </c>
      <c r="AW253" s="5">
        <f t="shared" si="158"/>
        <v>70208.333333333328</v>
      </c>
      <c r="AX253" s="5">
        <f t="shared" si="159"/>
        <v>70191.666666666672</v>
      </c>
      <c r="AY253" s="5">
        <f t="shared" si="160"/>
        <v>70350</v>
      </c>
      <c r="AZ253" s="5">
        <f t="shared" si="161"/>
        <v>70050</v>
      </c>
      <c r="BB253" s="32" t="str">
        <f t="shared" si="138"/>
        <v>07/05/2024</v>
      </c>
      <c r="BC253" s="33">
        <f t="shared" si="138"/>
        <v>70230</v>
      </c>
      <c r="BD253" s="4" t="str">
        <f t="shared" si="138"/>
        <v>A5</v>
      </c>
      <c r="BE253">
        <f t="shared" si="162"/>
        <v>69027.25</v>
      </c>
      <c r="BF253">
        <f t="shared" si="163"/>
        <v>69002.25</v>
      </c>
      <c r="BG253">
        <f t="shared" si="164"/>
        <v>69039.75</v>
      </c>
      <c r="BH253">
        <f t="shared" si="165"/>
        <v>68989.75</v>
      </c>
      <c r="BI253">
        <f t="shared" si="166"/>
        <v>69021</v>
      </c>
      <c r="BJ253">
        <f t="shared" si="167"/>
        <v>69008.5</v>
      </c>
      <c r="BK253">
        <f t="shared" si="168"/>
        <v>69064.75</v>
      </c>
      <c r="BL253">
        <f t="shared" si="169"/>
        <v>68964.75</v>
      </c>
      <c r="BM253">
        <f t="shared" si="170"/>
        <v>69018.916666666657</v>
      </c>
      <c r="BN253">
        <f t="shared" si="171"/>
        <v>69010.583333333343</v>
      </c>
      <c r="BO253" s="38">
        <f t="shared" si="172"/>
        <v>69089.75</v>
      </c>
      <c r="BP253">
        <f t="shared" si="173"/>
        <v>68939.75</v>
      </c>
      <c r="BQ253" s="7">
        <f>BO253</f>
        <v>69089.75</v>
      </c>
      <c r="BS253" s="30">
        <f t="shared" si="139"/>
        <v>70230</v>
      </c>
      <c r="BT253" s="4">
        <f t="shared" si="140"/>
        <v>69089.75</v>
      </c>
      <c r="BU253" s="37">
        <f t="shared" si="141"/>
        <v>1140.25</v>
      </c>
      <c r="BV253">
        <f t="shared" si="142"/>
        <v>1140.25</v>
      </c>
      <c r="BW253" s="35">
        <f t="shared" si="143"/>
        <v>1.6235939057382884E-2</v>
      </c>
    </row>
    <row r="254" spans="1:75">
      <c r="A254" s="1" t="s">
        <v>255</v>
      </c>
      <c r="B254" s="1">
        <v>68930</v>
      </c>
      <c r="Q254">
        <v>251</v>
      </c>
      <c r="R254" s="27" t="str">
        <f t="shared" si="134"/>
        <v>08/05/2024</v>
      </c>
      <c r="S254" s="27">
        <f t="shared" si="134"/>
        <v>70080</v>
      </c>
      <c r="T254" s="4" t="str">
        <f t="shared" si="135"/>
        <v>A5</v>
      </c>
      <c r="V254">
        <v>251</v>
      </c>
      <c r="W254" s="28" t="str">
        <f t="shared" si="133"/>
        <v>08/05/2024</v>
      </c>
      <c r="X254" s="28">
        <f t="shared" si="133"/>
        <v>70080</v>
      </c>
      <c r="Y254" s="28" t="str">
        <f t="shared" si="133"/>
        <v>A5</v>
      </c>
      <c r="Z254" s="5" t="str">
        <f t="shared" si="144"/>
        <v>A5</v>
      </c>
      <c r="AA254" s="5" t="str">
        <f t="shared" si="145"/>
        <v>A5</v>
      </c>
      <c r="AG254" s="29" t="str">
        <f t="shared" si="136"/>
        <v>08/05/2024</v>
      </c>
      <c r="AH254" s="30">
        <f t="shared" si="136"/>
        <v>70080</v>
      </c>
      <c r="AI254" s="4" t="str">
        <f t="shared" si="137"/>
        <v>A5</v>
      </c>
      <c r="AJ254" s="5" t="str">
        <f t="shared" si="146"/>
        <v>A5</v>
      </c>
      <c r="AK254">
        <f t="shared" si="147"/>
        <v>67829.5</v>
      </c>
      <c r="AL254" t="str">
        <f t="shared" si="148"/>
        <v>A5</v>
      </c>
      <c r="AM254">
        <f t="shared" si="149"/>
        <v>67829.5</v>
      </c>
      <c r="AN254" s="6">
        <f t="shared" si="150"/>
        <v>20</v>
      </c>
      <c r="AO254">
        <f t="shared" si="151"/>
        <v>70240</v>
      </c>
      <c r="AP254">
        <f t="shared" si="174"/>
        <v>70220</v>
      </c>
      <c r="AQ254" s="33">
        <f t="shared" si="152"/>
        <v>70250</v>
      </c>
      <c r="AR254" s="33">
        <f t="shared" si="153"/>
        <v>70210</v>
      </c>
      <c r="AS254">
        <f t="shared" si="154"/>
        <v>70235</v>
      </c>
      <c r="AT254" s="5">
        <f t="shared" si="155"/>
        <v>70225</v>
      </c>
      <c r="AU254" s="5">
        <f t="shared" si="156"/>
        <v>70270</v>
      </c>
      <c r="AV254" s="5">
        <f t="shared" si="157"/>
        <v>70190</v>
      </c>
      <c r="AW254" s="5">
        <f t="shared" si="158"/>
        <v>70233.333333333328</v>
      </c>
      <c r="AX254" s="5">
        <f t="shared" si="159"/>
        <v>70226.666666666672</v>
      </c>
      <c r="AY254" s="5">
        <f t="shared" si="160"/>
        <v>70290</v>
      </c>
      <c r="AZ254" s="5">
        <f t="shared" si="161"/>
        <v>70170</v>
      </c>
      <c r="BB254" s="32" t="str">
        <f t="shared" si="138"/>
        <v>08/05/2024</v>
      </c>
      <c r="BC254" s="33">
        <f t="shared" si="138"/>
        <v>70080</v>
      </c>
      <c r="BD254" s="4" t="str">
        <f t="shared" si="138"/>
        <v>A5</v>
      </c>
      <c r="BE254">
        <f t="shared" si="162"/>
        <v>69034.75</v>
      </c>
      <c r="BF254">
        <f t="shared" si="163"/>
        <v>69024.75</v>
      </c>
      <c r="BG254">
        <f t="shared" si="164"/>
        <v>69039.75</v>
      </c>
      <c r="BH254">
        <f t="shared" si="165"/>
        <v>69019.75</v>
      </c>
      <c r="BI254">
        <f t="shared" si="166"/>
        <v>69032.25</v>
      </c>
      <c r="BJ254">
        <f t="shared" si="167"/>
        <v>69027.25</v>
      </c>
      <c r="BK254">
        <f t="shared" si="168"/>
        <v>69049.75</v>
      </c>
      <c r="BL254">
        <f t="shared" si="169"/>
        <v>69009.75</v>
      </c>
      <c r="BM254">
        <f t="shared" si="170"/>
        <v>69031.416666666657</v>
      </c>
      <c r="BN254">
        <f t="shared" si="171"/>
        <v>69028.083333333343</v>
      </c>
      <c r="BO254" s="38">
        <f t="shared" si="172"/>
        <v>69059.75</v>
      </c>
      <c r="BP254">
        <f t="shared" si="173"/>
        <v>68999.75</v>
      </c>
      <c r="BQ254" s="7">
        <f>BO254</f>
        <v>69059.75</v>
      </c>
      <c r="BS254" s="30">
        <f t="shared" si="139"/>
        <v>70080</v>
      </c>
      <c r="BT254" s="4">
        <f t="shared" si="140"/>
        <v>69059.75</v>
      </c>
      <c r="BU254" s="37">
        <f t="shared" si="141"/>
        <v>1020.25</v>
      </c>
      <c r="BV254">
        <f t="shared" si="142"/>
        <v>1020.25</v>
      </c>
      <c r="BW254" s="35">
        <f t="shared" si="143"/>
        <v>1.4558361872146118E-2</v>
      </c>
    </row>
    <row r="255" spans="1:75">
      <c r="A255" s="1" t="s">
        <v>256</v>
      </c>
      <c r="B255" s="1">
        <v>69110</v>
      </c>
      <c r="Q255">
        <v>252</v>
      </c>
      <c r="R255" s="27" t="str">
        <f t="shared" si="134"/>
        <v>09/05/2024</v>
      </c>
      <c r="S255" s="27">
        <f t="shared" si="134"/>
        <v>69470</v>
      </c>
      <c r="T255" s="4" t="str">
        <f t="shared" si="135"/>
        <v>A5</v>
      </c>
      <c r="V255">
        <v>252</v>
      </c>
      <c r="W255" s="28" t="str">
        <f t="shared" si="133"/>
        <v>09/05/2024</v>
      </c>
      <c r="X255" s="28">
        <f t="shared" si="133"/>
        <v>69470</v>
      </c>
      <c r="Y255" s="28" t="str">
        <f t="shared" si="133"/>
        <v>A5</v>
      </c>
      <c r="Z255" s="5" t="str">
        <f t="shared" si="144"/>
        <v>A5</v>
      </c>
      <c r="AA255" s="5" t="str">
        <f t="shared" si="145"/>
        <v>A5</v>
      </c>
      <c r="AG255" s="29" t="str">
        <f t="shared" si="136"/>
        <v>09/05/2024</v>
      </c>
      <c r="AH255" s="30">
        <f t="shared" si="136"/>
        <v>69470</v>
      </c>
      <c r="AI255" s="4" t="str">
        <f t="shared" si="137"/>
        <v>A5</v>
      </c>
      <c r="AJ255" s="5" t="str">
        <f t="shared" si="146"/>
        <v>A5</v>
      </c>
      <c r="AK255">
        <f t="shared" si="147"/>
        <v>67829.5</v>
      </c>
      <c r="AL255" t="str">
        <f t="shared" si="148"/>
        <v>A5</v>
      </c>
      <c r="AM255">
        <f t="shared" si="149"/>
        <v>67829.5</v>
      </c>
      <c r="AN255" s="6">
        <f t="shared" si="150"/>
        <v>120</v>
      </c>
      <c r="AO255">
        <f t="shared" si="151"/>
        <v>70140</v>
      </c>
      <c r="AP255">
        <f t="shared" si="174"/>
        <v>70020</v>
      </c>
      <c r="AQ255" s="33">
        <f t="shared" si="152"/>
        <v>70200</v>
      </c>
      <c r="AR255" s="33">
        <f t="shared" si="153"/>
        <v>69960</v>
      </c>
      <c r="AS255">
        <f t="shared" si="154"/>
        <v>70110</v>
      </c>
      <c r="AT255" s="5">
        <f t="shared" si="155"/>
        <v>70050</v>
      </c>
      <c r="AU255" s="5">
        <f t="shared" si="156"/>
        <v>70320</v>
      </c>
      <c r="AV255" s="5">
        <f t="shared" si="157"/>
        <v>69840</v>
      </c>
      <c r="AW255" s="5">
        <f t="shared" si="158"/>
        <v>70100</v>
      </c>
      <c r="AX255" s="5">
        <f t="shared" si="159"/>
        <v>70060</v>
      </c>
      <c r="AY255" s="5">
        <f t="shared" si="160"/>
        <v>70440</v>
      </c>
      <c r="AZ255" s="5">
        <f t="shared" si="161"/>
        <v>69720</v>
      </c>
      <c r="BB255" s="32" t="str">
        <f t="shared" si="138"/>
        <v>09/05/2024</v>
      </c>
      <c r="BC255" s="33">
        <f t="shared" si="138"/>
        <v>69470</v>
      </c>
      <c r="BD255" s="4" t="str">
        <f t="shared" si="138"/>
        <v>A5</v>
      </c>
      <c r="BE255">
        <f t="shared" si="162"/>
        <v>68984.75</v>
      </c>
      <c r="BF255">
        <f t="shared" si="163"/>
        <v>68924.75</v>
      </c>
      <c r="BG255">
        <f t="shared" si="164"/>
        <v>69014.75</v>
      </c>
      <c r="BH255">
        <f t="shared" si="165"/>
        <v>68894.75</v>
      </c>
      <c r="BI255">
        <f t="shared" si="166"/>
        <v>68969.75</v>
      </c>
      <c r="BJ255">
        <f t="shared" si="167"/>
        <v>68939.75</v>
      </c>
      <c r="BK255">
        <f t="shared" si="168"/>
        <v>69074.75</v>
      </c>
      <c r="BL255">
        <f t="shared" si="169"/>
        <v>68834.75</v>
      </c>
      <c r="BM255">
        <f t="shared" si="170"/>
        <v>68964.75</v>
      </c>
      <c r="BN255">
        <f t="shared" si="171"/>
        <v>68944.75</v>
      </c>
      <c r="BO255" s="38">
        <f t="shared" si="172"/>
        <v>69134.75</v>
      </c>
      <c r="BP255">
        <f t="shared" si="173"/>
        <v>68774.75</v>
      </c>
      <c r="BQ255" s="7">
        <f>BO255</f>
        <v>69134.75</v>
      </c>
      <c r="BS255" s="30">
        <f t="shared" si="139"/>
        <v>69470</v>
      </c>
      <c r="BT255" s="4">
        <f t="shared" si="140"/>
        <v>69134.75</v>
      </c>
      <c r="BU255" s="37">
        <f t="shared" si="141"/>
        <v>335.25</v>
      </c>
      <c r="BV255">
        <f t="shared" si="142"/>
        <v>335.25</v>
      </c>
      <c r="BW255" s="35">
        <f t="shared" si="143"/>
        <v>4.8258240967324027E-3</v>
      </c>
    </row>
    <row r="256" spans="1:75">
      <c r="A256" s="1" t="s">
        <v>257</v>
      </c>
      <c r="B256" s="1">
        <v>69630</v>
      </c>
      <c r="Q256">
        <v>253</v>
      </c>
      <c r="R256" s="27" t="str">
        <f t="shared" si="134"/>
        <v>10/05/2024</v>
      </c>
      <c r="S256" s="27">
        <f t="shared" si="134"/>
        <v>68930</v>
      </c>
      <c r="T256" s="4" t="str">
        <f t="shared" si="135"/>
        <v>A5</v>
      </c>
      <c r="V256">
        <v>253</v>
      </c>
      <c r="W256" s="28" t="str">
        <f t="shared" si="133"/>
        <v>10/05/2024</v>
      </c>
      <c r="X256" s="28">
        <f t="shared" si="133"/>
        <v>68930</v>
      </c>
      <c r="Y256" s="28" t="str">
        <f t="shared" si="133"/>
        <v>A5</v>
      </c>
      <c r="Z256" s="5" t="str">
        <f t="shared" si="144"/>
        <v>A5</v>
      </c>
      <c r="AA256" s="5" t="str">
        <f t="shared" si="145"/>
        <v>A5</v>
      </c>
      <c r="AG256" s="29" t="str">
        <f t="shared" si="136"/>
        <v>10/05/2024</v>
      </c>
      <c r="AH256" s="30">
        <f t="shared" si="136"/>
        <v>68930</v>
      </c>
      <c r="AI256" s="4" t="str">
        <f t="shared" si="137"/>
        <v>A5</v>
      </c>
      <c r="AJ256" s="5" t="str">
        <f t="shared" si="146"/>
        <v>A5</v>
      </c>
      <c r="AK256">
        <f t="shared" si="147"/>
        <v>67829.5</v>
      </c>
      <c r="AL256" t="str">
        <f t="shared" si="148"/>
        <v>A5</v>
      </c>
      <c r="AM256">
        <f t="shared" si="149"/>
        <v>67829.5</v>
      </c>
      <c r="AN256" s="6">
        <f t="shared" si="150"/>
        <v>460</v>
      </c>
      <c r="AO256">
        <f t="shared" si="151"/>
        <v>69700</v>
      </c>
      <c r="AP256">
        <f t="shared" si="174"/>
        <v>69240</v>
      </c>
      <c r="AQ256" s="33">
        <f t="shared" si="152"/>
        <v>69930</v>
      </c>
      <c r="AR256" s="33">
        <f t="shared" si="153"/>
        <v>69010</v>
      </c>
      <c r="AS256">
        <f t="shared" si="154"/>
        <v>69585</v>
      </c>
      <c r="AT256" s="5">
        <f t="shared" si="155"/>
        <v>69355</v>
      </c>
      <c r="AU256" s="5">
        <f t="shared" si="156"/>
        <v>70390</v>
      </c>
      <c r="AV256" s="5">
        <f t="shared" si="157"/>
        <v>68550</v>
      </c>
      <c r="AW256" s="5">
        <f t="shared" si="158"/>
        <v>69546.666666666672</v>
      </c>
      <c r="AX256" s="5">
        <f t="shared" si="159"/>
        <v>69393.333333333328</v>
      </c>
      <c r="AY256" s="5">
        <f t="shared" si="160"/>
        <v>70850</v>
      </c>
      <c r="AZ256" s="5">
        <f t="shared" si="161"/>
        <v>68090</v>
      </c>
      <c r="BB256" s="32" t="str">
        <f t="shared" si="138"/>
        <v>10/05/2024</v>
      </c>
      <c r="BC256" s="33">
        <f t="shared" si="138"/>
        <v>68930</v>
      </c>
      <c r="BD256" s="4" t="str">
        <f t="shared" si="138"/>
        <v>A5</v>
      </c>
      <c r="BE256">
        <f t="shared" si="162"/>
        <v>68764.75</v>
      </c>
      <c r="BF256">
        <f t="shared" si="163"/>
        <v>68534.75</v>
      </c>
      <c r="BG256" s="38">
        <f t="shared" si="164"/>
        <v>68879.75</v>
      </c>
      <c r="BH256">
        <f t="shared" si="165"/>
        <v>68419.75</v>
      </c>
      <c r="BI256">
        <f t="shared" si="166"/>
        <v>68707.25</v>
      </c>
      <c r="BJ256">
        <f t="shared" si="167"/>
        <v>68592.25</v>
      </c>
      <c r="BK256">
        <f t="shared" si="168"/>
        <v>69109.75</v>
      </c>
      <c r="BL256">
        <f t="shared" si="169"/>
        <v>68189.75</v>
      </c>
      <c r="BM256">
        <f t="shared" si="170"/>
        <v>68688.083333333343</v>
      </c>
      <c r="BN256">
        <f t="shared" si="171"/>
        <v>68611.416666666657</v>
      </c>
      <c r="BO256">
        <f t="shared" si="172"/>
        <v>69339.75</v>
      </c>
      <c r="BP256">
        <f t="shared" si="173"/>
        <v>67959.75</v>
      </c>
      <c r="BQ256" s="7">
        <f>BG256</f>
        <v>68879.75</v>
      </c>
      <c r="BS256" s="30">
        <f t="shared" si="139"/>
        <v>68930</v>
      </c>
      <c r="BT256" s="4">
        <f t="shared" si="140"/>
        <v>68879.75</v>
      </c>
      <c r="BU256" s="37">
        <f t="shared" si="141"/>
        <v>50.25</v>
      </c>
      <c r="BV256">
        <f t="shared" si="142"/>
        <v>50.25</v>
      </c>
      <c r="BW256" s="35">
        <f t="shared" si="143"/>
        <v>7.2900043522414041E-4</v>
      </c>
    </row>
    <row r="257" spans="1:75">
      <c r="A257" s="1" t="s">
        <v>258</v>
      </c>
      <c r="B257" s="1">
        <v>69980</v>
      </c>
      <c r="Q257">
        <v>254</v>
      </c>
      <c r="R257" s="27" t="str">
        <f t="shared" si="134"/>
        <v>11/05/2024</v>
      </c>
      <c r="S257" s="27">
        <f t="shared" si="134"/>
        <v>69110</v>
      </c>
      <c r="T257" s="4" t="str">
        <f t="shared" si="135"/>
        <v>A5</v>
      </c>
      <c r="V257">
        <v>254</v>
      </c>
      <c r="W257" s="28" t="str">
        <f t="shared" si="133"/>
        <v>11/05/2024</v>
      </c>
      <c r="X257" s="28">
        <f t="shared" si="133"/>
        <v>69110</v>
      </c>
      <c r="Y257" s="28" t="str">
        <f t="shared" si="133"/>
        <v>A5</v>
      </c>
      <c r="Z257" s="5" t="str">
        <f t="shared" si="144"/>
        <v>A5</v>
      </c>
      <c r="AA257" s="5" t="str">
        <f t="shared" si="145"/>
        <v>A5</v>
      </c>
      <c r="AG257" s="29" t="str">
        <f t="shared" si="136"/>
        <v>11/05/2024</v>
      </c>
      <c r="AH257" s="30">
        <f t="shared" si="136"/>
        <v>69110</v>
      </c>
      <c r="AI257" s="4" t="str">
        <f t="shared" si="137"/>
        <v>A5</v>
      </c>
      <c r="AJ257" s="5" t="str">
        <f t="shared" si="146"/>
        <v>A5</v>
      </c>
      <c r="AK257">
        <f t="shared" si="147"/>
        <v>67829.5</v>
      </c>
      <c r="AL257" t="str">
        <f t="shared" si="148"/>
        <v>A5</v>
      </c>
      <c r="AM257">
        <f t="shared" si="149"/>
        <v>67829.5</v>
      </c>
      <c r="AN257" s="6">
        <f t="shared" si="150"/>
        <v>70</v>
      </c>
      <c r="AO257">
        <f t="shared" si="151"/>
        <v>68965</v>
      </c>
      <c r="AP257">
        <f t="shared" si="174"/>
        <v>68895</v>
      </c>
      <c r="AQ257" s="33">
        <f t="shared" si="152"/>
        <v>69000</v>
      </c>
      <c r="AR257" s="33">
        <f t="shared" si="153"/>
        <v>68860</v>
      </c>
      <c r="AS257">
        <f t="shared" si="154"/>
        <v>68947.5</v>
      </c>
      <c r="AT257" s="5">
        <f t="shared" si="155"/>
        <v>68912.5</v>
      </c>
      <c r="AU257" s="5">
        <f t="shared" si="156"/>
        <v>69070</v>
      </c>
      <c r="AV257" s="5">
        <f t="shared" si="157"/>
        <v>68790</v>
      </c>
      <c r="AW257" s="5">
        <f t="shared" si="158"/>
        <v>68941.666666666672</v>
      </c>
      <c r="AX257" s="5">
        <f t="shared" si="159"/>
        <v>68918.333333333328</v>
      </c>
      <c r="AY257" s="5">
        <f t="shared" si="160"/>
        <v>69140</v>
      </c>
      <c r="AZ257" s="5">
        <f t="shared" si="161"/>
        <v>68720</v>
      </c>
      <c r="BB257" s="32" t="str">
        <f t="shared" si="138"/>
        <v>11/05/2024</v>
      </c>
      <c r="BC257" s="33">
        <f t="shared" si="138"/>
        <v>69110</v>
      </c>
      <c r="BD257" s="4" t="str">
        <f t="shared" si="138"/>
        <v>A5</v>
      </c>
      <c r="BE257">
        <f t="shared" si="162"/>
        <v>68397.25</v>
      </c>
      <c r="BF257">
        <f t="shared" si="163"/>
        <v>68362.25</v>
      </c>
      <c r="BG257">
        <f t="shared" si="164"/>
        <v>68414.75</v>
      </c>
      <c r="BH257">
        <f t="shared" si="165"/>
        <v>68344.75</v>
      </c>
      <c r="BI257">
        <f t="shared" si="166"/>
        <v>68388.5</v>
      </c>
      <c r="BJ257">
        <f t="shared" si="167"/>
        <v>68371</v>
      </c>
      <c r="BK257">
        <f t="shared" si="168"/>
        <v>68449.75</v>
      </c>
      <c r="BL257">
        <f t="shared" si="169"/>
        <v>68309.75</v>
      </c>
      <c r="BM257">
        <f t="shared" si="170"/>
        <v>68385.583333333343</v>
      </c>
      <c r="BN257">
        <f t="shared" si="171"/>
        <v>68373.916666666657</v>
      </c>
      <c r="BO257" s="38">
        <f t="shared" si="172"/>
        <v>68484.75</v>
      </c>
      <c r="BP257">
        <f t="shared" si="173"/>
        <v>68274.75</v>
      </c>
      <c r="BQ257" s="7">
        <f>BO257</f>
        <v>68484.75</v>
      </c>
      <c r="BS257" s="30">
        <f t="shared" si="139"/>
        <v>69110</v>
      </c>
      <c r="BT257" s="4">
        <f t="shared" si="140"/>
        <v>68484.75</v>
      </c>
      <c r="BU257" s="37">
        <f t="shared" si="141"/>
        <v>625.25</v>
      </c>
      <c r="BV257">
        <f t="shared" si="142"/>
        <v>625.25</v>
      </c>
      <c r="BW257" s="35">
        <f t="shared" si="143"/>
        <v>9.0471711763854719E-3</v>
      </c>
    </row>
    <row r="258" spans="1:75">
      <c r="A258" s="1" t="s">
        <v>259</v>
      </c>
      <c r="B258" s="1">
        <v>71620</v>
      </c>
      <c r="Q258">
        <v>255</v>
      </c>
      <c r="R258" s="27" t="str">
        <f t="shared" si="134"/>
        <v>12/05/2024</v>
      </c>
      <c r="S258" s="27">
        <f t="shared" si="134"/>
        <v>69630</v>
      </c>
      <c r="T258" s="4" t="str">
        <f t="shared" si="135"/>
        <v>A5</v>
      </c>
      <c r="V258">
        <v>255</v>
      </c>
      <c r="W258" s="28" t="str">
        <f t="shared" si="133"/>
        <v>12/05/2024</v>
      </c>
      <c r="X258" s="28">
        <f t="shared" si="133"/>
        <v>69630</v>
      </c>
      <c r="Y258" s="28" t="str">
        <f t="shared" si="133"/>
        <v>A5</v>
      </c>
      <c r="Z258" s="5" t="str">
        <f t="shared" si="144"/>
        <v>A5</v>
      </c>
      <c r="AA258" s="5" t="str">
        <f t="shared" si="145"/>
        <v>A5</v>
      </c>
      <c r="AG258" s="29" t="str">
        <f t="shared" si="136"/>
        <v>12/05/2024</v>
      </c>
      <c r="AH258" s="30">
        <f t="shared" si="136"/>
        <v>69630</v>
      </c>
      <c r="AI258" s="4" t="str">
        <f t="shared" si="137"/>
        <v>A5</v>
      </c>
      <c r="AJ258" s="5" t="str">
        <f t="shared" si="146"/>
        <v>A5</v>
      </c>
      <c r="AK258">
        <f t="shared" si="147"/>
        <v>67829.5</v>
      </c>
      <c r="AL258" t="str">
        <f t="shared" si="148"/>
        <v>A5</v>
      </c>
      <c r="AM258">
        <f t="shared" si="149"/>
        <v>67829.5</v>
      </c>
      <c r="AN258" s="6">
        <f t="shared" si="150"/>
        <v>360</v>
      </c>
      <c r="AO258">
        <f t="shared" si="151"/>
        <v>69290</v>
      </c>
      <c r="AP258">
        <f t="shared" si="174"/>
        <v>68930</v>
      </c>
      <c r="AQ258" s="33">
        <f t="shared" si="152"/>
        <v>69470</v>
      </c>
      <c r="AR258" s="33">
        <f t="shared" si="153"/>
        <v>68750</v>
      </c>
      <c r="AS258">
        <f t="shared" si="154"/>
        <v>69200</v>
      </c>
      <c r="AT258" s="5">
        <f t="shared" si="155"/>
        <v>69020</v>
      </c>
      <c r="AU258" s="5">
        <f t="shared" si="156"/>
        <v>69830</v>
      </c>
      <c r="AV258" s="5">
        <f t="shared" si="157"/>
        <v>68390</v>
      </c>
      <c r="AW258" s="5">
        <f t="shared" si="158"/>
        <v>69170</v>
      </c>
      <c r="AX258" s="5">
        <f t="shared" si="159"/>
        <v>69050</v>
      </c>
      <c r="AY258" s="5">
        <f t="shared" si="160"/>
        <v>70190</v>
      </c>
      <c r="AZ258" s="5">
        <f t="shared" si="161"/>
        <v>68030</v>
      </c>
      <c r="BB258" s="32" t="str">
        <f t="shared" si="138"/>
        <v>12/05/2024</v>
      </c>
      <c r="BC258" s="33">
        <f t="shared" si="138"/>
        <v>69630</v>
      </c>
      <c r="BD258" s="4" t="str">
        <f t="shared" si="138"/>
        <v>A5</v>
      </c>
      <c r="BE258">
        <f t="shared" si="162"/>
        <v>68559.75</v>
      </c>
      <c r="BF258">
        <f t="shared" si="163"/>
        <v>68379.75</v>
      </c>
      <c r="BG258">
        <f t="shared" si="164"/>
        <v>68649.75</v>
      </c>
      <c r="BH258">
        <f t="shared" si="165"/>
        <v>68289.75</v>
      </c>
      <c r="BI258">
        <f t="shared" si="166"/>
        <v>68514.75</v>
      </c>
      <c r="BJ258">
        <f t="shared" si="167"/>
        <v>68424.75</v>
      </c>
      <c r="BK258">
        <f t="shared" si="168"/>
        <v>68829.75</v>
      </c>
      <c r="BL258">
        <f t="shared" si="169"/>
        <v>68109.75</v>
      </c>
      <c r="BM258">
        <f t="shared" si="170"/>
        <v>68499.75</v>
      </c>
      <c r="BN258">
        <f t="shared" si="171"/>
        <v>68439.75</v>
      </c>
      <c r="BO258" s="38">
        <f t="shared" si="172"/>
        <v>69009.75</v>
      </c>
      <c r="BP258">
        <f t="shared" si="173"/>
        <v>67929.75</v>
      </c>
      <c r="BQ258" s="7">
        <f t="shared" ref="BQ258:BQ259" si="175">BO258</f>
        <v>69009.75</v>
      </c>
      <c r="BS258" s="30">
        <f t="shared" si="139"/>
        <v>69630</v>
      </c>
      <c r="BT258" s="4">
        <f t="shared" si="140"/>
        <v>69009.75</v>
      </c>
      <c r="BU258" s="37">
        <f t="shared" si="141"/>
        <v>620.25</v>
      </c>
      <c r="BV258">
        <f t="shared" si="142"/>
        <v>620.25</v>
      </c>
      <c r="BW258" s="35">
        <f t="shared" si="143"/>
        <v>8.907798362774666E-3</v>
      </c>
    </row>
    <row r="259" spans="1:75">
      <c r="A259" s="1" t="s">
        <v>260</v>
      </c>
      <c r="B259" s="1">
        <v>69370</v>
      </c>
      <c r="Q259">
        <v>256</v>
      </c>
      <c r="R259" s="27" t="str">
        <f t="shared" si="134"/>
        <v>13/05/2024</v>
      </c>
      <c r="S259" s="27">
        <f t="shared" si="134"/>
        <v>69980</v>
      </c>
      <c r="T259" s="4" t="str">
        <f t="shared" si="135"/>
        <v>A5</v>
      </c>
      <c r="V259">
        <v>256</v>
      </c>
      <c r="W259" s="28" t="str">
        <f t="shared" si="133"/>
        <v>13/05/2024</v>
      </c>
      <c r="X259" s="28">
        <f t="shared" si="133"/>
        <v>69980</v>
      </c>
      <c r="Y259" s="28" t="str">
        <f t="shared" si="133"/>
        <v>A5</v>
      </c>
      <c r="Z259" s="5" t="str">
        <f t="shared" si="144"/>
        <v>A5</v>
      </c>
      <c r="AA259" s="5" t="str">
        <f t="shared" si="145"/>
        <v>A5</v>
      </c>
      <c r="AG259" s="29" t="str">
        <f t="shared" si="136"/>
        <v>13/05/2024</v>
      </c>
      <c r="AH259" s="30">
        <f t="shared" si="136"/>
        <v>69980</v>
      </c>
      <c r="AI259" s="4" t="str">
        <f t="shared" si="137"/>
        <v>A5</v>
      </c>
      <c r="AJ259" s="5" t="str">
        <f t="shared" si="146"/>
        <v>A5</v>
      </c>
      <c r="AK259">
        <f t="shared" si="147"/>
        <v>67829.5</v>
      </c>
      <c r="AL259" t="str">
        <f t="shared" si="148"/>
        <v>A5</v>
      </c>
      <c r="AM259">
        <f t="shared" si="149"/>
        <v>67829.5</v>
      </c>
      <c r="AN259" s="6">
        <f t="shared" si="150"/>
        <v>340</v>
      </c>
      <c r="AO259">
        <f t="shared" si="151"/>
        <v>69800</v>
      </c>
      <c r="AP259">
        <f t="shared" si="174"/>
        <v>69460</v>
      </c>
      <c r="AQ259" s="33">
        <f t="shared" si="152"/>
        <v>69970</v>
      </c>
      <c r="AR259" s="33">
        <f t="shared" si="153"/>
        <v>69290</v>
      </c>
      <c r="AS259">
        <f t="shared" si="154"/>
        <v>69715</v>
      </c>
      <c r="AT259" s="5">
        <f t="shared" si="155"/>
        <v>69545</v>
      </c>
      <c r="AU259" s="5">
        <f t="shared" si="156"/>
        <v>70310</v>
      </c>
      <c r="AV259" s="5">
        <f t="shared" si="157"/>
        <v>68950</v>
      </c>
      <c r="AW259" s="5">
        <f t="shared" si="158"/>
        <v>69686.666666666672</v>
      </c>
      <c r="AX259" s="5">
        <f t="shared" si="159"/>
        <v>69573.333333333328</v>
      </c>
      <c r="AY259" s="5">
        <f t="shared" si="160"/>
        <v>70650</v>
      </c>
      <c r="AZ259" s="5">
        <f t="shared" si="161"/>
        <v>68610</v>
      </c>
      <c r="BB259" s="32" t="str">
        <f t="shared" si="138"/>
        <v>13/05/2024</v>
      </c>
      <c r="BC259" s="33">
        <f t="shared" si="138"/>
        <v>69980</v>
      </c>
      <c r="BD259" s="4" t="str">
        <f t="shared" si="138"/>
        <v>A5</v>
      </c>
      <c r="BE259">
        <f t="shared" si="162"/>
        <v>68814.75</v>
      </c>
      <c r="BF259">
        <f t="shared" si="163"/>
        <v>68644.75</v>
      </c>
      <c r="BG259">
        <f t="shared" si="164"/>
        <v>68899.75</v>
      </c>
      <c r="BH259">
        <f t="shared" si="165"/>
        <v>68559.75</v>
      </c>
      <c r="BI259">
        <f t="shared" si="166"/>
        <v>68772.25</v>
      </c>
      <c r="BJ259">
        <f t="shared" si="167"/>
        <v>68687.25</v>
      </c>
      <c r="BK259">
        <f t="shared" si="168"/>
        <v>69069.75</v>
      </c>
      <c r="BL259">
        <f t="shared" si="169"/>
        <v>68389.75</v>
      </c>
      <c r="BM259">
        <f t="shared" si="170"/>
        <v>68758.083333333343</v>
      </c>
      <c r="BN259">
        <f t="shared" si="171"/>
        <v>68701.416666666657</v>
      </c>
      <c r="BO259" s="38">
        <f t="shared" si="172"/>
        <v>69239.75</v>
      </c>
      <c r="BP259">
        <f t="shared" si="173"/>
        <v>68219.75</v>
      </c>
      <c r="BQ259" s="7">
        <f t="shared" si="175"/>
        <v>69239.75</v>
      </c>
      <c r="BS259" s="30">
        <f t="shared" si="139"/>
        <v>69980</v>
      </c>
      <c r="BT259" s="4">
        <f t="shared" si="140"/>
        <v>69239.75</v>
      </c>
      <c r="BU259" s="37">
        <f t="shared" si="141"/>
        <v>740.25</v>
      </c>
      <c r="BV259">
        <f t="shared" si="142"/>
        <v>740.25</v>
      </c>
      <c r="BW259" s="35">
        <f t="shared" si="143"/>
        <v>1.0578022292083452E-2</v>
      </c>
    </row>
    <row r="260" spans="1:75">
      <c r="A260" s="1" t="s">
        <v>261</v>
      </c>
      <c r="B260" s="1">
        <v>69580</v>
      </c>
      <c r="Q260">
        <v>257</v>
      </c>
      <c r="R260" s="27" t="str">
        <f t="shared" si="134"/>
        <v>14/05/2024</v>
      </c>
      <c r="S260" s="27">
        <f t="shared" si="134"/>
        <v>71620</v>
      </c>
      <c r="T260" s="4" t="str">
        <f t="shared" si="135"/>
        <v>A6</v>
      </c>
      <c r="V260">
        <v>257</v>
      </c>
      <c r="W260" s="28" t="str">
        <f t="shared" ref="W260:Y323" si="176">R260</f>
        <v>14/05/2024</v>
      </c>
      <c r="X260" s="28">
        <f t="shared" si="176"/>
        <v>71620</v>
      </c>
      <c r="Y260" s="28" t="str">
        <f t="shared" si="176"/>
        <v>A6</v>
      </c>
      <c r="Z260" s="5" t="str">
        <f t="shared" si="144"/>
        <v>A5</v>
      </c>
      <c r="AA260" s="5" t="str">
        <f t="shared" si="145"/>
        <v>A5</v>
      </c>
      <c r="AG260" s="29" t="str">
        <f t="shared" si="136"/>
        <v>14/05/2024</v>
      </c>
      <c r="AH260" s="30">
        <f t="shared" si="136"/>
        <v>71620</v>
      </c>
      <c r="AI260" s="4" t="str">
        <f t="shared" si="137"/>
        <v>A6</v>
      </c>
      <c r="AJ260" s="5" t="str">
        <f t="shared" si="146"/>
        <v>A5</v>
      </c>
      <c r="AK260">
        <f t="shared" si="147"/>
        <v>67829.5</v>
      </c>
      <c r="AL260" t="str">
        <f t="shared" si="148"/>
        <v>A5</v>
      </c>
      <c r="AM260">
        <f t="shared" si="149"/>
        <v>67829.5</v>
      </c>
      <c r="AN260" s="6">
        <f t="shared" si="150"/>
        <v>170</v>
      </c>
      <c r="AO260">
        <f t="shared" si="151"/>
        <v>70065</v>
      </c>
      <c r="AP260">
        <f t="shared" si="174"/>
        <v>69895</v>
      </c>
      <c r="AQ260" s="33">
        <f t="shared" si="152"/>
        <v>70150</v>
      </c>
      <c r="AR260" s="33">
        <f t="shared" si="153"/>
        <v>69810</v>
      </c>
      <c r="AS260">
        <f t="shared" si="154"/>
        <v>70022.5</v>
      </c>
      <c r="AT260" s="5">
        <f t="shared" si="155"/>
        <v>69937.5</v>
      </c>
      <c r="AU260" s="5">
        <f t="shared" si="156"/>
        <v>70320</v>
      </c>
      <c r="AV260" s="5">
        <f t="shared" si="157"/>
        <v>69640</v>
      </c>
      <c r="AW260" s="5">
        <f t="shared" si="158"/>
        <v>70008.333333333328</v>
      </c>
      <c r="AX260" s="5">
        <f t="shared" si="159"/>
        <v>69951.666666666672</v>
      </c>
      <c r="AY260" s="5">
        <f t="shared" si="160"/>
        <v>70490</v>
      </c>
      <c r="AZ260" s="5">
        <f t="shared" si="161"/>
        <v>69470</v>
      </c>
      <c r="BB260" s="32" t="str">
        <f t="shared" si="138"/>
        <v>14/05/2024</v>
      </c>
      <c r="BC260" s="33">
        <f t="shared" si="138"/>
        <v>71620</v>
      </c>
      <c r="BD260" s="4" t="str">
        <f t="shared" si="138"/>
        <v>A6</v>
      </c>
      <c r="BE260">
        <f t="shared" si="162"/>
        <v>68947.25</v>
      </c>
      <c r="BF260">
        <f t="shared" si="163"/>
        <v>68862.25</v>
      </c>
      <c r="BG260">
        <f t="shared" si="164"/>
        <v>68989.75</v>
      </c>
      <c r="BH260">
        <f t="shared" si="165"/>
        <v>68819.75</v>
      </c>
      <c r="BI260">
        <f t="shared" si="166"/>
        <v>68926</v>
      </c>
      <c r="BJ260">
        <f t="shared" si="167"/>
        <v>68883.5</v>
      </c>
      <c r="BK260">
        <f t="shared" si="168"/>
        <v>69074.75</v>
      </c>
      <c r="BL260">
        <f t="shared" si="169"/>
        <v>68734.75</v>
      </c>
      <c r="BM260">
        <f t="shared" si="170"/>
        <v>68918.916666666657</v>
      </c>
      <c r="BN260">
        <f t="shared" si="171"/>
        <v>68890.583333333343</v>
      </c>
      <c r="BO260" s="38">
        <f t="shared" si="172"/>
        <v>69159.75</v>
      </c>
      <c r="BP260">
        <f t="shared" si="173"/>
        <v>68649.75</v>
      </c>
      <c r="BQ260" s="7">
        <f>BO260</f>
        <v>69159.75</v>
      </c>
      <c r="BS260" s="30">
        <f t="shared" si="139"/>
        <v>71620</v>
      </c>
      <c r="BT260" s="4">
        <f t="shared" si="140"/>
        <v>69159.75</v>
      </c>
      <c r="BU260" s="37">
        <f t="shared" si="141"/>
        <v>2460.25</v>
      </c>
      <c r="BV260">
        <f t="shared" si="142"/>
        <v>2460.25</v>
      </c>
      <c r="BW260" s="35">
        <f t="shared" si="143"/>
        <v>3.4351438145769339E-2</v>
      </c>
    </row>
    <row r="261" spans="1:75">
      <c r="A261" s="1" t="s">
        <v>262</v>
      </c>
      <c r="B261" s="1">
        <v>69750</v>
      </c>
      <c r="Q261">
        <v>258</v>
      </c>
      <c r="R261" s="27" t="str">
        <f t="shared" ref="R261:S324" si="177">A259</f>
        <v>15/05/2024</v>
      </c>
      <c r="S261" s="27">
        <f t="shared" si="177"/>
        <v>69370</v>
      </c>
      <c r="T261" s="4" t="str">
        <f t="shared" ref="T261:T324" si="178">VLOOKUP(S261,$N$5:$O$14,2,TRUE)</f>
        <v>A5</v>
      </c>
      <c r="V261">
        <v>258</v>
      </c>
      <c r="W261" s="28" t="str">
        <f t="shared" si="176"/>
        <v>15/05/2024</v>
      </c>
      <c r="X261" s="28">
        <f t="shared" si="176"/>
        <v>69370</v>
      </c>
      <c r="Y261" s="28" t="str">
        <f t="shared" si="176"/>
        <v>A5</v>
      </c>
      <c r="Z261" s="5" t="str">
        <f t="shared" si="144"/>
        <v>A5</v>
      </c>
      <c r="AA261" s="5" t="str">
        <f t="shared" si="145"/>
        <v>A6</v>
      </c>
      <c r="AG261" s="29" t="str">
        <f t="shared" ref="AG261:AH324" si="179">W261</f>
        <v>15/05/2024</v>
      </c>
      <c r="AH261" s="30">
        <f t="shared" si="179"/>
        <v>69370</v>
      </c>
      <c r="AI261" s="4" t="str">
        <f t="shared" ref="AI261:AI324" si="180">VLOOKUP(AH261,$N$5:$O$14,2,TRUE)</f>
        <v>A5</v>
      </c>
      <c r="AJ261" s="5" t="str">
        <f t="shared" si="146"/>
        <v>A5</v>
      </c>
      <c r="AK261">
        <f t="shared" si="147"/>
        <v>67829.5</v>
      </c>
      <c r="AL261" t="str">
        <f t="shared" si="148"/>
        <v>A6</v>
      </c>
      <c r="AM261">
        <f t="shared" si="149"/>
        <v>73860.5</v>
      </c>
      <c r="AN261" s="6">
        <f t="shared" si="150"/>
        <v>1290</v>
      </c>
      <c r="AO261">
        <f t="shared" si="151"/>
        <v>72265</v>
      </c>
      <c r="AP261">
        <f t="shared" si="174"/>
        <v>70975</v>
      </c>
      <c r="AQ261" s="33">
        <f t="shared" si="152"/>
        <v>72910</v>
      </c>
      <c r="AR261" s="33">
        <f t="shared" si="153"/>
        <v>70330</v>
      </c>
      <c r="AS261">
        <f t="shared" si="154"/>
        <v>71942.5</v>
      </c>
      <c r="AT261" s="5">
        <f t="shared" si="155"/>
        <v>71297.5</v>
      </c>
      <c r="AU261" s="5">
        <f t="shared" si="156"/>
        <v>74200</v>
      </c>
      <c r="AV261" s="5">
        <f t="shared" si="157"/>
        <v>69040</v>
      </c>
      <c r="AW261" s="5">
        <f t="shared" si="158"/>
        <v>71835</v>
      </c>
      <c r="AX261" s="5">
        <f t="shared" si="159"/>
        <v>71405</v>
      </c>
      <c r="AY261" s="5">
        <f t="shared" si="160"/>
        <v>75490</v>
      </c>
      <c r="AZ261" s="5">
        <f t="shared" si="161"/>
        <v>67750</v>
      </c>
      <c r="BB261" s="32" t="str">
        <f t="shared" ref="BB261:BD324" si="181">AG261</f>
        <v>15/05/2024</v>
      </c>
      <c r="BC261" s="33">
        <f t="shared" si="181"/>
        <v>69370</v>
      </c>
      <c r="BD261" s="4" t="str">
        <f t="shared" si="181"/>
        <v>A5</v>
      </c>
      <c r="BE261">
        <f t="shared" si="162"/>
        <v>73062.75</v>
      </c>
      <c r="BF261">
        <f t="shared" si="163"/>
        <v>72417.75</v>
      </c>
      <c r="BG261">
        <f t="shared" si="164"/>
        <v>73385.25</v>
      </c>
      <c r="BH261">
        <f t="shared" si="165"/>
        <v>72095.25</v>
      </c>
      <c r="BI261">
        <f t="shared" si="166"/>
        <v>72901.5</v>
      </c>
      <c r="BJ261">
        <f t="shared" si="167"/>
        <v>72579</v>
      </c>
      <c r="BK261">
        <f t="shared" si="168"/>
        <v>74030.25</v>
      </c>
      <c r="BL261">
        <f t="shared" si="169"/>
        <v>71450.25</v>
      </c>
      <c r="BM261">
        <f t="shared" si="170"/>
        <v>72847.75</v>
      </c>
      <c r="BN261">
        <f t="shared" si="171"/>
        <v>72632.75</v>
      </c>
      <c r="BO261">
        <f t="shared" si="172"/>
        <v>74675.25</v>
      </c>
      <c r="BP261" s="38">
        <f t="shared" si="173"/>
        <v>70805.25</v>
      </c>
      <c r="BQ261" s="7">
        <f>BP261</f>
        <v>70805.25</v>
      </c>
      <c r="BS261" s="30">
        <f t="shared" ref="BS261:BS324" si="182">BC261</f>
        <v>69370</v>
      </c>
      <c r="BT261" s="4">
        <f t="shared" ref="BT261:BT324" si="183">BQ261</f>
        <v>70805.25</v>
      </c>
      <c r="BU261" s="37">
        <f t="shared" si="141"/>
        <v>-1435.25</v>
      </c>
      <c r="BV261">
        <f t="shared" si="142"/>
        <v>1435.25</v>
      </c>
      <c r="BW261" s="35">
        <f t="shared" si="143"/>
        <v>2.06897794435635E-2</v>
      </c>
    </row>
    <row r="262" spans="1:75">
      <c r="A262" s="1" t="s">
        <v>263</v>
      </c>
      <c r="B262" s="1">
        <v>69760</v>
      </c>
      <c r="Q262">
        <v>259</v>
      </c>
      <c r="R262" s="27" t="str">
        <f t="shared" si="177"/>
        <v>16/05/2024</v>
      </c>
      <c r="S262" s="27">
        <f t="shared" si="177"/>
        <v>69580</v>
      </c>
      <c r="T262" s="4" t="str">
        <f t="shared" si="178"/>
        <v>A5</v>
      </c>
      <c r="V262">
        <v>259</v>
      </c>
      <c r="W262" s="28" t="str">
        <f t="shared" si="176"/>
        <v>16/05/2024</v>
      </c>
      <c r="X262" s="28">
        <f t="shared" si="176"/>
        <v>69580</v>
      </c>
      <c r="Y262" s="28" t="str">
        <f t="shared" si="176"/>
        <v>A5</v>
      </c>
      <c r="Z262" s="5" t="str">
        <f t="shared" si="144"/>
        <v>A6</v>
      </c>
      <c r="AA262" s="5" t="str">
        <f t="shared" si="145"/>
        <v>A5</v>
      </c>
      <c r="AG262" s="29" t="str">
        <f t="shared" si="179"/>
        <v>16/05/2024</v>
      </c>
      <c r="AH262" s="30">
        <f t="shared" si="179"/>
        <v>69580</v>
      </c>
      <c r="AI262" s="4" t="str">
        <f t="shared" si="180"/>
        <v>A5</v>
      </c>
      <c r="AJ262" s="5" t="str">
        <f t="shared" si="146"/>
        <v>A6</v>
      </c>
      <c r="AK262">
        <f t="shared" si="147"/>
        <v>73860.5</v>
      </c>
      <c r="AL262" t="str">
        <f t="shared" si="148"/>
        <v>A5</v>
      </c>
      <c r="AM262">
        <f t="shared" si="149"/>
        <v>67829.5</v>
      </c>
      <c r="AN262" s="6">
        <f t="shared" si="150"/>
        <v>610</v>
      </c>
      <c r="AO262">
        <f t="shared" si="151"/>
        <v>69675</v>
      </c>
      <c r="AP262">
        <f t="shared" si="174"/>
        <v>69065</v>
      </c>
      <c r="AQ262" s="33">
        <f t="shared" si="152"/>
        <v>69980</v>
      </c>
      <c r="AR262" s="33">
        <f t="shared" si="153"/>
        <v>68760</v>
      </c>
      <c r="AS262">
        <f t="shared" si="154"/>
        <v>69522.5</v>
      </c>
      <c r="AT262" s="5">
        <f t="shared" si="155"/>
        <v>69217.5</v>
      </c>
      <c r="AU262" s="5">
        <f t="shared" si="156"/>
        <v>70590</v>
      </c>
      <c r="AV262" s="5">
        <f t="shared" si="157"/>
        <v>68150</v>
      </c>
      <c r="AW262" s="5">
        <f t="shared" si="158"/>
        <v>69471.666666666672</v>
      </c>
      <c r="AX262" s="5">
        <f t="shared" si="159"/>
        <v>69268.333333333328</v>
      </c>
      <c r="AY262" s="5">
        <f t="shared" si="160"/>
        <v>71200</v>
      </c>
      <c r="AZ262" s="5">
        <f t="shared" si="161"/>
        <v>67540</v>
      </c>
      <c r="BB262" s="32" t="str">
        <f t="shared" si="181"/>
        <v>16/05/2024</v>
      </c>
      <c r="BC262" s="33">
        <f t="shared" si="181"/>
        <v>69580</v>
      </c>
      <c r="BD262" s="4" t="str">
        <f t="shared" si="181"/>
        <v>A5</v>
      </c>
      <c r="BE262">
        <f t="shared" si="162"/>
        <v>68752.25</v>
      </c>
      <c r="BF262">
        <f t="shared" si="163"/>
        <v>68447.25</v>
      </c>
      <c r="BG262">
        <f t="shared" si="164"/>
        <v>68904.75</v>
      </c>
      <c r="BH262">
        <f t="shared" si="165"/>
        <v>68294.75</v>
      </c>
      <c r="BI262">
        <f t="shared" si="166"/>
        <v>68676</v>
      </c>
      <c r="BJ262">
        <f t="shared" si="167"/>
        <v>68523.5</v>
      </c>
      <c r="BK262">
        <f t="shared" si="168"/>
        <v>69209.75</v>
      </c>
      <c r="BL262">
        <f t="shared" si="169"/>
        <v>67989.75</v>
      </c>
      <c r="BM262">
        <f t="shared" si="170"/>
        <v>68650.583333333343</v>
      </c>
      <c r="BN262">
        <f t="shared" si="171"/>
        <v>68548.916666666657</v>
      </c>
      <c r="BO262" s="38">
        <f t="shared" si="172"/>
        <v>69514.75</v>
      </c>
      <c r="BP262">
        <f t="shared" si="173"/>
        <v>67684.75</v>
      </c>
      <c r="BQ262" s="7">
        <f>BO262</f>
        <v>69514.75</v>
      </c>
      <c r="BS262" s="30">
        <f t="shared" si="182"/>
        <v>69580</v>
      </c>
      <c r="BT262" s="4">
        <f t="shared" si="183"/>
        <v>69514.75</v>
      </c>
      <c r="BU262" s="37">
        <f t="shared" si="141"/>
        <v>65.25</v>
      </c>
      <c r="BV262">
        <f t="shared" si="142"/>
        <v>65.25</v>
      </c>
      <c r="BW262" s="35">
        <f t="shared" si="143"/>
        <v>9.3776947398677786E-4</v>
      </c>
    </row>
    <row r="263" spans="1:75">
      <c r="A263" s="1" t="s">
        <v>264</v>
      </c>
      <c r="B263" s="1">
        <v>69900</v>
      </c>
      <c r="Q263">
        <v>260</v>
      </c>
      <c r="R263" s="27" t="str">
        <f t="shared" si="177"/>
        <v>17/05/2024</v>
      </c>
      <c r="S263" s="27">
        <f t="shared" si="177"/>
        <v>69750</v>
      </c>
      <c r="T263" s="4" t="str">
        <f t="shared" si="178"/>
        <v>A5</v>
      </c>
      <c r="V263">
        <v>260</v>
      </c>
      <c r="W263" s="28" t="str">
        <f t="shared" si="176"/>
        <v>17/05/2024</v>
      </c>
      <c r="X263" s="28">
        <f t="shared" si="176"/>
        <v>69750</v>
      </c>
      <c r="Y263" s="28" t="str">
        <f t="shared" si="176"/>
        <v>A5</v>
      </c>
      <c r="Z263" s="5" t="str">
        <f t="shared" si="144"/>
        <v>A5</v>
      </c>
      <c r="AA263" s="5" t="str">
        <f t="shared" si="145"/>
        <v>A5</v>
      </c>
      <c r="AG263" s="29" t="str">
        <f t="shared" si="179"/>
        <v>17/05/2024</v>
      </c>
      <c r="AH263" s="30">
        <f t="shared" si="179"/>
        <v>69750</v>
      </c>
      <c r="AI263" s="4" t="str">
        <f t="shared" si="180"/>
        <v>A5</v>
      </c>
      <c r="AJ263" s="5" t="str">
        <f t="shared" si="146"/>
        <v>A5</v>
      </c>
      <c r="AK263">
        <f t="shared" si="147"/>
        <v>67829.5</v>
      </c>
      <c r="AL263" t="str">
        <f t="shared" si="148"/>
        <v>A5</v>
      </c>
      <c r="AM263">
        <f t="shared" si="149"/>
        <v>67829.5</v>
      </c>
      <c r="AN263" s="6">
        <f t="shared" si="150"/>
        <v>2040</v>
      </c>
      <c r="AO263">
        <f t="shared" si="151"/>
        <v>70600</v>
      </c>
      <c r="AP263">
        <f t="shared" si="174"/>
        <v>68560</v>
      </c>
      <c r="AQ263" s="33">
        <f t="shared" si="152"/>
        <v>71620</v>
      </c>
      <c r="AR263" s="33">
        <f t="shared" si="153"/>
        <v>67540</v>
      </c>
      <c r="AS263">
        <f t="shared" si="154"/>
        <v>70090</v>
      </c>
      <c r="AT263" s="5">
        <f t="shared" si="155"/>
        <v>69070</v>
      </c>
      <c r="AU263" s="5">
        <f t="shared" si="156"/>
        <v>73660</v>
      </c>
      <c r="AV263" s="5">
        <f t="shared" si="157"/>
        <v>65500</v>
      </c>
      <c r="AW263" s="5">
        <f t="shared" si="158"/>
        <v>69920</v>
      </c>
      <c r="AX263" s="5">
        <f t="shared" si="159"/>
        <v>69240</v>
      </c>
      <c r="AY263" s="5">
        <f t="shared" si="160"/>
        <v>75700</v>
      </c>
      <c r="AZ263" s="5">
        <f t="shared" si="161"/>
        <v>63460</v>
      </c>
      <c r="BB263" s="32" t="str">
        <f t="shared" si="181"/>
        <v>17/05/2024</v>
      </c>
      <c r="BC263" s="33">
        <f t="shared" si="181"/>
        <v>69750</v>
      </c>
      <c r="BD263" s="4" t="str">
        <f t="shared" si="181"/>
        <v>A5</v>
      </c>
      <c r="BE263">
        <f t="shared" si="162"/>
        <v>69214.75</v>
      </c>
      <c r="BF263">
        <f t="shared" si="163"/>
        <v>68194.75</v>
      </c>
      <c r="BG263" s="38">
        <f t="shared" si="164"/>
        <v>69724.75</v>
      </c>
      <c r="BH263">
        <f t="shared" si="165"/>
        <v>67684.75</v>
      </c>
      <c r="BI263">
        <f t="shared" si="166"/>
        <v>68959.75</v>
      </c>
      <c r="BJ263">
        <f t="shared" si="167"/>
        <v>68449.75</v>
      </c>
      <c r="BK263">
        <f t="shared" si="168"/>
        <v>70744.75</v>
      </c>
      <c r="BL263">
        <f t="shared" si="169"/>
        <v>66664.75</v>
      </c>
      <c r="BM263">
        <f t="shared" si="170"/>
        <v>68874.75</v>
      </c>
      <c r="BN263">
        <f t="shared" si="171"/>
        <v>68534.75</v>
      </c>
      <c r="BO263">
        <f t="shared" si="172"/>
        <v>71764.75</v>
      </c>
      <c r="BP263">
        <f t="shared" si="173"/>
        <v>65644.75</v>
      </c>
      <c r="BQ263" s="7">
        <f>BG263</f>
        <v>69724.75</v>
      </c>
      <c r="BS263" s="30">
        <f t="shared" si="182"/>
        <v>69750</v>
      </c>
      <c r="BT263" s="4">
        <f t="shared" si="183"/>
        <v>69724.75</v>
      </c>
      <c r="BU263" s="37">
        <f t="shared" ref="BU263:BU326" si="184">BS263-BT263</f>
        <v>25.25</v>
      </c>
      <c r="BV263">
        <f t="shared" ref="BV263:BV326" si="185">ABS(BU263)</f>
        <v>25.25</v>
      </c>
      <c r="BW263" s="35">
        <f t="shared" ref="BW263:BW326" si="186">BV263/BS263</f>
        <v>3.6200716845878134E-4</v>
      </c>
    </row>
    <row r="264" spans="1:75">
      <c r="A264" s="1" t="s">
        <v>265</v>
      </c>
      <c r="B264" s="1">
        <v>67560</v>
      </c>
      <c r="Q264">
        <v>261</v>
      </c>
      <c r="R264" s="27" t="str">
        <f t="shared" si="177"/>
        <v>18/05/2024</v>
      </c>
      <c r="S264" s="27">
        <f t="shared" si="177"/>
        <v>69760</v>
      </c>
      <c r="T264" s="4" t="str">
        <f t="shared" si="178"/>
        <v>A5</v>
      </c>
      <c r="V264">
        <v>261</v>
      </c>
      <c r="W264" s="28" t="str">
        <f t="shared" si="176"/>
        <v>18/05/2024</v>
      </c>
      <c r="X264" s="28">
        <f t="shared" si="176"/>
        <v>69760</v>
      </c>
      <c r="Y264" s="28" t="str">
        <f t="shared" si="176"/>
        <v>A5</v>
      </c>
      <c r="Z264" s="5" t="str">
        <f t="shared" ref="Z264:Z327" si="187">Y262</f>
        <v>A5</v>
      </c>
      <c r="AA264" s="5" t="str">
        <f t="shared" ref="AA264:AA327" si="188">Y263</f>
        <v>A5</v>
      </c>
      <c r="AG264" s="29" t="str">
        <f t="shared" si="179"/>
        <v>18/05/2024</v>
      </c>
      <c r="AH264" s="30">
        <f t="shared" si="179"/>
        <v>69760</v>
      </c>
      <c r="AI264" s="4" t="str">
        <f t="shared" si="180"/>
        <v>A5</v>
      </c>
      <c r="AJ264" s="5" t="str">
        <f t="shared" ref="AJ264:AJ327" si="189">AI262</f>
        <v>A5</v>
      </c>
      <c r="AK264">
        <f t="shared" ref="AK264:AK327" si="190">VLOOKUP(AJ264,$AC$18:$AD$27,2,FALSE)</f>
        <v>67829.5</v>
      </c>
      <c r="AL264" t="str">
        <f t="shared" ref="AL264:AL327" si="191">AI263</f>
        <v>A5</v>
      </c>
      <c r="AM264">
        <f t="shared" ref="AM264:AM327" si="192">VLOOKUP(AL264,$AC$18:$AD$27,2,FALSE)</f>
        <v>67829.5</v>
      </c>
      <c r="AN264" s="6">
        <f t="shared" ref="AN264:AN327" si="193">ABS(ABS(AH263-AH262)-ABS(AH262-AH261))</f>
        <v>40</v>
      </c>
      <c r="AO264">
        <f t="shared" ref="AO264:AO327" si="194">AH263+AN264/2</f>
        <v>69770</v>
      </c>
      <c r="AP264">
        <f t="shared" si="174"/>
        <v>69730</v>
      </c>
      <c r="AQ264" s="33">
        <f t="shared" ref="AQ264:AQ327" si="195">AH263+AN264</f>
        <v>69790</v>
      </c>
      <c r="AR264" s="33">
        <f t="shared" ref="AR264:AR327" si="196">AH263-AN264</f>
        <v>69710</v>
      </c>
      <c r="AS264">
        <f t="shared" ref="AS264:AS327" si="197">AH263+AN264/4</f>
        <v>69760</v>
      </c>
      <c r="AT264" s="5">
        <f t="shared" ref="AT264:AT327" si="198">AH263-AN264/4</f>
        <v>69740</v>
      </c>
      <c r="AU264" s="5">
        <f t="shared" ref="AU264:AU327" si="199">AH263+2*AN264</f>
        <v>69830</v>
      </c>
      <c r="AV264" s="5">
        <f t="shared" ref="AV264:AV327" si="200">AH263-2*AN264</f>
        <v>69670</v>
      </c>
      <c r="AW264" s="5">
        <f t="shared" ref="AW264:AW327" si="201">AH263+AN264/6</f>
        <v>69756.666666666672</v>
      </c>
      <c r="AX264" s="5">
        <f t="shared" ref="AX264:AX327" si="202">AH263-AN264/6</f>
        <v>69743.333333333328</v>
      </c>
      <c r="AY264" s="5">
        <f t="shared" ref="AY264:AY327" si="203">AH263+3*AN264</f>
        <v>69870</v>
      </c>
      <c r="AZ264" s="5">
        <f t="shared" ref="AZ264:AZ327" si="204">AH263-3*AN264</f>
        <v>69630</v>
      </c>
      <c r="BB264" s="32" t="str">
        <f t="shared" si="181"/>
        <v>18/05/2024</v>
      </c>
      <c r="BC264" s="33">
        <f t="shared" si="181"/>
        <v>69760</v>
      </c>
      <c r="BD264" s="4" t="str">
        <f t="shared" si="181"/>
        <v>A5</v>
      </c>
      <c r="BE264">
        <f t="shared" ref="BE264:BE327" si="205">(AO264+AM264)/(1+1)</f>
        <v>68799.75</v>
      </c>
      <c r="BF264">
        <f t="shared" ref="BF264:BF327" si="206">(AP264+AM264)/(1+1)</f>
        <v>68779.75</v>
      </c>
      <c r="BG264">
        <f t="shared" ref="BG264:BG327" si="207">(AQ264+AM264)/(1+1)</f>
        <v>68809.75</v>
      </c>
      <c r="BH264">
        <f t="shared" ref="BH264:BH327" si="208">(AR264+AM264)/(1+1)</f>
        <v>68769.75</v>
      </c>
      <c r="BI264">
        <f t="shared" ref="BI264:BI327" si="209">(AS264+AM264)/(1+1)</f>
        <v>68794.75</v>
      </c>
      <c r="BJ264">
        <f t="shared" ref="BJ264:BJ327" si="210">(AT264+AM264)/(1+1)</f>
        <v>68784.75</v>
      </c>
      <c r="BK264">
        <f t="shared" ref="BK264:BK327" si="211">(AU264+AM264)/(1+1)</f>
        <v>68829.75</v>
      </c>
      <c r="BL264">
        <f t="shared" ref="BL264:BL327" si="212">(AV264+AM264)/(1+1)</f>
        <v>68749.75</v>
      </c>
      <c r="BM264">
        <f t="shared" ref="BM264:BM327" si="213">(AW264+AM264)/(1+1)</f>
        <v>68793.083333333343</v>
      </c>
      <c r="BN264">
        <f t="shared" ref="BN264:BN327" si="214">(AX264+AM264)/(1+1)</f>
        <v>68786.416666666657</v>
      </c>
      <c r="BO264" s="38">
        <f t="shared" ref="BO264:BO327" si="215">(AY264+AM264)/(1+1)</f>
        <v>68849.75</v>
      </c>
      <c r="BP264">
        <f t="shared" ref="BP264:BP327" si="216">(AZ264+AM264)/(1+1)</f>
        <v>68729.75</v>
      </c>
      <c r="BQ264" s="7">
        <f>BO264</f>
        <v>68849.75</v>
      </c>
      <c r="BS264" s="30">
        <f t="shared" si="182"/>
        <v>69760</v>
      </c>
      <c r="BT264" s="4">
        <f t="shared" si="183"/>
        <v>68849.75</v>
      </c>
      <c r="BU264" s="37">
        <f t="shared" si="184"/>
        <v>910.25</v>
      </c>
      <c r="BV264">
        <f t="shared" si="185"/>
        <v>910.25</v>
      </c>
      <c r="BW264" s="35">
        <f t="shared" si="186"/>
        <v>1.3048308486238532E-2</v>
      </c>
    </row>
    <row r="265" spans="1:75">
      <c r="A265" s="1" t="s">
        <v>266</v>
      </c>
      <c r="B265" s="1">
        <v>65140</v>
      </c>
      <c r="Q265">
        <v>262</v>
      </c>
      <c r="R265" s="27" t="str">
        <f t="shared" si="177"/>
        <v>19/05/2024</v>
      </c>
      <c r="S265" s="27">
        <f t="shared" si="177"/>
        <v>69900</v>
      </c>
      <c r="T265" s="4" t="str">
        <f t="shared" si="178"/>
        <v>A5</v>
      </c>
      <c r="V265">
        <v>262</v>
      </c>
      <c r="W265" s="28" t="str">
        <f t="shared" si="176"/>
        <v>19/05/2024</v>
      </c>
      <c r="X265" s="28">
        <f t="shared" si="176"/>
        <v>69900</v>
      </c>
      <c r="Y265" s="28" t="str">
        <f t="shared" si="176"/>
        <v>A5</v>
      </c>
      <c r="Z265" s="5" t="str">
        <f t="shared" si="187"/>
        <v>A5</v>
      </c>
      <c r="AA265" s="5" t="str">
        <f t="shared" si="188"/>
        <v>A5</v>
      </c>
      <c r="AG265" s="29" t="str">
        <f t="shared" si="179"/>
        <v>19/05/2024</v>
      </c>
      <c r="AH265" s="30">
        <f t="shared" si="179"/>
        <v>69900</v>
      </c>
      <c r="AI265" s="4" t="str">
        <f t="shared" si="180"/>
        <v>A5</v>
      </c>
      <c r="AJ265" s="5" t="str">
        <f t="shared" si="189"/>
        <v>A5</v>
      </c>
      <c r="AK265">
        <f t="shared" si="190"/>
        <v>67829.5</v>
      </c>
      <c r="AL265" t="str">
        <f t="shared" si="191"/>
        <v>A5</v>
      </c>
      <c r="AM265">
        <f t="shared" si="192"/>
        <v>67829.5</v>
      </c>
      <c r="AN265" s="6">
        <f t="shared" si="193"/>
        <v>160</v>
      </c>
      <c r="AO265">
        <f t="shared" si="194"/>
        <v>69840</v>
      </c>
      <c r="AP265">
        <f t="shared" si="174"/>
        <v>69680</v>
      </c>
      <c r="AQ265" s="33">
        <f t="shared" si="195"/>
        <v>69920</v>
      </c>
      <c r="AR265" s="33">
        <f t="shared" si="196"/>
        <v>69600</v>
      </c>
      <c r="AS265">
        <f t="shared" si="197"/>
        <v>69800</v>
      </c>
      <c r="AT265" s="5">
        <f t="shared" si="198"/>
        <v>69720</v>
      </c>
      <c r="AU265" s="5">
        <f t="shared" si="199"/>
        <v>70080</v>
      </c>
      <c r="AV265" s="5">
        <f t="shared" si="200"/>
        <v>69440</v>
      </c>
      <c r="AW265" s="5">
        <f t="shared" si="201"/>
        <v>69786.666666666672</v>
      </c>
      <c r="AX265" s="5">
        <f t="shared" si="202"/>
        <v>69733.333333333328</v>
      </c>
      <c r="AY265" s="5">
        <f t="shared" si="203"/>
        <v>70240</v>
      </c>
      <c r="AZ265" s="5">
        <f t="shared" si="204"/>
        <v>69280</v>
      </c>
      <c r="BB265" s="32" t="str">
        <f t="shared" si="181"/>
        <v>19/05/2024</v>
      </c>
      <c r="BC265" s="33">
        <f t="shared" si="181"/>
        <v>69900</v>
      </c>
      <c r="BD265" s="4" t="str">
        <f t="shared" si="181"/>
        <v>A5</v>
      </c>
      <c r="BE265">
        <f t="shared" si="205"/>
        <v>68834.75</v>
      </c>
      <c r="BF265">
        <f t="shared" si="206"/>
        <v>68754.75</v>
      </c>
      <c r="BG265">
        <f t="shared" si="207"/>
        <v>68874.75</v>
      </c>
      <c r="BH265">
        <f t="shared" si="208"/>
        <v>68714.75</v>
      </c>
      <c r="BI265">
        <f t="shared" si="209"/>
        <v>68814.75</v>
      </c>
      <c r="BJ265">
        <f t="shared" si="210"/>
        <v>68774.75</v>
      </c>
      <c r="BK265">
        <f t="shared" si="211"/>
        <v>68954.75</v>
      </c>
      <c r="BL265">
        <f t="shared" si="212"/>
        <v>68634.75</v>
      </c>
      <c r="BM265">
        <f t="shared" si="213"/>
        <v>68808.083333333343</v>
      </c>
      <c r="BN265">
        <f t="shared" si="214"/>
        <v>68781.416666666657</v>
      </c>
      <c r="BO265" s="38">
        <f t="shared" si="215"/>
        <v>69034.75</v>
      </c>
      <c r="BP265">
        <f t="shared" si="216"/>
        <v>68554.75</v>
      </c>
      <c r="BQ265" s="7">
        <f>BO265</f>
        <v>69034.75</v>
      </c>
      <c r="BS265" s="30">
        <f t="shared" si="182"/>
        <v>69900</v>
      </c>
      <c r="BT265" s="4">
        <f t="shared" si="183"/>
        <v>69034.75</v>
      </c>
      <c r="BU265" s="37">
        <f t="shared" si="184"/>
        <v>865.25</v>
      </c>
      <c r="BV265">
        <f t="shared" si="185"/>
        <v>865.25</v>
      </c>
      <c r="BW265" s="35">
        <f t="shared" si="186"/>
        <v>1.2378397711015737E-2</v>
      </c>
    </row>
    <row r="266" spans="1:75">
      <c r="A266" s="1" t="s">
        <v>267</v>
      </c>
      <c r="B266" s="1">
        <v>66350</v>
      </c>
      <c r="Q266">
        <v>263</v>
      </c>
      <c r="R266" s="27" t="str">
        <f t="shared" si="177"/>
        <v>20/05/2024</v>
      </c>
      <c r="S266" s="27">
        <f t="shared" si="177"/>
        <v>67560</v>
      </c>
      <c r="T266" s="4" t="str">
        <f t="shared" si="178"/>
        <v>A5</v>
      </c>
      <c r="V266">
        <v>263</v>
      </c>
      <c r="W266" s="28" t="str">
        <f t="shared" si="176"/>
        <v>20/05/2024</v>
      </c>
      <c r="X266" s="28">
        <f t="shared" si="176"/>
        <v>67560</v>
      </c>
      <c r="Y266" s="28" t="str">
        <f t="shared" si="176"/>
        <v>A5</v>
      </c>
      <c r="Z266" s="5" t="str">
        <f t="shared" si="187"/>
        <v>A5</v>
      </c>
      <c r="AA266" s="5" t="str">
        <f t="shared" si="188"/>
        <v>A5</v>
      </c>
      <c r="AG266" s="29" t="str">
        <f t="shared" si="179"/>
        <v>20/05/2024</v>
      </c>
      <c r="AH266" s="30">
        <f t="shared" si="179"/>
        <v>67560</v>
      </c>
      <c r="AI266" s="4" t="str">
        <f t="shared" si="180"/>
        <v>A5</v>
      </c>
      <c r="AJ266" s="5" t="str">
        <f t="shared" si="189"/>
        <v>A5</v>
      </c>
      <c r="AK266">
        <f t="shared" si="190"/>
        <v>67829.5</v>
      </c>
      <c r="AL266" t="str">
        <f t="shared" si="191"/>
        <v>A5</v>
      </c>
      <c r="AM266">
        <f t="shared" si="192"/>
        <v>67829.5</v>
      </c>
      <c r="AN266" s="6">
        <f t="shared" si="193"/>
        <v>130</v>
      </c>
      <c r="AO266">
        <f t="shared" si="194"/>
        <v>69965</v>
      </c>
      <c r="AP266">
        <f t="shared" si="174"/>
        <v>69835</v>
      </c>
      <c r="AQ266" s="33">
        <f t="shared" si="195"/>
        <v>70030</v>
      </c>
      <c r="AR266" s="33">
        <f t="shared" si="196"/>
        <v>69770</v>
      </c>
      <c r="AS266">
        <f t="shared" si="197"/>
        <v>69932.5</v>
      </c>
      <c r="AT266" s="5">
        <f t="shared" si="198"/>
        <v>69867.5</v>
      </c>
      <c r="AU266" s="5">
        <f t="shared" si="199"/>
        <v>70160</v>
      </c>
      <c r="AV266" s="5">
        <f t="shared" si="200"/>
        <v>69640</v>
      </c>
      <c r="AW266" s="5">
        <f t="shared" si="201"/>
        <v>69921.666666666672</v>
      </c>
      <c r="AX266" s="5">
        <f t="shared" si="202"/>
        <v>69878.333333333328</v>
      </c>
      <c r="AY266" s="5">
        <f t="shared" si="203"/>
        <v>70290</v>
      </c>
      <c r="AZ266" s="5">
        <f t="shared" si="204"/>
        <v>69510</v>
      </c>
      <c r="BB266" s="32" t="str">
        <f t="shared" si="181"/>
        <v>20/05/2024</v>
      </c>
      <c r="BC266" s="33">
        <f t="shared" si="181"/>
        <v>67560</v>
      </c>
      <c r="BD266" s="4" t="str">
        <f t="shared" si="181"/>
        <v>A5</v>
      </c>
      <c r="BE266">
        <f t="shared" si="205"/>
        <v>68897.25</v>
      </c>
      <c r="BF266">
        <f t="shared" si="206"/>
        <v>68832.25</v>
      </c>
      <c r="BG266">
        <f t="shared" si="207"/>
        <v>68929.75</v>
      </c>
      <c r="BH266">
        <f t="shared" si="208"/>
        <v>68799.75</v>
      </c>
      <c r="BI266">
        <f t="shared" si="209"/>
        <v>68881</v>
      </c>
      <c r="BJ266">
        <f t="shared" si="210"/>
        <v>68848.5</v>
      </c>
      <c r="BK266">
        <f t="shared" si="211"/>
        <v>68994.75</v>
      </c>
      <c r="BL266">
        <f t="shared" si="212"/>
        <v>68734.75</v>
      </c>
      <c r="BM266">
        <f t="shared" si="213"/>
        <v>68875.583333333343</v>
      </c>
      <c r="BN266">
        <f t="shared" si="214"/>
        <v>68853.916666666657</v>
      </c>
      <c r="BO266">
        <f t="shared" si="215"/>
        <v>69059.75</v>
      </c>
      <c r="BP266" s="38">
        <f t="shared" si="216"/>
        <v>68669.75</v>
      </c>
      <c r="BQ266" s="7">
        <f>BP266</f>
        <v>68669.75</v>
      </c>
      <c r="BS266" s="30">
        <f t="shared" si="182"/>
        <v>67560</v>
      </c>
      <c r="BT266" s="4">
        <f t="shared" si="183"/>
        <v>68669.75</v>
      </c>
      <c r="BU266" s="37">
        <f t="shared" si="184"/>
        <v>-1109.75</v>
      </c>
      <c r="BV266">
        <f t="shared" si="185"/>
        <v>1109.75</v>
      </c>
      <c r="BW266" s="35">
        <f t="shared" si="186"/>
        <v>1.6426139727649496E-2</v>
      </c>
    </row>
    <row r="267" spans="1:75">
      <c r="A267" s="1" t="s">
        <v>268</v>
      </c>
      <c r="B267" s="1">
        <v>67460</v>
      </c>
      <c r="Q267">
        <v>264</v>
      </c>
      <c r="R267" s="27" t="str">
        <f t="shared" si="177"/>
        <v>21/05/2024</v>
      </c>
      <c r="S267" s="27">
        <f t="shared" si="177"/>
        <v>65140</v>
      </c>
      <c r="T267" s="4" t="str">
        <f t="shared" si="178"/>
        <v>A5</v>
      </c>
      <c r="V267">
        <v>264</v>
      </c>
      <c r="W267" s="28" t="str">
        <f t="shared" si="176"/>
        <v>21/05/2024</v>
      </c>
      <c r="X267" s="28">
        <f t="shared" si="176"/>
        <v>65140</v>
      </c>
      <c r="Y267" s="28" t="str">
        <f t="shared" si="176"/>
        <v>A5</v>
      </c>
      <c r="Z267" s="5" t="str">
        <f t="shared" si="187"/>
        <v>A5</v>
      </c>
      <c r="AA267" s="5" t="str">
        <f t="shared" si="188"/>
        <v>A5</v>
      </c>
      <c r="AG267" s="29" t="str">
        <f t="shared" si="179"/>
        <v>21/05/2024</v>
      </c>
      <c r="AH267" s="30">
        <f t="shared" si="179"/>
        <v>65140</v>
      </c>
      <c r="AI267" s="4" t="str">
        <f t="shared" si="180"/>
        <v>A5</v>
      </c>
      <c r="AJ267" s="5" t="str">
        <f t="shared" si="189"/>
        <v>A5</v>
      </c>
      <c r="AK267">
        <f t="shared" si="190"/>
        <v>67829.5</v>
      </c>
      <c r="AL267" t="str">
        <f t="shared" si="191"/>
        <v>A5</v>
      </c>
      <c r="AM267">
        <f t="shared" si="192"/>
        <v>67829.5</v>
      </c>
      <c r="AN267" s="6">
        <f t="shared" si="193"/>
        <v>2200</v>
      </c>
      <c r="AO267">
        <f t="shared" si="194"/>
        <v>68660</v>
      </c>
      <c r="AP267">
        <f t="shared" si="174"/>
        <v>66460</v>
      </c>
      <c r="AQ267" s="33">
        <f t="shared" si="195"/>
        <v>69760</v>
      </c>
      <c r="AR267" s="33">
        <f t="shared" si="196"/>
        <v>65360</v>
      </c>
      <c r="AS267">
        <f t="shared" si="197"/>
        <v>68110</v>
      </c>
      <c r="AT267" s="5">
        <f t="shared" si="198"/>
        <v>67010</v>
      </c>
      <c r="AU267" s="5">
        <f t="shared" si="199"/>
        <v>71960</v>
      </c>
      <c r="AV267" s="5">
        <f t="shared" si="200"/>
        <v>63160</v>
      </c>
      <c r="AW267" s="5">
        <f t="shared" si="201"/>
        <v>67926.666666666672</v>
      </c>
      <c r="AX267" s="5">
        <f t="shared" si="202"/>
        <v>67193.333333333328</v>
      </c>
      <c r="AY267" s="5">
        <f t="shared" si="203"/>
        <v>74160</v>
      </c>
      <c r="AZ267" s="5">
        <f t="shared" si="204"/>
        <v>60960</v>
      </c>
      <c r="BB267" s="32" t="str">
        <f t="shared" si="181"/>
        <v>21/05/2024</v>
      </c>
      <c r="BC267" s="33">
        <f t="shared" si="181"/>
        <v>65140</v>
      </c>
      <c r="BD267" s="4" t="str">
        <f t="shared" si="181"/>
        <v>A5</v>
      </c>
      <c r="BE267">
        <f t="shared" si="205"/>
        <v>68244.75</v>
      </c>
      <c r="BF267">
        <f t="shared" si="206"/>
        <v>67144.75</v>
      </c>
      <c r="BG267">
        <f t="shared" si="207"/>
        <v>68794.75</v>
      </c>
      <c r="BH267">
        <f t="shared" si="208"/>
        <v>66594.75</v>
      </c>
      <c r="BI267">
        <f t="shared" si="209"/>
        <v>67969.75</v>
      </c>
      <c r="BJ267">
        <f t="shared" si="210"/>
        <v>67419.75</v>
      </c>
      <c r="BK267">
        <f t="shared" si="211"/>
        <v>69894.75</v>
      </c>
      <c r="BL267">
        <f t="shared" si="212"/>
        <v>65494.75</v>
      </c>
      <c r="BM267">
        <f t="shared" si="213"/>
        <v>67878.083333333343</v>
      </c>
      <c r="BN267">
        <f t="shared" si="214"/>
        <v>67511.416666666657</v>
      </c>
      <c r="BO267">
        <f t="shared" si="215"/>
        <v>70994.75</v>
      </c>
      <c r="BP267" s="38">
        <f t="shared" si="216"/>
        <v>64394.75</v>
      </c>
      <c r="BQ267" s="7">
        <f>BP267</f>
        <v>64394.75</v>
      </c>
      <c r="BS267" s="30">
        <f t="shared" si="182"/>
        <v>65140</v>
      </c>
      <c r="BT267" s="4">
        <f t="shared" si="183"/>
        <v>64394.75</v>
      </c>
      <c r="BU267" s="37">
        <f t="shared" si="184"/>
        <v>745.25</v>
      </c>
      <c r="BV267">
        <f t="shared" si="185"/>
        <v>745.25</v>
      </c>
      <c r="BW267" s="35">
        <f t="shared" si="186"/>
        <v>1.1440743015044519E-2</v>
      </c>
    </row>
    <row r="268" spans="1:75">
      <c r="A268" s="1" t="s">
        <v>269</v>
      </c>
      <c r="B268" s="1">
        <v>69620</v>
      </c>
      <c r="Q268">
        <v>265</v>
      </c>
      <c r="R268" s="27" t="str">
        <f t="shared" si="177"/>
        <v>22/05/2024</v>
      </c>
      <c r="S268" s="27">
        <f t="shared" si="177"/>
        <v>66350</v>
      </c>
      <c r="T268" s="4" t="str">
        <f t="shared" si="178"/>
        <v>A5</v>
      </c>
      <c r="V268">
        <v>265</v>
      </c>
      <c r="W268" s="28" t="str">
        <f t="shared" si="176"/>
        <v>22/05/2024</v>
      </c>
      <c r="X268" s="28">
        <f t="shared" si="176"/>
        <v>66350</v>
      </c>
      <c r="Y268" s="28" t="str">
        <f t="shared" si="176"/>
        <v>A5</v>
      </c>
      <c r="Z268" s="5" t="str">
        <f t="shared" si="187"/>
        <v>A5</v>
      </c>
      <c r="AA268" s="5" t="str">
        <f t="shared" si="188"/>
        <v>A5</v>
      </c>
      <c r="AG268" s="29" t="str">
        <f t="shared" si="179"/>
        <v>22/05/2024</v>
      </c>
      <c r="AH268" s="30">
        <f t="shared" si="179"/>
        <v>66350</v>
      </c>
      <c r="AI268" s="4" t="str">
        <f t="shared" si="180"/>
        <v>A5</v>
      </c>
      <c r="AJ268" s="5" t="str">
        <f t="shared" si="189"/>
        <v>A5</v>
      </c>
      <c r="AK268">
        <f t="shared" si="190"/>
        <v>67829.5</v>
      </c>
      <c r="AL268" t="str">
        <f t="shared" si="191"/>
        <v>A5</v>
      </c>
      <c r="AM268">
        <f t="shared" si="192"/>
        <v>67829.5</v>
      </c>
      <c r="AN268" s="6">
        <f t="shared" si="193"/>
        <v>80</v>
      </c>
      <c r="AO268">
        <f t="shared" si="194"/>
        <v>65180</v>
      </c>
      <c r="AP268">
        <f t="shared" ref="AP268:AP331" si="217">AH267-AN268/2</f>
        <v>65100</v>
      </c>
      <c r="AQ268" s="33">
        <f t="shared" si="195"/>
        <v>65220</v>
      </c>
      <c r="AR268" s="33">
        <f t="shared" si="196"/>
        <v>65060</v>
      </c>
      <c r="AS268">
        <f t="shared" si="197"/>
        <v>65160</v>
      </c>
      <c r="AT268" s="5">
        <f t="shared" si="198"/>
        <v>65120</v>
      </c>
      <c r="AU268" s="5">
        <f t="shared" si="199"/>
        <v>65300</v>
      </c>
      <c r="AV268" s="5">
        <f t="shared" si="200"/>
        <v>64980</v>
      </c>
      <c r="AW268" s="5">
        <f t="shared" si="201"/>
        <v>65153.333333333336</v>
      </c>
      <c r="AX268" s="5">
        <f t="shared" si="202"/>
        <v>65126.666666666664</v>
      </c>
      <c r="AY268" s="5">
        <f t="shared" si="203"/>
        <v>65380</v>
      </c>
      <c r="AZ268" s="5">
        <f t="shared" si="204"/>
        <v>64900</v>
      </c>
      <c r="BB268" s="32" t="str">
        <f t="shared" si="181"/>
        <v>22/05/2024</v>
      </c>
      <c r="BC268" s="33">
        <f t="shared" si="181"/>
        <v>66350</v>
      </c>
      <c r="BD268" s="4" t="str">
        <f t="shared" si="181"/>
        <v>A5</v>
      </c>
      <c r="BE268">
        <f t="shared" si="205"/>
        <v>66504.75</v>
      </c>
      <c r="BF268">
        <f t="shared" si="206"/>
        <v>66464.75</v>
      </c>
      <c r="BG268">
        <f t="shared" si="207"/>
        <v>66524.75</v>
      </c>
      <c r="BH268">
        <f t="shared" si="208"/>
        <v>66444.75</v>
      </c>
      <c r="BI268">
        <f t="shared" si="209"/>
        <v>66494.75</v>
      </c>
      <c r="BJ268">
        <f t="shared" si="210"/>
        <v>66474.75</v>
      </c>
      <c r="BK268">
        <f t="shared" si="211"/>
        <v>66564.75</v>
      </c>
      <c r="BL268">
        <f t="shared" si="212"/>
        <v>66404.75</v>
      </c>
      <c r="BM268">
        <f t="shared" si="213"/>
        <v>66491.416666666672</v>
      </c>
      <c r="BN268">
        <f t="shared" si="214"/>
        <v>66478.083333333328</v>
      </c>
      <c r="BO268">
        <f t="shared" si="215"/>
        <v>66604.75</v>
      </c>
      <c r="BP268" s="38">
        <f t="shared" si="216"/>
        <v>66364.75</v>
      </c>
      <c r="BQ268" s="7">
        <f>BP268</f>
        <v>66364.75</v>
      </c>
      <c r="BS268" s="30">
        <f t="shared" si="182"/>
        <v>66350</v>
      </c>
      <c r="BT268" s="4">
        <f t="shared" si="183"/>
        <v>66364.75</v>
      </c>
      <c r="BU268" s="37">
        <f t="shared" si="184"/>
        <v>-14.75</v>
      </c>
      <c r="BV268">
        <f t="shared" si="185"/>
        <v>14.75</v>
      </c>
      <c r="BW268" s="35">
        <f t="shared" si="186"/>
        <v>2.2230595327807083E-4</v>
      </c>
    </row>
    <row r="269" spans="1:75">
      <c r="A269" s="1" t="s">
        <v>270</v>
      </c>
      <c r="B269" s="1">
        <v>69370</v>
      </c>
      <c r="Q269">
        <v>266</v>
      </c>
      <c r="R269" s="27" t="str">
        <f t="shared" si="177"/>
        <v>23/05/2024</v>
      </c>
      <c r="S269" s="27">
        <f t="shared" si="177"/>
        <v>67460</v>
      </c>
      <c r="T269" s="4" t="str">
        <f t="shared" si="178"/>
        <v>A5</v>
      </c>
      <c r="V269">
        <v>266</v>
      </c>
      <c r="W269" s="28" t="str">
        <f t="shared" si="176"/>
        <v>23/05/2024</v>
      </c>
      <c r="X269" s="28">
        <f t="shared" si="176"/>
        <v>67460</v>
      </c>
      <c r="Y269" s="28" t="str">
        <f t="shared" si="176"/>
        <v>A5</v>
      </c>
      <c r="Z269" s="5" t="str">
        <f t="shared" si="187"/>
        <v>A5</v>
      </c>
      <c r="AA269" s="5" t="str">
        <f t="shared" si="188"/>
        <v>A5</v>
      </c>
      <c r="AG269" s="29" t="str">
        <f t="shared" si="179"/>
        <v>23/05/2024</v>
      </c>
      <c r="AH269" s="30">
        <f t="shared" si="179"/>
        <v>67460</v>
      </c>
      <c r="AI269" s="4" t="str">
        <f t="shared" si="180"/>
        <v>A5</v>
      </c>
      <c r="AJ269" s="5" t="str">
        <f t="shared" si="189"/>
        <v>A5</v>
      </c>
      <c r="AK269">
        <f t="shared" si="190"/>
        <v>67829.5</v>
      </c>
      <c r="AL269" t="str">
        <f t="shared" si="191"/>
        <v>A5</v>
      </c>
      <c r="AM269">
        <f t="shared" si="192"/>
        <v>67829.5</v>
      </c>
      <c r="AN269" s="6">
        <f t="shared" si="193"/>
        <v>1210</v>
      </c>
      <c r="AO269">
        <f t="shared" si="194"/>
        <v>66955</v>
      </c>
      <c r="AP269">
        <f t="shared" si="217"/>
        <v>65745</v>
      </c>
      <c r="AQ269" s="33">
        <f t="shared" si="195"/>
        <v>67560</v>
      </c>
      <c r="AR269" s="33">
        <f t="shared" si="196"/>
        <v>65140</v>
      </c>
      <c r="AS269">
        <f t="shared" si="197"/>
        <v>66652.5</v>
      </c>
      <c r="AT269" s="5">
        <f t="shared" si="198"/>
        <v>66047.5</v>
      </c>
      <c r="AU269" s="5">
        <f t="shared" si="199"/>
        <v>68770</v>
      </c>
      <c r="AV269" s="5">
        <f t="shared" si="200"/>
        <v>63930</v>
      </c>
      <c r="AW269" s="5">
        <f t="shared" si="201"/>
        <v>66551.666666666672</v>
      </c>
      <c r="AX269" s="5">
        <f t="shared" si="202"/>
        <v>66148.333333333328</v>
      </c>
      <c r="AY269" s="5">
        <f t="shared" si="203"/>
        <v>69980</v>
      </c>
      <c r="AZ269" s="5">
        <f t="shared" si="204"/>
        <v>62720</v>
      </c>
      <c r="BB269" s="32" t="str">
        <f t="shared" si="181"/>
        <v>23/05/2024</v>
      </c>
      <c r="BC269" s="33">
        <f t="shared" si="181"/>
        <v>67460</v>
      </c>
      <c r="BD269" s="4" t="str">
        <f t="shared" si="181"/>
        <v>A5</v>
      </c>
      <c r="BE269" s="38">
        <f t="shared" si="205"/>
        <v>67392.25</v>
      </c>
      <c r="BF269">
        <f t="shared" si="206"/>
        <v>66787.25</v>
      </c>
      <c r="BG269">
        <f t="shared" si="207"/>
        <v>67694.75</v>
      </c>
      <c r="BH269">
        <f t="shared" si="208"/>
        <v>66484.75</v>
      </c>
      <c r="BI269">
        <f t="shared" si="209"/>
        <v>67241</v>
      </c>
      <c r="BJ269">
        <f t="shared" si="210"/>
        <v>66938.5</v>
      </c>
      <c r="BK269">
        <f t="shared" si="211"/>
        <v>68299.75</v>
      </c>
      <c r="BL269">
        <f t="shared" si="212"/>
        <v>65879.75</v>
      </c>
      <c r="BM269">
        <f t="shared" si="213"/>
        <v>67190.583333333343</v>
      </c>
      <c r="BN269">
        <f t="shared" si="214"/>
        <v>66988.916666666657</v>
      </c>
      <c r="BO269">
        <f t="shared" si="215"/>
        <v>68904.75</v>
      </c>
      <c r="BP269">
        <f t="shared" si="216"/>
        <v>65274.75</v>
      </c>
      <c r="BQ269" s="7">
        <f>BE269</f>
        <v>67392.25</v>
      </c>
      <c r="BS269" s="30">
        <f t="shared" si="182"/>
        <v>67460</v>
      </c>
      <c r="BT269" s="4">
        <f t="shared" si="183"/>
        <v>67392.25</v>
      </c>
      <c r="BU269" s="37">
        <f t="shared" si="184"/>
        <v>67.75</v>
      </c>
      <c r="BV269">
        <f t="shared" si="185"/>
        <v>67.75</v>
      </c>
      <c r="BW269" s="35">
        <f t="shared" si="186"/>
        <v>1.0042988437592648E-3</v>
      </c>
    </row>
    <row r="270" spans="1:75">
      <c r="A270" s="1" t="s">
        <v>271</v>
      </c>
      <c r="B270" s="1">
        <v>68620</v>
      </c>
      <c r="Q270">
        <v>267</v>
      </c>
      <c r="R270" s="27" t="str">
        <f t="shared" si="177"/>
        <v>24/05/2024</v>
      </c>
      <c r="S270" s="27">
        <f t="shared" si="177"/>
        <v>69620</v>
      </c>
      <c r="T270" s="4" t="str">
        <f t="shared" si="178"/>
        <v>A5</v>
      </c>
      <c r="V270">
        <v>267</v>
      </c>
      <c r="W270" s="28" t="str">
        <f t="shared" si="176"/>
        <v>24/05/2024</v>
      </c>
      <c r="X270" s="28">
        <f t="shared" si="176"/>
        <v>69620</v>
      </c>
      <c r="Y270" s="28" t="str">
        <f t="shared" si="176"/>
        <v>A5</v>
      </c>
      <c r="Z270" s="5" t="str">
        <f t="shared" si="187"/>
        <v>A5</v>
      </c>
      <c r="AA270" s="5" t="str">
        <f t="shared" si="188"/>
        <v>A5</v>
      </c>
      <c r="AG270" s="29" t="str">
        <f t="shared" si="179"/>
        <v>24/05/2024</v>
      </c>
      <c r="AH270" s="30">
        <f t="shared" si="179"/>
        <v>69620</v>
      </c>
      <c r="AI270" s="4" t="str">
        <f t="shared" si="180"/>
        <v>A5</v>
      </c>
      <c r="AJ270" s="5" t="str">
        <f t="shared" si="189"/>
        <v>A5</v>
      </c>
      <c r="AK270">
        <f t="shared" si="190"/>
        <v>67829.5</v>
      </c>
      <c r="AL270" t="str">
        <f t="shared" si="191"/>
        <v>A5</v>
      </c>
      <c r="AM270">
        <f t="shared" si="192"/>
        <v>67829.5</v>
      </c>
      <c r="AN270" s="6">
        <f t="shared" si="193"/>
        <v>100</v>
      </c>
      <c r="AO270">
        <f t="shared" si="194"/>
        <v>67510</v>
      </c>
      <c r="AP270">
        <f t="shared" si="217"/>
        <v>67410</v>
      </c>
      <c r="AQ270" s="33">
        <f t="shared" si="195"/>
        <v>67560</v>
      </c>
      <c r="AR270" s="33">
        <f t="shared" si="196"/>
        <v>67360</v>
      </c>
      <c r="AS270">
        <f t="shared" si="197"/>
        <v>67485</v>
      </c>
      <c r="AT270" s="5">
        <f t="shared" si="198"/>
        <v>67435</v>
      </c>
      <c r="AU270" s="5">
        <f t="shared" si="199"/>
        <v>67660</v>
      </c>
      <c r="AV270" s="5">
        <f t="shared" si="200"/>
        <v>67260</v>
      </c>
      <c r="AW270" s="5">
        <f t="shared" si="201"/>
        <v>67476.666666666672</v>
      </c>
      <c r="AX270" s="5">
        <f t="shared" si="202"/>
        <v>67443.333333333328</v>
      </c>
      <c r="AY270" s="5">
        <f t="shared" si="203"/>
        <v>67760</v>
      </c>
      <c r="AZ270" s="5">
        <f t="shared" si="204"/>
        <v>67160</v>
      </c>
      <c r="BB270" s="32" t="str">
        <f t="shared" si="181"/>
        <v>24/05/2024</v>
      </c>
      <c r="BC270" s="33">
        <f t="shared" si="181"/>
        <v>69620</v>
      </c>
      <c r="BD270" s="4" t="str">
        <f t="shared" si="181"/>
        <v>A5</v>
      </c>
      <c r="BE270">
        <f t="shared" si="205"/>
        <v>67669.75</v>
      </c>
      <c r="BF270">
        <f t="shared" si="206"/>
        <v>67619.75</v>
      </c>
      <c r="BG270">
        <f t="shared" si="207"/>
        <v>67694.75</v>
      </c>
      <c r="BH270">
        <f t="shared" si="208"/>
        <v>67594.75</v>
      </c>
      <c r="BI270">
        <f t="shared" si="209"/>
        <v>67657.25</v>
      </c>
      <c r="BJ270">
        <f t="shared" si="210"/>
        <v>67632.25</v>
      </c>
      <c r="BK270">
        <f t="shared" si="211"/>
        <v>67744.75</v>
      </c>
      <c r="BL270">
        <f t="shared" si="212"/>
        <v>67544.75</v>
      </c>
      <c r="BM270">
        <f t="shared" si="213"/>
        <v>67653.083333333343</v>
      </c>
      <c r="BN270">
        <f t="shared" si="214"/>
        <v>67636.416666666657</v>
      </c>
      <c r="BO270" s="38">
        <f t="shared" si="215"/>
        <v>67794.75</v>
      </c>
      <c r="BP270">
        <f t="shared" si="216"/>
        <v>67494.75</v>
      </c>
      <c r="BQ270" s="7">
        <f>BO270</f>
        <v>67794.75</v>
      </c>
      <c r="BS270" s="30">
        <f t="shared" si="182"/>
        <v>69620</v>
      </c>
      <c r="BT270" s="4">
        <f t="shared" si="183"/>
        <v>67794.75</v>
      </c>
      <c r="BU270" s="37">
        <f t="shared" si="184"/>
        <v>1825.25</v>
      </c>
      <c r="BV270">
        <f t="shared" si="185"/>
        <v>1825.25</v>
      </c>
      <c r="BW270" s="35">
        <f t="shared" si="186"/>
        <v>2.621732260844585E-2</v>
      </c>
    </row>
    <row r="271" spans="1:75">
      <c r="A271" s="1" t="s">
        <v>272</v>
      </c>
      <c r="B271" s="1">
        <v>72130</v>
      </c>
      <c r="Q271">
        <v>268</v>
      </c>
      <c r="R271" s="27" t="str">
        <f t="shared" si="177"/>
        <v>25/05/2024</v>
      </c>
      <c r="S271" s="27">
        <f t="shared" si="177"/>
        <v>69370</v>
      </c>
      <c r="T271" s="4" t="str">
        <f t="shared" si="178"/>
        <v>A5</v>
      </c>
      <c r="V271">
        <v>268</v>
      </c>
      <c r="W271" s="28" t="str">
        <f t="shared" si="176"/>
        <v>25/05/2024</v>
      </c>
      <c r="X271" s="28">
        <f t="shared" si="176"/>
        <v>69370</v>
      </c>
      <c r="Y271" s="28" t="str">
        <f t="shared" si="176"/>
        <v>A5</v>
      </c>
      <c r="Z271" s="5" t="str">
        <f t="shared" si="187"/>
        <v>A5</v>
      </c>
      <c r="AA271" s="5" t="str">
        <f t="shared" si="188"/>
        <v>A5</v>
      </c>
      <c r="AG271" s="29" t="str">
        <f t="shared" si="179"/>
        <v>25/05/2024</v>
      </c>
      <c r="AH271" s="30">
        <f t="shared" si="179"/>
        <v>69370</v>
      </c>
      <c r="AI271" s="4" t="str">
        <f t="shared" si="180"/>
        <v>A5</v>
      </c>
      <c r="AJ271" s="5" t="str">
        <f t="shared" si="189"/>
        <v>A5</v>
      </c>
      <c r="AK271">
        <f t="shared" si="190"/>
        <v>67829.5</v>
      </c>
      <c r="AL271" t="str">
        <f t="shared" si="191"/>
        <v>A5</v>
      </c>
      <c r="AM271">
        <f t="shared" si="192"/>
        <v>67829.5</v>
      </c>
      <c r="AN271" s="6">
        <f t="shared" si="193"/>
        <v>1050</v>
      </c>
      <c r="AO271">
        <f t="shared" si="194"/>
        <v>70145</v>
      </c>
      <c r="AP271">
        <f t="shared" si="217"/>
        <v>69095</v>
      </c>
      <c r="AQ271" s="33">
        <f t="shared" si="195"/>
        <v>70670</v>
      </c>
      <c r="AR271" s="33">
        <f t="shared" si="196"/>
        <v>68570</v>
      </c>
      <c r="AS271">
        <f t="shared" si="197"/>
        <v>69882.5</v>
      </c>
      <c r="AT271" s="5">
        <f t="shared" si="198"/>
        <v>69357.5</v>
      </c>
      <c r="AU271" s="5">
        <f t="shared" si="199"/>
        <v>71720</v>
      </c>
      <c r="AV271" s="5">
        <f t="shared" si="200"/>
        <v>67520</v>
      </c>
      <c r="AW271" s="5">
        <f t="shared" si="201"/>
        <v>69795</v>
      </c>
      <c r="AX271" s="5">
        <f t="shared" si="202"/>
        <v>69445</v>
      </c>
      <c r="AY271" s="5">
        <f t="shared" si="203"/>
        <v>72770</v>
      </c>
      <c r="AZ271" s="5">
        <f t="shared" si="204"/>
        <v>66470</v>
      </c>
      <c r="BB271" s="32" t="str">
        <f t="shared" si="181"/>
        <v>25/05/2024</v>
      </c>
      <c r="BC271" s="33">
        <f t="shared" si="181"/>
        <v>69370</v>
      </c>
      <c r="BD271" s="4" t="str">
        <f t="shared" si="181"/>
        <v>A5</v>
      </c>
      <c r="BE271">
        <f t="shared" si="205"/>
        <v>68987.25</v>
      </c>
      <c r="BF271">
        <f t="shared" si="206"/>
        <v>68462.25</v>
      </c>
      <c r="BG271" s="38">
        <f t="shared" si="207"/>
        <v>69249.75</v>
      </c>
      <c r="BH271">
        <f t="shared" si="208"/>
        <v>68199.75</v>
      </c>
      <c r="BI271">
        <f t="shared" si="209"/>
        <v>68856</v>
      </c>
      <c r="BJ271">
        <f t="shared" si="210"/>
        <v>68593.5</v>
      </c>
      <c r="BK271">
        <f t="shared" si="211"/>
        <v>69774.75</v>
      </c>
      <c r="BL271">
        <f t="shared" si="212"/>
        <v>67674.75</v>
      </c>
      <c r="BM271">
        <f t="shared" si="213"/>
        <v>68812.25</v>
      </c>
      <c r="BN271">
        <f t="shared" si="214"/>
        <v>68637.25</v>
      </c>
      <c r="BO271">
        <f t="shared" si="215"/>
        <v>70299.75</v>
      </c>
      <c r="BP271">
        <f t="shared" si="216"/>
        <v>67149.75</v>
      </c>
      <c r="BQ271" s="7">
        <f>BG271</f>
        <v>69249.75</v>
      </c>
      <c r="BS271" s="30">
        <f t="shared" si="182"/>
        <v>69370</v>
      </c>
      <c r="BT271" s="4">
        <f t="shared" si="183"/>
        <v>69249.75</v>
      </c>
      <c r="BU271" s="37">
        <f t="shared" si="184"/>
        <v>120.25</v>
      </c>
      <c r="BV271">
        <f t="shared" si="185"/>
        <v>120.25</v>
      </c>
      <c r="BW271" s="35">
        <f t="shared" si="186"/>
        <v>1.7334582672625053E-3</v>
      </c>
    </row>
    <row r="272" spans="1:75">
      <c r="A272" s="1" t="s">
        <v>273</v>
      </c>
      <c r="B272" s="1">
        <v>71840</v>
      </c>
      <c r="Q272">
        <v>269</v>
      </c>
      <c r="R272" s="27" t="str">
        <f t="shared" si="177"/>
        <v>26/05/2024</v>
      </c>
      <c r="S272" s="27">
        <f t="shared" si="177"/>
        <v>68620</v>
      </c>
      <c r="T272" s="4" t="str">
        <f t="shared" si="178"/>
        <v>A5</v>
      </c>
      <c r="V272">
        <v>269</v>
      </c>
      <c r="W272" s="28" t="str">
        <f t="shared" si="176"/>
        <v>26/05/2024</v>
      </c>
      <c r="X272" s="28">
        <f t="shared" si="176"/>
        <v>68620</v>
      </c>
      <c r="Y272" s="28" t="str">
        <f t="shared" si="176"/>
        <v>A5</v>
      </c>
      <c r="Z272" s="5" t="str">
        <f t="shared" si="187"/>
        <v>A5</v>
      </c>
      <c r="AA272" s="5" t="str">
        <f t="shared" si="188"/>
        <v>A5</v>
      </c>
      <c r="AG272" s="29" t="str">
        <f t="shared" si="179"/>
        <v>26/05/2024</v>
      </c>
      <c r="AH272" s="30">
        <f t="shared" si="179"/>
        <v>68620</v>
      </c>
      <c r="AI272" s="4" t="str">
        <f t="shared" si="180"/>
        <v>A5</v>
      </c>
      <c r="AJ272" s="5" t="str">
        <f t="shared" si="189"/>
        <v>A5</v>
      </c>
      <c r="AK272">
        <f t="shared" si="190"/>
        <v>67829.5</v>
      </c>
      <c r="AL272" t="str">
        <f t="shared" si="191"/>
        <v>A5</v>
      </c>
      <c r="AM272">
        <f t="shared" si="192"/>
        <v>67829.5</v>
      </c>
      <c r="AN272" s="6">
        <f t="shared" si="193"/>
        <v>1910</v>
      </c>
      <c r="AO272">
        <f t="shared" si="194"/>
        <v>70325</v>
      </c>
      <c r="AP272">
        <f t="shared" si="217"/>
        <v>68415</v>
      </c>
      <c r="AQ272" s="33">
        <f t="shared" si="195"/>
        <v>71280</v>
      </c>
      <c r="AR272" s="33">
        <f t="shared" si="196"/>
        <v>67460</v>
      </c>
      <c r="AS272">
        <f t="shared" si="197"/>
        <v>69847.5</v>
      </c>
      <c r="AT272" s="5">
        <f t="shared" si="198"/>
        <v>68892.5</v>
      </c>
      <c r="AU272" s="5">
        <f t="shared" si="199"/>
        <v>73190</v>
      </c>
      <c r="AV272" s="5">
        <f t="shared" si="200"/>
        <v>65550</v>
      </c>
      <c r="AW272" s="5">
        <f t="shared" si="201"/>
        <v>69688.333333333328</v>
      </c>
      <c r="AX272" s="5">
        <f t="shared" si="202"/>
        <v>69051.666666666672</v>
      </c>
      <c r="AY272" s="5">
        <f t="shared" si="203"/>
        <v>75100</v>
      </c>
      <c r="AZ272" s="5">
        <f t="shared" si="204"/>
        <v>63640</v>
      </c>
      <c r="BB272" s="32" t="str">
        <f t="shared" si="181"/>
        <v>26/05/2024</v>
      </c>
      <c r="BC272" s="33">
        <f t="shared" si="181"/>
        <v>68620</v>
      </c>
      <c r="BD272" s="4" t="str">
        <f t="shared" si="181"/>
        <v>A5</v>
      </c>
      <c r="BE272">
        <f t="shared" si="205"/>
        <v>69077.25</v>
      </c>
      <c r="BF272">
        <f t="shared" si="206"/>
        <v>68122.25</v>
      </c>
      <c r="BG272">
        <f t="shared" si="207"/>
        <v>69554.75</v>
      </c>
      <c r="BH272">
        <f t="shared" si="208"/>
        <v>67644.75</v>
      </c>
      <c r="BI272">
        <f t="shared" si="209"/>
        <v>68838.5</v>
      </c>
      <c r="BJ272">
        <f t="shared" si="210"/>
        <v>68361</v>
      </c>
      <c r="BK272">
        <f t="shared" si="211"/>
        <v>70509.75</v>
      </c>
      <c r="BL272">
        <f t="shared" si="212"/>
        <v>66689.75</v>
      </c>
      <c r="BM272" s="38">
        <f t="shared" si="213"/>
        <v>68758.916666666657</v>
      </c>
      <c r="BN272">
        <f t="shared" si="214"/>
        <v>68440.583333333343</v>
      </c>
      <c r="BO272">
        <f t="shared" si="215"/>
        <v>71464.75</v>
      </c>
      <c r="BP272">
        <f t="shared" si="216"/>
        <v>65734.75</v>
      </c>
      <c r="BQ272" s="7">
        <f>BM272</f>
        <v>68758.916666666657</v>
      </c>
      <c r="BS272" s="30">
        <f t="shared" si="182"/>
        <v>68620</v>
      </c>
      <c r="BT272" s="4">
        <f t="shared" si="183"/>
        <v>68758.916666666657</v>
      </c>
      <c r="BU272" s="37">
        <f t="shared" si="184"/>
        <v>-138.91666666665697</v>
      </c>
      <c r="BV272">
        <f t="shared" si="185"/>
        <v>138.91666666665697</v>
      </c>
      <c r="BW272" s="35">
        <f t="shared" si="186"/>
        <v>2.0244340814144124E-3</v>
      </c>
    </row>
    <row r="273" spans="1:75">
      <c r="A273" s="1" t="s">
        <v>274</v>
      </c>
      <c r="B273" s="1">
        <v>70780</v>
      </c>
      <c r="Q273">
        <v>270</v>
      </c>
      <c r="R273" s="27" t="str">
        <f t="shared" si="177"/>
        <v>27/05/2024</v>
      </c>
      <c r="S273" s="27">
        <f t="shared" si="177"/>
        <v>72130</v>
      </c>
      <c r="T273" s="4" t="str">
        <f t="shared" si="178"/>
        <v>A6</v>
      </c>
      <c r="V273">
        <v>270</v>
      </c>
      <c r="W273" s="28" t="str">
        <f t="shared" si="176"/>
        <v>27/05/2024</v>
      </c>
      <c r="X273" s="28">
        <f t="shared" si="176"/>
        <v>72130</v>
      </c>
      <c r="Y273" s="28" t="str">
        <f t="shared" si="176"/>
        <v>A6</v>
      </c>
      <c r="Z273" s="5" t="str">
        <f t="shared" si="187"/>
        <v>A5</v>
      </c>
      <c r="AA273" s="5" t="str">
        <f t="shared" si="188"/>
        <v>A5</v>
      </c>
      <c r="AG273" s="29" t="str">
        <f t="shared" si="179"/>
        <v>27/05/2024</v>
      </c>
      <c r="AH273" s="30">
        <f t="shared" si="179"/>
        <v>72130</v>
      </c>
      <c r="AI273" s="4" t="str">
        <f t="shared" si="180"/>
        <v>A6</v>
      </c>
      <c r="AJ273" s="5" t="str">
        <f t="shared" si="189"/>
        <v>A5</v>
      </c>
      <c r="AK273">
        <f t="shared" si="190"/>
        <v>67829.5</v>
      </c>
      <c r="AL273" t="str">
        <f t="shared" si="191"/>
        <v>A5</v>
      </c>
      <c r="AM273">
        <f t="shared" si="192"/>
        <v>67829.5</v>
      </c>
      <c r="AN273" s="6">
        <f t="shared" si="193"/>
        <v>500</v>
      </c>
      <c r="AO273">
        <f t="shared" si="194"/>
        <v>68870</v>
      </c>
      <c r="AP273">
        <f t="shared" si="217"/>
        <v>68370</v>
      </c>
      <c r="AQ273" s="33">
        <f t="shared" si="195"/>
        <v>69120</v>
      </c>
      <c r="AR273" s="33">
        <f t="shared" si="196"/>
        <v>68120</v>
      </c>
      <c r="AS273">
        <f t="shared" si="197"/>
        <v>68745</v>
      </c>
      <c r="AT273" s="5">
        <f t="shared" si="198"/>
        <v>68495</v>
      </c>
      <c r="AU273" s="5">
        <f t="shared" si="199"/>
        <v>69620</v>
      </c>
      <c r="AV273" s="5">
        <f t="shared" si="200"/>
        <v>67620</v>
      </c>
      <c r="AW273" s="5">
        <f t="shared" si="201"/>
        <v>68703.333333333328</v>
      </c>
      <c r="AX273" s="5">
        <f t="shared" si="202"/>
        <v>68536.666666666672</v>
      </c>
      <c r="AY273" s="5">
        <f t="shared" si="203"/>
        <v>70120</v>
      </c>
      <c r="AZ273" s="5">
        <f t="shared" si="204"/>
        <v>67120</v>
      </c>
      <c r="BB273" s="32" t="str">
        <f t="shared" si="181"/>
        <v>27/05/2024</v>
      </c>
      <c r="BC273" s="33">
        <f t="shared" si="181"/>
        <v>72130</v>
      </c>
      <c r="BD273" s="4" t="str">
        <f t="shared" si="181"/>
        <v>A6</v>
      </c>
      <c r="BE273">
        <f t="shared" si="205"/>
        <v>68349.75</v>
      </c>
      <c r="BF273">
        <f t="shared" si="206"/>
        <v>68099.75</v>
      </c>
      <c r="BG273">
        <f t="shared" si="207"/>
        <v>68474.75</v>
      </c>
      <c r="BH273">
        <f t="shared" si="208"/>
        <v>67974.75</v>
      </c>
      <c r="BI273">
        <f t="shared" si="209"/>
        <v>68287.25</v>
      </c>
      <c r="BJ273">
        <f t="shared" si="210"/>
        <v>68162.25</v>
      </c>
      <c r="BK273">
        <f t="shared" si="211"/>
        <v>68724.75</v>
      </c>
      <c r="BL273">
        <f t="shared" si="212"/>
        <v>67724.75</v>
      </c>
      <c r="BM273">
        <f t="shared" si="213"/>
        <v>68266.416666666657</v>
      </c>
      <c r="BN273">
        <f t="shared" si="214"/>
        <v>68183.083333333343</v>
      </c>
      <c r="BO273" s="38">
        <f t="shared" si="215"/>
        <v>68974.75</v>
      </c>
      <c r="BP273">
        <f t="shared" si="216"/>
        <v>67474.75</v>
      </c>
      <c r="BQ273" s="7">
        <f>BO273</f>
        <v>68974.75</v>
      </c>
      <c r="BS273" s="30">
        <f t="shared" si="182"/>
        <v>72130</v>
      </c>
      <c r="BT273" s="4">
        <f t="shared" si="183"/>
        <v>68974.75</v>
      </c>
      <c r="BU273" s="37">
        <f t="shared" si="184"/>
        <v>3155.25</v>
      </c>
      <c r="BV273">
        <f t="shared" si="185"/>
        <v>3155.25</v>
      </c>
      <c r="BW273" s="35">
        <f t="shared" si="186"/>
        <v>4.3743934562595316E-2</v>
      </c>
    </row>
    <row r="274" spans="1:75">
      <c r="A274" s="1" t="s">
        <v>275</v>
      </c>
      <c r="B274" s="1">
        <v>70440</v>
      </c>
      <c r="Q274">
        <v>271</v>
      </c>
      <c r="R274" s="27" t="str">
        <f t="shared" si="177"/>
        <v>28/05/2024</v>
      </c>
      <c r="S274" s="27">
        <f t="shared" si="177"/>
        <v>71840</v>
      </c>
      <c r="T274" s="4" t="str">
        <f t="shared" si="178"/>
        <v>A6</v>
      </c>
      <c r="V274">
        <v>271</v>
      </c>
      <c r="W274" s="28" t="str">
        <f t="shared" si="176"/>
        <v>28/05/2024</v>
      </c>
      <c r="X274" s="28">
        <f t="shared" si="176"/>
        <v>71840</v>
      </c>
      <c r="Y274" s="28" t="str">
        <f t="shared" si="176"/>
        <v>A6</v>
      </c>
      <c r="Z274" s="5" t="str">
        <f t="shared" si="187"/>
        <v>A5</v>
      </c>
      <c r="AA274" s="5" t="str">
        <f t="shared" si="188"/>
        <v>A6</v>
      </c>
      <c r="AG274" s="29" t="str">
        <f t="shared" si="179"/>
        <v>28/05/2024</v>
      </c>
      <c r="AH274" s="30">
        <f t="shared" si="179"/>
        <v>71840</v>
      </c>
      <c r="AI274" s="4" t="str">
        <f t="shared" si="180"/>
        <v>A6</v>
      </c>
      <c r="AJ274" s="5" t="str">
        <f t="shared" si="189"/>
        <v>A5</v>
      </c>
      <c r="AK274">
        <f t="shared" si="190"/>
        <v>67829.5</v>
      </c>
      <c r="AL274" t="str">
        <f t="shared" si="191"/>
        <v>A6</v>
      </c>
      <c r="AM274">
        <f t="shared" si="192"/>
        <v>73860.5</v>
      </c>
      <c r="AN274" s="6">
        <f t="shared" si="193"/>
        <v>2760</v>
      </c>
      <c r="AO274">
        <f t="shared" si="194"/>
        <v>73510</v>
      </c>
      <c r="AP274">
        <f t="shared" si="217"/>
        <v>70750</v>
      </c>
      <c r="AQ274" s="33">
        <f t="shared" si="195"/>
        <v>74890</v>
      </c>
      <c r="AR274" s="33">
        <f t="shared" si="196"/>
        <v>69370</v>
      </c>
      <c r="AS274">
        <f t="shared" si="197"/>
        <v>72820</v>
      </c>
      <c r="AT274" s="5">
        <f t="shared" si="198"/>
        <v>71440</v>
      </c>
      <c r="AU274" s="5">
        <f t="shared" si="199"/>
        <v>77650</v>
      </c>
      <c r="AV274" s="5">
        <f t="shared" si="200"/>
        <v>66610</v>
      </c>
      <c r="AW274" s="5">
        <f t="shared" si="201"/>
        <v>72590</v>
      </c>
      <c r="AX274" s="5">
        <f t="shared" si="202"/>
        <v>71670</v>
      </c>
      <c r="AY274" s="5">
        <f t="shared" si="203"/>
        <v>80410</v>
      </c>
      <c r="AZ274" s="5">
        <f t="shared" si="204"/>
        <v>63850</v>
      </c>
      <c r="BB274" s="32" t="str">
        <f t="shared" si="181"/>
        <v>28/05/2024</v>
      </c>
      <c r="BC274" s="33">
        <f t="shared" si="181"/>
        <v>71840</v>
      </c>
      <c r="BD274" s="4" t="str">
        <f t="shared" si="181"/>
        <v>A6</v>
      </c>
      <c r="BE274">
        <f t="shared" si="205"/>
        <v>73685.25</v>
      </c>
      <c r="BF274">
        <f t="shared" si="206"/>
        <v>72305.25</v>
      </c>
      <c r="BG274">
        <f t="shared" si="207"/>
        <v>74375.25</v>
      </c>
      <c r="BH274" s="38">
        <f t="shared" si="208"/>
        <v>71615.25</v>
      </c>
      <c r="BI274">
        <f t="shared" si="209"/>
        <v>73340.25</v>
      </c>
      <c r="BJ274">
        <f t="shared" si="210"/>
        <v>72650.25</v>
      </c>
      <c r="BK274">
        <f t="shared" si="211"/>
        <v>75755.25</v>
      </c>
      <c r="BL274">
        <f t="shared" si="212"/>
        <v>70235.25</v>
      </c>
      <c r="BM274">
        <f t="shared" si="213"/>
        <v>73225.25</v>
      </c>
      <c r="BN274">
        <f t="shared" si="214"/>
        <v>72765.25</v>
      </c>
      <c r="BO274">
        <f t="shared" si="215"/>
        <v>77135.25</v>
      </c>
      <c r="BP274">
        <f t="shared" si="216"/>
        <v>68855.25</v>
      </c>
      <c r="BQ274" s="7">
        <f>BH274</f>
        <v>71615.25</v>
      </c>
      <c r="BS274" s="30">
        <f t="shared" si="182"/>
        <v>71840</v>
      </c>
      <c r="BT274" s="4">
        <f t="shared" si="183"/>
        <v>71615.25</v>
      </c>
      <c r="BU274" s="37">
        <f t="shared" si="184"/>
        <v>224.75</v>
      </c>
      <c r="BV274">
        <f t="shared" si="185"/>
        <v>224.75</v>
      </c>
      <c r="BW274" s="35">
        <f t="shared" si="186"/>
        <v>3.1284799554565702E-3</v>
      </c>
    </row>
    <row r="275" spans="1:75">
      <c r="A275" s="1" t="s">
        <v>276</v>
      </c>
      <c r="B275" s="1">
        <v>70180</v>
      </c>
      <c r="Q275">
        <v>272</v>
      </c>
      <c r="R275" s="27" t="str">
        <f t="shared" si="177"/>
        <v>29/05/2024</v>
      </c>
      <c r="S275" s="27">
        <f t="shared" si="177"/>
        <v>70780</v>
      </c>
      <c r="T275" s="4" t="str">
        <f t="shared" si="178"/>
        <v>A5</v>
      </c>
      <c r="V275">
        <v>272</v>
      </c>
      <c r="W275" s="28" t="str">
        <f t="shared" si="176"/>
        <v>29/05/2024</v>
      </c>
      <c r="X275" s="28">
        <f t="shared" si="176"/>
        <v>70780</v>
      </c>
      <c r="Y275" s="28" t="str">
        <f t="shared" si="176"/>
        <v>A5</v>
      </c>
      <c r="Z275" s="5" t="str">
        <f t="shared" si="187"/>
        <v>A6</v>
      </c>
      <c r="AA275" s="5" t="str">
        <f t="shared" si="188"/>
        <v>A6</v>
      </c>
      <c r="AG275" s="29" t="str">
        <f t="shared" si="179"/>
        <v>29/05/2024</v>
      </c>
      <c r="AH275" s="30">
        <f t="shared" si="179"/>
        <v>70780</v>
      </c>
      <c r="AI275" s="4" t="str">
        <f t="shared" si="180"/>
        <v>A5</v>
      </c>
      <c r="AJ275" s="5" t="str">
        <f t="shared" si="189"/>
        <v>A6</v>
      </c>
      <c r="AK275">
        <f t="shared" si="190"/>
        <v>73860.5</v>
      </c>
      <c r="AL275" t="str">
        <f t="shared" si="191"/>
        <v>A6</v>
      </c>
      <c r="AM275">
        <f t="shared" si="192"/>
        <v>73860.5</v>
      </c>
      <c r="AN275" s="6">
        <f t="shared" si="193"/>
        <v>3220</v>
      </c>
      <c r="AO275">
        <f t="shared" si="194"/>
        <v>73450</v>
      </c>
      <c r="AP275">
        <f t="shared" si="217"/>
        <v>70230</v>
      </c>
      <c r="AQ275" s="33">
        <f t="shared" si="195"/>
        <v>75060</v>
      </c>
      <c r="AR275" s="33">
        <f t="shared" si="196"/>
        <v>68620</v>
      </c>
      <c r="AS275">
        <f t="shared" si="197"/>
        <v>72645</v>
      </c>
      <c r="AT275" s="5">
        <f t="shared" si="198"/>
        <v>71035</v>
      </c>
      <c r="AU275" s="5">
        <f t="shared" si="199"/>
        <v>78280</v>
      </c>
      <c r="AV275" s="5">
        <f t="shared" si="200"/>
        <v>65400</v>
      </c>
      <c r="AW275" s="5">
        <f t="shared" si="201"/>
        <v>72376.666666666672</v>
      </c>
      <c r="AX275" s="5">
        <f t="shared" si="202"/>
        <v>71303.333333333328</v>
      </c>
      <c r="AY275" s="5">
        <f t="shared" si="203"/>
        <v>81500</v>
      </c>
      <c r="AZ275" s="5">
        <f t="shared" si="204"/>
        <v>62180</v>
      </c>
      <c r="BB275" s="32" t="str">
        <f t="shared" si="181"/>
        <v>29/05/2024</v>
      </c>
      <c r="BC275" s="33">
        <f t="shared" si="181"/>
        <v>70780</v>
      </c>
      <c r="BD275" s="4" t="str">
        <f t="shared" si="181"/>
        <v>A5</v>
      </c>
      <c r="BE275">
        <f t="shared" si="205"/>
        <v>73655.25</v>
      </c>
      <c r="BF275">
        <f t="shared" si="206"/>
        <v>72045.25</v>
      </c>
      <c r="BG275">
        <f t="shared" si="207"/>
        <v>74460.25</v>
      </c>
      <c r="BH275" s="38">
        <f t="shared" si="208"/>
        <v>71240.25</v>
      </c>
      <c r="BI275">
        <f t="shared" si="209"/>
        <v>73252.75</v>
      </c>
      <c r="BJ275">
        <f t="shared" si="210"/>
        <v>72447.75</v>
      </c>
      <c r="BK275">
        <f t="shared" si="211"/>
        <v>76070.25</v>
      </c>
      <c r="BL275">
        <f t="shared" si="212"/>
        <v>69630.25</v>
      </c>
      <c r="BM275">
        <f t="shared" si="213"/>
        <v>73118.583333333343</v>
      </c>
      <c r="BN275">
        <f t="shared" si="214"/>
        <v>72581.916666666657</v>
      </c>
      <c r="BO275">
        <f t="shared" si="215"/>
        <v>77680.25</v>
      </c>
      <c r="BP275">
        <f t="shared" si="216"/>
        <v>68020.25</v>
      </c>
      <c r="BQ275" s="7">
        <f>BH275</f>
        <v>71240.25</v>
      </c>
      <c r="BS275" s="30">
        <f t="shared" si="182"/>
        <v>70780</v>
      </c>
      <c r="BT275" s="4">
        <f t="shared" si="183"/>
        <v>71240.25</v>
      </c>
      <c r="BU275" s="37">
        <f t="shared" si="184"/>
        <v>-460.25</v>
      </c>
      <c r="BV275">
        <f t="shared" si="185"/>
        <v>460.25</v>
      </c>
      <c r="BW275" s="35">
        <f t="shared" si="186"/>
        <v>6.5025430912687204E-3</v>
      </c>
    </row>
    <row r="276" spans="1:75">
      <c r="A276" s="1" t="s">
        <v>277</v>
      </c>
      <c r="B276" s="1">
        <v>70090</v>
      </c>
      <c r="Q276">
        <v>273</v>
      </c>
      <c r="R276" s="27" t="str">
        <f t="shared" si="177"/>
        <v>30/05/2024</v>
      </c>
      <c r="S276" s="27">
        <f t="shared" si="177"/>
        <v>70440</v>
      </c>
      <c r="T276" s="4" t="str">
        <f t="shared" si="178"/>
        <v>A5</v>
      </c>
      <c r="V276">
        <v>273</v>
      </c>
      <c r="W276" s="28" t="str">
        <f t="shared" si="176"/>
        <v>30/05/2024</v>
      </c>
      <c r="X276" s="28">
        <f t="shared" si="176"/>
        <v>70440</v>
      </c>
      <c r="Y276" s="28" t="str">
        <f t="shared" si="176"/>
        <v>A5</v>
      </c>
      <c r="Z276" s="5" t="str">
        <f t="shared" si="187"/>
        <v>A6</v>
      </c>
      <c r="AA276" s="5" t="str">
        <f t="shared" si="188"/>
        <v>A5</v>
      </c>
      <c r="AG276" s="29" t="str">
        <f t="shared" si="179"/>
        <v>30/05/2024</v>
      </c>
      <c r="AH276" s="30">
        <f t="shared" si="179"/>
        <v>70440</v>
      </c>
      <c r="AI276" s="4" t="str">
        <f t="shared" si="180"/>
        <v>A5</v>
      </c>
      <c r="AJ276" s="5" t="str">
        <f t="shared" si="189"/>
        <v>A6</v>
      </c>
      <c r="AK276">
        <f t="shared" si="190"/>
        <v>73860.5</v>
      </c>
      <c r="AL276" t="str">
        <f t="shared" si="191"/>
        <v>A5</v>
      </c>
      <c r="AM276">
        <f t="shared" si="192"/>
        <v>67829.5</v>
      </c>
      <c r="AN276" s="6">
        <f t="shared" si="193"/>
        <v>770</v>
      </c>
      <c r="AO276">
        <f t="shared" si="194"/>
        <v>71165</v>
      </c>
      <c r="AP276">
        <f t="shared" si="217"/>
        <v>70395</v>
      </c>
      <c r="AQ276" s="33">
        <f t="shared" si="195"/>
        <v>71550</v>
      </c>
      <c r="AR276" s="33">
        <f t="shared" si="196"/>
        <v>70010</v>
      </c>
      <c r="AS276">
        <f t="shared" si="197"/>
        <v>70972.5</v>
      </c>
      <c r="AT276" s="5">
        <f t="shared" si="198"/>
        <v>70587.5</v>
      </c>
      <c r="AU276" s="5">
        <f t="shared" si="199"/>
        <v>72320</v>
      </c>
      <c r="AV276" s="5">
        <f t="shared" si="200"/>
        <v>69240</v>
      </c>
      <c r="AW276" s="5">
        <f t="shared" si="201"/>
        <v>70908.333333333328</v>
      </c>
      <c r="AX276" s="5">
        <f t="shared" si="202"/>
        <v>70651.666666666672</v>
      </c>
      <c r="AY276" s="5">
        <f t="shared" si="203"/>
        <v>73090</v>
      </c>
      <c r="AZ276" s="5">
        <f t="shared" si="204"/>
        <v>68470</v>
      </c>
      <c r="BB276" s="32" t="str">
        <f t="shared" si="181"/>
        <v>30/05/2024</v>
      </c>
      <c r="BC276" s="33">
        <f t="shared" si="181"/>
        <v>70440</v>
      </c>
      <c r="BD276" s="4" t="str">
        <f t="shared" si="181"/>
        <v>A5</v>
      </c>
      <c r="BE276">
        <f t="shared" si="205"/>
        <v>69497.25</v>
      </c>
      <c r="BF276">
        <f t="shared" si="206"/>
        <v>69112.25</v>
      </c>
      <c r="BG276">
        <f t="shared" si="207"/>
        <v>69689.75</v>
      </c>
      <c r="BH276">
        <f t="shared" si="208"/>
        <v>68919.75</v>
      </c>
      <c r="BI276">
        <f t="shared" si="209"/>
        <v>69401</v>
      </c>
      <c r="BJ276">
        <f t="shared" si="210"/>
        <v>69208.5</v>
      </c>
      <c r="BK276">
        <f t="shared" si="211"/>
        <v>70074.75</v>
      </c>
      <c r="BL276">
        <f t="shared" si="212"/>
        <v>68534.75</v>
      </c>
      <c r="BM276">
        <f t="shared" si="213"/>
        <v>69368.916666666657</v>
      </c>
      <c r="BN276">
        <f t="shared" si="214"/>
        <v>69240.583333333343</v>
      </c>
      <c r="BO276" s="38">
        <f t="shared" si="215"/>
        <v>70459.75</v>
      </c>
      <c r="BP276">
        <f t="shared" si="216"/>
        <v>68149.75</v>
      </c>
      <c r="BQ276" s="7">
        <f>BO276</f>
        <v>70459.75</v>
      </c>
      <c r="BS276" s="30">
        <f t="shared" si="182"/>
        <v>70440</v>
      </c>
      <c r="BT276" s="4">
        <f t="shared" si="183"/>
        <v>70459.75</v>
      </c>
      <c r="BU276" s="37">
        <f t="shared" si="184"/>
        <v>-19.75</v>
      </c>
      <c r="BV276">
        <f t="shared" si="185"/>
        <v>19.75</v>
      </c>
      <c r="BW276" s="35">
        <f t="shared" si="186"/>
        <v>2.8038046564452017E-4</v>
      </c>
    </row>
    <row r="277" spans="1:75">
      <c r="A277" s="1" t="s">
        <v>278</v>
      </c>
      <c r="B277" s="1">
        <v>71120</v>
      </c>
      <c r="Q277">
        <v>274</v>
      </c>
      <c r="R277" s="27" t="str">
        <f t="shared" si="177"/>
        <v>31/05/2024</v>
      </c>
      <c r="S277" s="27">
        <f t="shared" si="177"/>
        <v>70180</v>
      </c>
      <c r="T277" s="4" t="str">
        <f t="shared" si="178"/>
        <v>A5</v>
      </c>
      <c r="V277">
        <v>274</v>
      </c>
      <c r="W277" s="28" t="str">
        <f t="shared" si="176"/>
        <v>31/05/2024</v>
      </c>
      <c r="X277" s="28">
        <f t="shared" si="176"/>
        <v>70180</v>
      </c>
      <c r="Y277" s="28" t="str">
        <f t="shared" si="176"/>
        <v>A5</v>
      </c>
      <c r="Z277" s="5" t="str">
        <f t="shared" si="187"/>
        <v>A5</v>
      </c>
      <c r="AA277" s="5" t="str">
        <f t="shared" si="188"/>
        <v>A5</v>
      </c>
      <c r="AG277" s="29" t="str">
        <f t="shared" si="179"/>
        <v>31/05/2024</v>
      </c>
      <c r="AH277" s="30">
        <f t="shared" si="179"/>
        <v>70180</v>
      </c>
      <c r="AI277" s="4" t="str">
        <f t="shared" si="180"/>
        <v>A5</v>
      </c>
      <c r="AJ277" s="5" t="str">
        <f t="shared" si="189"/>
        <v>A5</v>
      </c>
      <c r="AK277">
        <f t="shared" si="190"/>
        <v>67829.5</v>
      </c>
      <c r="AL277" t="str">
        <f t="shared" si="191"/>
        <v>A5</v>
      </c>
      <c r="AM277">
        <f t="shared" si="192"/>
        <v>67829.5</v>
      </c>
      <c r="AN277" s="6">
        <f t="shared" si="193"/>
        <v>720</v>
      </c>
      <c r="AO277">
        <f t="shared" si="194"/>
        <v>70800</v>
      </c>
      <c r="AP277">
        <f t="shared" si="217"/>
        <v>70080</v>
      </c>
      <c r="AQ277" s="33">
        <f t="shared" si="195"/>
        <v>71160</v>
      </c>
      <c r="AR277" s="33">
        <f t="shared" si="196"/>
        <v>69720</v>
      </c>
      <c r="AS277">
        <f t="shared" si="197"/>
        <v>70620</v>
      </c>
      <c r="AT277" s="5">
        <f t="shared" si="198"/>
        <v>70260</v>
      </c>
      <c r="AU277" s="5">
        <f t="shared" si="199"/>
        <v>71880</v>
      </c>
      <c r="AV277" s="5">
        <f t="shared" si="200"/>
        <v>69000</v>
      </c>
      <c r="AW277" s="5">
        <f t="shared" si="201"/>
        <v>70560</v>
      </c>
      <c r="AX277" s="5">
        <f t="shared" si="202"/>
        <v>70320</v>
      </c>
      <c r="AY277" s="5">
        <f t="shared" si="203"/>
        <v>72600</v>
      </c>
      <c r="AZ277" s="5">
        <f t="shared" si="204"/>
        <v>68280</v>
      </c>
      <c r="BB277" s="32" t="str">
        <f t="shared" si="181"/>
        <v>31/05/2024</v>
      </c>
      <c r="BC277" s="33">
        <f t="shared" si="181"/>
        <v>70180</v>
      </c>
      <c r="BD277" s="4" t="str">
        <f t="shared" si="181"/>
        <v>A5</v>
      </c>
      <c r="BE277">
        <f t="shared" si="205"/>
        <v>69314.75</v>
      </c>
      <c r="BF277">
        <f t="shared" si="206"/>
        <v>68954.75</v>
      </c>
      <c r="BG277">
        <f t="shared" si="207"/>
        <v>69494.75</v>
      </c>
      <c r="BH277">
        <f t="shared" si="208"/>
        <v>68774.75</v>
      </c>
      <c r="BI277">
        <f t="shared" si="209"/>
        <v>69224.75</v>
      </c>
      <c r="BJ277">
        <f t="shared" si="210"/>
        <v>69044.75</v>
      </c>
      <c r="BK277">
        <f t="shared" si="211"/>
        <v>69854.75</v>
      </c>
      <c r="BL277">
        <f t="shared" si="212"/>
        <v>68414.75</v>
      </c>
      <c r="BM277">
        <f t="shared" si="213"/>
        <v>69194.75</v>
      </c>
      <c r="BN277">
        <f t="shared" si="214"/>
        <v>69074.75</v>
      </c>
      <c r="BO277" s="38">
        <f t="shared" si="215"/>
        <v>70214.75</v>
      </c>
      <c r="BP277">
        <f t="shared" si="216"/>
        <v>68054.75</v>
      </c>
      <c r="BQ277" s="7">
        <f>BO277</f>
        <v>70214.75</v>
      </c>
      <c r="BS277" s="30">
        <f t="shared" si="182"/>
        <v>70180</v>
      </c>
      <c r="BT277" s="4">
        <f t="shared" si="183"/>
        <v>70214.75</v>
      </c>
      <c r="BU277" s="37">
        <f t="shared" si="184"/>
        <v>-34.75</v>
      </c>
      <c r="BV277">
        <f t="shared" si="185"/>
        <v>34.75</v>
      </c>
      <c r="BW277" s="35">
        <f t="shared" si="186"/>
        <v>4.9515531490453121E-4</v>
      </c>
    </row>
    <row r="278" spans="1:75">
      <c r="A278" s="1" t="s">
        <v>279</v>
      </c>
      <c r="B278" s="1">
        <v>71110</v>
      </c>
      <c r="Q278">
        <v>275</v>
      </c>
      <c r="R278" s="27" t="str">
        <f t="shared" si="177"/>
        <v>01/06/2024</v>
      </c>
      <c r="S278" s="27">
        <f t="shared" si="177"/>
        <v>70090</v>
      </c>
      <c r="T278" s="4" t="str">
        <f t="shared" si="178"/>
        <v>A5</v>
      </c>
      <c r="V278">
        <v>275</v>
      </c>
      <c r="W278" s="28" t="str">
        <f t="shared" si="176"/>
        <v>01/06/2024</v>
      </c>
      <c r="X278" s="28">
        <f t="shared" si="176"/>
        <v>70090</v>
      </c>
      <c r="Y278" s="28" t="str">
        <f t="shared" si="176"/>
        <v>A5</v>
      </c>
      <c r="Z278" s="5" t="str">
        <f t="shared" si="187"/>
        <v>A5</v>
      </c>
      <c r="AA278" s="5" t="str">
        <f t="shared" si="188"/>
        <v>A5</v>
      </c>
      <c r="AG278" s="29" t="str">
        <f t="shared" si="179"/>
        <v>01/06/2024</v>
      </c>
      <c r="AH278" s="30">
        <f t="shared" si="179"/>
        <v>70090</v>
      </c>
      <c r="AI278" s="4" t="str">
        <f t="shared" si="180"/>
        <v>A5</v>
      </c>
      <c r="AJ278" s="5" t="str">
        <f t="shared" si="189"/>
        <v>A5</v>
      </c>
      <c r="AK278">
        <f t="shared" si="190"/>
        <v>67829.5</v>
      </c>
      <c r="AL278" t="str">
        <f t="shared" si="191"/>
        <v>A5</v>
      </c>
      <c r="AM278">
        <f t="shared" si="192"/>
        <v>67829.5</v>
      </c>
      <c r="AN278" s="6">
        <f t="shared" si="193"/>
        <v>80</v>
      </c>
      <c r="AO278">
        <f t="shared" si="194"/>
        <v>70220</v>
      </c>
      <c r="AP278">
        <f t="shared" si="217"/>
        <v>70140</v>
      </c>
      <c r="AQ278" s="33">
        <f t="shared" si="195"/>
        <v>70260</v>
      </c>
      <c r="AR278" s="33">
        <f t="shared" si="196"/>
        <v>70100</v>
      </c>
      <c r="AS278">
        <f t="shared" si="197"/>
        <v>70200</v>
      </c>
      <c r="AT278" s="5">
        <f t="shared" si="198"/>
        <v>70160</v>
      </c>
      <c r="AU278" s="5">
        <f t="shared" si="199"/>
        <v>70340</v>
      </c>
      <c r="AV278" s="5">
        <f t="shared" si="200"/>
        <v>70020</v>
      </c>
      <c r="AW278" s="5">
        <f t="shared" si="201"/>
        <v>70193.333333333328</v>
      </c>
      <c r="AX278" s="5">
        <f t="shared" si="202"/>
        <v>70166.666666666672</v>
      </c>
      <c r="AY278" s="5">
        <f t="shared" si="203"/>
        <v>70420</v>
      </c>
      <c r="AZ278" s="5">
        <f t="shared" si="204"/>
        <v>69940</v>
      </c>
      <c r="BB278" s="32" t="str">
        <f t="shared" si="181"/>
        <v>01/06/2024</v>
      </c>
      <c r="BC278" s="33">
        <f t="shared" si="181"/>
        <v>70090</v>
      </c>
      <c r="BD278" s="4" t="str">
        <f t="shared" si="181"/>
        <v>A5</v>
      </c>
      <c r="BE278">
        <f t="shared" si="205"/>
        <v>69024.75</v>
      </c>
      <c r="BF278">
        <f t="shared" si="206"/>
        <v>68984.75</v>
      </c>
      <c r="BG278">
        <f t="shared" si="207"/>
        <v>69044.75</v>
      </c>
      <c r="BH278">
        <f t="shared" si="208"/>
        <v>68964.75</v>
      </c>
      <c r="BI278">
        <f t="shared" si="209"/>
        <v>69014.75</v>
      </c>
      <c r="BJ278">
        <f t="shared" si="210"/>
        <v>68994.75</v>
      </c>
      <c r="BK278">
        <f t="shared" si="211"/>
        <v>69084.75</v>
      </c>
      <c r="BL278">
        <f t="shared" si="212"/>
        <v>68924.75</v>
      </c>
      <c r="BM278">
        <f t="shared" si="213"/>
        <v>69011.416666666657</v>
      </c>
      <c r="BN278">
        <f t="shared" si="214"/>
        <v>68998.083333333343</v>
      </c>
      <c r="BO278" s="38">
        <f t="shared" si="215"/>
        <v>69124.75</v>
      </c>
      <c r="BP278">
        <f t="shared" si="216"/>
        <v>68884.75</v>
      </c>
      <c r="BQ278" s="7">
        <f>BO278</f>
        <v>69124.75</v>
      </c>
      <c r="BS278" s="30">
        <f t="shared" si="182"/>
        <v>70090</v>
      </c>
      <c r="BT278" s="4">
        <f t="shared" si="183"/>
        <v>69124.75</v>
      </c>
      <c r="BU278" s="37">
        <f t="shared" si="184"/>
        <v>965.25</v>
      </c>
      <c r="BV278">
        <f t="shared" si="185"/>
        <v>965.25</v>
      </c>
      <c r="BW278" s="35">
        <f t="shared" si="186"/>
        <v>1.3771579397916964E-2</v>
      </c>
    </row>
    <row r="279" spans="1:75">
      <c r="A279" s="1" t="s">
        <v>280</v>
      </c>
      <c r="B279" s="1">
        <v>70930</v>
      </c>
      <c r="Q279">
        <v>276</v>
      </c>
      <c r="R279" s="27" t="str">
        <f t="shared" si="177"/>
        <v>02/06/2024</v>
      </c>
      <c r="S279" s="27">
        <f t="shared" si="177"/>
        <v>71120</v>
      </c>
      <c r="T279" s="4" t="str">
        <f t="shared" si="178"/>
        <v>A6</v>
      </c>
      <c r="V279">
        <v>276</v>
      </c>
      <c r="W279" s="28" t="str">
        <f t="shared" si="176"/>
        <v>02/06/2024</v>
      </c>
      <c r="X279" s="28">
        <f t="shared" si="176"/>
        <v>71120</v>
      </c>
      <c r="Y279" s="28" t="str">
        <f t="shared" si="176"/>
        <v>A6</v>
      </c>
      <c r="Z279" s="5" t="str">
        <f t="shared" si="187"/>
        <v>A5</v>
      </c>
      <c r="AA279" s="5" t="str">
        <f t="shared" si="188"/>
        <v>A5</v>
      </c>
      <c r="AG279" s="29" t="str">
        <f t="shared" si="179"/>
        <v>02/06/2024</v>
      </c>
      <c r="AH279" s="30">
        <f t="shared" si="179"/>
        <v>71120</v>
      </c>
      <c r="AI279" s="4" t="str">
        <f t="shared" si="180"/>
        <v>A6</v>
      </c>
      <c r="AJ279" s="5" t="str">
        <f t="shared" si="189"/>
        <v>A5</v>
      </c>
      <c r="AK279">
        <f t="shared" si="190"/>
        <v>67829.5</v>
      </c>
      <c r="AL279" t="str">
        <f t="shared" si="191"/>
        <v>A5</v>
      </c>
      <c r="AM279">
        <f t="shared" si="192"/>
        <v>67829.5</v>
      </c>
      <c r="AN279" s="6">
        <f t="shared" si="193"/>
        <v>170</v>
      </c>
      <c r="AO279">
        <f t="shared" si="194"/>
        <v>70175</v>
      </c>
      <c r="AP279">
        <f t="shared" si="217"/>
        <v>70005</v>
      </c>
      <c r="AQ279" s="33">
        <f t="shared" si="195"/>
        <v>70260</v>
      </c>
      <c r="AR279" s="33">
        <f t="shared" si="196"/>
        <v>69920</v>
      </c>
      <c r="AS279">
        <f t="shared" si="197"/>
        <v>70132.5</v>
      </c>
      <c r="AT279" s="5">
        <f t="shared" si="198"/>
        <v>70047.5</v>
      </c>
      <c r="AU279" s="5">
        <f t="shared" si="199"/>
        <v>70430</v>
      </c>
      <c r="AV279" s="5">
        <f t="shared" si="200"/>
        <v>69750</v>
      </c>
      <c r="AW279" s="5">
        <f t="shared" si="201"/>
        <v>70118.333333333328</v>
      </c>
      <c r="AX279" s="5">
        <f t="shared" si="202"/>
        <v>70061.666666666672</v>
      </c>
      <c r="AY279" s="5">
        <f t="shared" si="203"/>
        <v>70600</v>
      </c>
      <c r="AZ279" s="5">
        <f t="shared" si="204"/>
        <v>69580</v>
      </c>
      <c r="BB279" s="32" t="str">
        <f t="shared" si="181"/>
        <v>02/06/2024</v>
      </c>
      <c r="BC279" s="33">
        <f t="shared" si="181"/>
        <v>71120</v>
      </c>
      <c r="BD279" s="4" t="str">
        <f t="shared" si="181"/>
        <v>A6</v>
      </c>
      <c r="BE279">
        <f t="shared" si="205"/>
        <v>69002.25</v>
      </c>
      <c r="BF279">
        <f t="shared" si="206"/>
        <v>68917.25</v>
      </c>
      <c r="BG279">
        <f t="shared" si="207"/>
        <v>69044.75</v>
      </c>
      <c r="BH279">
        <f t="shared" si="208"/>
        <v>68874.75</v>
      </c>
      <c r="BI279">
        <f t="shared" si="209"/>
        <v>68981</v>
      </c>
      <c r="BJ279">
        <f t="shared" si="210"/>
        <v>68938.5</v>
      </c>
      <c r="BK279">
        <f t="shared" si="211"/>
        <v>69129.75</v>
      </c>
      <c r="BL279">
        <f t="shared" si="212"/>
        <v>68789.75</v>
      </c>
      <c r="BM279">
        <f t="shared" si="213"/>
        <v>68973.916666666657</v>
      </c>
      <c r="BN279">
        <f t="shared" si="214"/>
        <v>68945.583333333343</v>
      </c>
      <c r="BO279" s="38">
        <f t="shared" si="215"/>
        <v>69214.75</v>
      </c>
      <c r="BP279">
        <f t="shared" si="216"/>
        <v>68704.75</v>
      </c>
      <c r="BQ279" s="7">
        <f>BO279</f>
        <v>69214.75</v>
      </c>
      <c r="BS279" s="30">
        <f t="shared" si="182"/>
        <v>71120</v>
      </c>
      <c r="BT279" s="4">
        <f t="shared" si="183"/>
        <v>69214.75</v>
      </c>
      <c r="BU279" s="37">
        <f t="shared" si="184"/>
        <v>1905.25</v>
      </c>
      <c r="BV279">
        <f t="shared" si="185"/>
        <v>1905.25</v>
      </c>
      <c r="BW279" s="35">
        <f t="shared" si="186"/>
        <v>2.6789229471316085E-2</v>
      </c>
    </row>
    <row r="280" spans="1:75">
      <c r="A280" s="1" t="s">
        <v>281</v>
      </c>
      <c r="B280" s="1">
        <v>68580</v>
      </c>
      <c r="Q280">
        <v>277</v>
      </c>
      <c r="R280" s="27" t="str">
        <f t="shared" si="177"/>
        <v>03/06/2024</v>
      </c>
      <c r="S280" s="27">
        <f t="shared" si="177"/>
        <v>71110</v>
      </c>
      <c r="T280" s="4" t="str">
        <f t="shared" si="178"/>
        <v>A6</v>
      </c>
      <c r="V280">
        <v>277</v>
      </c>
      <c r="W280" s="28" t="str">
        <f t="shared" si="176"/>
        <v>03/06/2024</v>
      </c>
      <c r="X280" s="28">
        <f t="shared" si="176"/>
        <v>71110</v>
      </c>
      <c r="Y280" s="28" t="str">
        <f t="shared" si="176"/>
        <v>A6</v>
      </c>
      <c r="Z280" s="5" t="str">
        <f t="shared" si="187"/>
        <v>A5</v>
      </c>
      <c r="AA280" s="5" t="str">
        <f t="shared" si="188"/>
        <v>A6</v>
      </c>
      <c r="AG280" s="29" t="str">
        <f t="shared" si="179"/>
        <v>03/06/2024</v>
      </c>
      <c r="AH280" s="30">
        <f t="shared" si="179"/>
        <v>71110</v>
      </c>
      <c r="AI280" s="4" t="str">
        <f t="shared" si="180"/>
        <v>A6</v>
      </c>
      <c r="AJ280" s="5" t="str">
        <f t="shared" si="189"/>
        <v>A5</v>
      </c>
      <c r="AK280">
        <f t="shared" si="190"/>
        <v>67829.5</v>
      </c>
      <c r="AL280" t="str">
        <f t="shared" si="191"/>
        <v>A6</v>
      </c>
      <c r="AM280">
        <f t="shared" si="192"/>
        <v>73860.5</v>
      </c>
      <c r="AN280" s="6">
        <f t="shared" si="193"/>
        <v>940</v>
      </c>
      <c r="AO280">
        <f t="shared" si="194"/>
        <v>71590</v>
      </c>
      <c r="AP280">
        <f t="shared" si="217"/>
        <v>70650</v>
      </c>
      <c r="AQ280" s="33">
        <f t="shared" si="195"/>
        <v>72060</v>
      </c>
      <c r="AR280" s="33">
        <f t="shared" si="196"/>
        <v>70180</v>
      </c>
      <c r="AS280">
        <f t="shared" si="197"/>
        <v>71355</v>
      </c>
      <c r="AT280" s="5">
        <f t="shared" si="198"/>
        <v>70885</v>
      </c>
      <c r="AU280" s="5">
        <f t="shared" si="199"/>
        <v>73000</v>
      </c>
      <c r="AV280" s="5">
        <f t="shared" si="200"/>
        <v>69240</v>
      </c>
      <c r="AW280" s="5">
        <f t="shared" si="201"/>
        <v>71276.666666666672</v>
      </c>
      <c r="AX280" s="5">
        <f t="shared" si="202"/>
        <v>70963.333333333328</v>
      </c>
      <c r="AY280" s="5">
        <f t="shared" si="203"/>
        <v>73940</v>
      </c>
      <c r="AZ280" s="5">
        <f t="shared" si="204"/>
        <v>68300</v>
      </c>
      <c r="BB280" s="32" t="str">
        <f t="shared" si="181"/>
        <v>03/06/2024</v>
      </c>
      <c r="BC280" s="33">
        <f t="shared" si="181"/>
        <v>71110</v>
      </c>
      <c r="BD280" s="4" t="str">
        <f t="shared" si="181"/>
        <v>A6</v>
      </c>
      <c r="BE280">
        <f t="shared" si="205"/>
        <v>72725.25</v>
      </c>
      <c r="BF280">
        <f t="shared" si="206"/>
        <v>72255.25</v>
      </c>
      <c r="BG280">
        <f t="shared" si="207"/>
        <v>72960.25</v>
      </c>
      <c r="BH280">
        <f t="shared" si="208"/>
        <v>72020.25</v>
      </c>
      <c r="BI280">
        <f t="shared" si="209"/>
        <v>72607.75</v>
      </c>
      <c r="BJ280">
        <f t="shared" si="210"/>
        <v>72372.75</v>
      </c>
      <c r="BK280">
        <f t="shared" si="211"/>
        <v>73430.25</v>
      </c>
      <c r="BL280">
        <f t="shared" si="212"/>
        <v>71550.25</v>
      </c>
      <c r="BM280">
        <f t="shared" si="213"/>
        <v>72568.583333333343</v>
      </c>
      <c r="BN280">
        <f t="shared" si="214"/>
        <v>72411.916666666657</v>
      </c>
      <c r="BO280">
        <f t="shared" si="215"/>
        <v>73900.25</v>
      </c>
      <c r="BP280" s="38">
        <f t="shared" si="216"/>
        <v>71080.25</v>
      </c>
      <c r="BQ280" s="7">
        <f>BP280</f>
        <v>71080.25</v>
      </c>
      <c r="BS280" s="30">
        <f t="shared" si="182"/>
        <v>71110</v>
      </c>
      <c r="BT280" s="4">
        <f t="shared" si="183"/>
        <v>71080.25</v>
      </c>
      <c r="BU280" s="37">
        <f t="shared" si="184"/>
        <v>29.75</v>
      </c>
      <c r="BV280">
        <f t="shared" si="185"/>
        <v>29.75</v>
      </c>
      <c r="BW280" s="35">
        <f t="shared" si="186"/>
        <v>4.1836591196737447E-4</v>
      </c>
    </row>
    <row r="281" spans="1:75">
      <c r="A281" s="1" t="s">
        <v>282</v>
      </c>
      <c r="B281" s="1">
        <v>69810</v>
      </c>
      <c r="Q281">
        <v>278</v>
      </c>
      <c r="R281" s="27" t="str">
        <f t="shared" si="177"/>
        <v>04/06/2024</v>
      </c>
      <c r="S281" s="27">
        <f t="shared" si="177"/>
        <v>70930</v>
      </c>
      <c r="T281" s="4" t="str">
        <f t="shared" si="178"/>
        <v>A6</v>
      </c>
      <c r="V281">
        <v>278</v>
      </c>
      <c r="W281" s="28" t="str">
        <f t="shared" si="176"/>
        <v>04/06/2024</v>
      </c>
      <c r="X281" s="28">
        <f t="shared" si="176"/>
        <v>70930</v>
      </c>
      <c r="Y281" s="28" t="str">
        <f t="shared" si="176"/>
        <v>A6</v>
      </c>
      <c r="Z281" s="5" t="str">
        <f t="shared" si="187"/>
        <v>A6</v>
      </c>
      <c r="AA281" s="5" t="str">
        <f t="shared" si="188"/>
        <v>A6</v>
      </c>
      <c r="AG281" s="29" t="str">
        <f t="shared" si="179"/>
        <v>04/06/2024</v>
      </c>
      <c r="AH281" s="30">
        <f t="shared" si="179"/>
        <v>70930</v>
      </c>
      <c r="AI281" s="4" t="str">
        <f t="shared" si="180"/>
        <v>A6</v>
      </c>
      <c r="AJ281" s="5" t="str">
        <f t="shared" si="189"/>
        <v>A6</v>
      </c>
      <c r="AK281">
        <f t="shared" si="190"/>
        <v>73860.5</v>
      </c>
      <c r="AL281" t="str">
        <f t="shared" si="191"/>
        <v>A6</v>
      </c>
      <c r="AM281">
        <f t="shared" si="192"/>
        <v>73860.5</v>
      </c>
      <c r="AN281" s="6">
        <f t="shared" si="193"/>
        <v>1020</v>
      </c>
      <c r="AO281">
        <f t="shared" si="194"/>
        <v>71620</v>
      </c>
      <c r="AP281">
        <f t="shared" si="217"/>
        <v>70600</v>
      </c>
      <c r="AQ281" s="33">
        <f t="shared" si="195"/>
        <v>72130</v>
      </c>
      <c r="AR281" s="33">
        <f t="shared" si="196"/>
        <v>70090</v>
      </c>
      <c r="AS281">
        <f t="shared" si="197"/>
        <v>71365</v>
      </c>
      <c r="AT281" s="5">
        <f t="shared" si="198"/>
        <v>70855</v>
      </c>
      <c r="AU281" s="5">
        <f t="shared" si="199"/>
        <v>73150</v>
      </c>
      <c r="AV281" s="5">
        <f t="shared" si="200"/>
        <v>69070</v>
      </c>
      <c r="AW281" s="5">
        <f t="shared" si="201"/>
        <v>71280</v>
      </c>
      <c r="AX281" s="5">
        <f t="shared" si="202"/>
        <v>70940</v>
      </c>
      <c r="AY281" s="5">
        <f t="shared" si="203"/>
        <v>74170</v>
      </c>
      <c r="AZ281" s="5">
        <f t="shared" si="204"/>
        <v>68050</v>
      </c>
      <c r="BB281" s="32" t="str">
        <f t="shared" si="181"/>
        <v>04/06/2024</v>
      </c>
      <c r="BC281" s="33">
        <f t="shared" si="181"/>
        <v>70930</v>
      </c>
      <c r="BD281" s="4" t="str">
        <f t="shared" si="181"/>
        <v>A6</v>
      </c>
      <c r="BE281">
        <f t="shared" si="205"/>
        <v>72740.25</v>
      </c>
      <c r="BF281">
        <f t="shared" si="206"/>
        <v>72230.25</v>
      </c>
      <c r="BG281">
        <f t="shared" si="207"/>
        <v>72995.25</v>
      </c>
      <c r="BH281">
        <f t="shared" si="208"/>
        <v>71975.25</v>
      </c>
      <c r="BI281">
        <f t="shared" si="209"/>
        <v>72612.75</v>
      </c>
      <c r="BJ281">
        <f t="shared" si="210"/>
        <v>72357.75</v>
      </c>
      <c r="BK281">
        <f t="shared" si="211"/>
        <v>73505.25</v>
      </c>
      <c r="BL281">
        <f t="shared" si="212"/>
        <v>71465.25</v>
      </c>
      <c r="BM281">
        <f t="shared" si="213"/>
        <v>72570.25</v>
      </c>
      <c r="BN281">
        <f t="shared" si="214"/>
        <v>72400.25</v>
      </c>
      <c r="BO281">
        <f t="shared" si="215"/>
        <v>74015.25</v>
      </c>
      <c r="BP281" s="38">
        <f t="shared" si="216"/>
        <v>70955.25</v>
      </c>
      <c r="BQ281" s="7">
        <f t="shared" ref="BQ281:BQ282" si="218">BP281</f>
        <v>70955.25</v>
      </c>
      <c r="BS281" s="30">
        <f t="shared" si="182"/>
        <v>70930</v>
      </c>
      <c r="BT281" s="4">
        <f t="shared" si="183"/>
        <v>70955.25</v>
      </c>
      <c r="BU281" s="37">
        <f t="shared" si="184"/>
        <v>-25.25</v>
      </c>
      <c r="BV281">
        <f t="shared" si="185"/>
        <v>25.25</v>
      </c>
      <c r="BW281" s="35">
        <f t="shared" si="186"/>
        <v>3.559847737205696E-4</v>
      </c>
    </row>
    <row r="282" spans="1:75">
      <c r="A282" s="1" t="s">
        <v>283</v>
      </c>
      <c r="B282" s="1">
        <v>69620</v>
      </c>
      <c r="Q282">
        <v>279</v>
      </c>
      <c r="R282" s="27" t="str">
        <f t="shared" si="177"/>
        <v>05/06/2024</v>
      </c>
      <c r="S282" s="27">
        <f t="shared" si="177"/>
        <v>68580</v>
      </c>
      <c r="T282" s="4" t="str">
        <f t="shared" si="178"/>
        <v>A5</v>
      </c>
      <c r="V282">
        <v>279</v>
      </c>
      <c r="W282" s="28" t="str">
        <f t="shared" si="176"/>
        <v>05/06/2024</v>
      </c>
      <c r="X282" s="28">
        <f t="shared" si="176"/>
        <v>68580</v>
      </c>
      <c r="Y282" s="28" t="str">
        <f t="shared" si="176"/>
        <v>A5</v>
      </c>
      <c r="Z282" s="5" t="str">
        <f t="shared" si="187"/>
        <v>A6</v>
      </c>
      <c r="AA282" s="5" t="str">
        <f t="shared" si="188"/>
        <v>A6</v>
      </c>
      <c r="AG282" s="29" t="str">
        <f t="shared" si="179"/>
        <v>05/06/2024</v>
      </c>
      <c r="AH282" s="30">
        <f t="shared" si="179"/>
        <v>68580</v>
      </c>
      <c r="AI282" s="4" t="str">
        <f t="shared" si="180"/>
        <v>A5</v>
      </c>
      <c r="AJ282" s="5" t="str">
        <f t="shared" si="189"/>
        <v>A6</v>
      </c>
      <c r="AK282">
        <f t="shared" si="190"/>
        <v>73860.5</v>
      </c>
      <c r="AL282" t="str">
        <f t="shared" si="191"/>
        <v>A6</v>
      </c>
      <c r="AM282">
        <f t="shared" si="192"/>
        <v>73860.5</v>
      </c>
      <c r="AN282" s="6">
        <f t="shared" si="193"/>
        <v>170</v>
      </c>
      <c r="AO282">
        <f t="shared" si="194"/>
        <v>71015</v>
      </c>
      <c r="AP282">
        <f t="shared" si="217"/>
        <v>70845</v>
      </c>
      <c r="AQ282" s="33">
        <f t="shared" si="195"/>
        <v>71100</v>
      </c>
      <c r="AR282" s="33">
        <f t="shared" si="196"/>
        <v>70760</v>
      </c>
      <c r="AS282">
        <f t="shared" si="197"/>
        <v>70972.5</v>
      </c>
      <c r="AT282" s="5">
        <f t="shared" si="198"/>
        <v>70887.5</v>
      </c>
      <c r="AU282" s="5">
        <f t="shared" si="199"/>
        <v>71270</v>
      </c>
      <c r="AV282" s="5">
        <f t="shared" si="200"/>
        <v>70590</v>
      </c>
      <c r="AW282" s="5">
        <f t="shared" si="201"/>
        <v>70958.333333333328</v>
      </c>
      <c r="AX282" s="5">
        <f t="shared" si="202"/>
        <v>70901.666666666672</v>
      </c>
      <c r="AY282" s="5">
        <f t="shared" si="203"/>
        <v>71440</v>
      </c>
      <c r="AZ282" s="5">
        <f t="shared" si="204"/>
        <v>70420</v>
      </c>
      <c r="BB282" s="32" t="str">
        <f t="shared" si="181"/>
        <v>05/06/2024</v>
      </c>
      <c r="BC282" s="33">
        <f t="shared" si="181"/>
        <v>68580</v>
      </c>
      <c r="BD282" s="4" t="str">
        <f t="shared" si="181"/>
        <v>A5</v>
      </c>
      <c r="BE282">
        <f t="shared" si="205"/>
        <v>72437.75</v>
      </c>
      <c r="BF282">
        <f t="shared" si="206"/>
        <v>72352.75</v>
      </c>
      <c r="BG282">
        <f t="shared" si="207"/>
        <v>72480.25</v>
      </c>
      <c r="BH282">
        <f t="shared" si="208"/>
        <v>72310.25</v>
      </c>
      <c r="BI282">
        <f t="shared" si="209"/>
        <v>72416.5</v>
      </c>
      <c r="BJ282">
        <f t="shared" si="210"/>
        <v>72374</v>
      </c>
      <c r="BK282">
        <f t="shared" si="211"/>
        <v>72565.25</v>
      </c>
      <c r="BL282">
        <f t="shared" si="212"/>
        <v>72225.25</v>
      </c>
      <c r="BM282">
        <f t="shared" si="213"/>
        <v>72409.416666666657</v>
      </c>
      <c r="BN282">
        <f t="shared" si="214"/>
        <v>72381.083333333343</v>
      </c>
      <c r="BO282">
        <f t="shared" si="215"/>
        <v>72650.25</v>
      </c>
      <c r="BP282" s="38">
        <f t="shared" si="216"/>
        <v>72140.25</v>
      </c>
      <c r="BQ282" s="7">
        <f t="shared" si="218"/>
        <v>72140.25</v>
      </c>
      <c r="BS282" s="30">
        <f t="shared" si="182"/>
        <v>68580</v>
      </c>
      <c r="BT282" s="4">
        <f t="shared" si="183"/>
        <v>72140.25</v>
      </c>
      <c r="BU282" s="37">
        <f t="shared" si="184"/>
        <v>-3560.25</v>
      </c>
      <c r="BV282">
        <f t="shared" si="185"/>
        <v>3560.25</v>
      </c>
      <c r="BW282" s="35">
        <f t="shared" si="186"/>
        <v>5.1913823272090986E-2</v>
      </c>
    </row>
    <row r="283" spans="1:75">
      <c r="A283" s="1" t="s">
        <v>284</v>
      </c>
      <c r="B283" s="1">
        <v>70180</v>
      </c>
      <c r="Q283">
        <v>280</v>
      </c>
      <c r="R283" s="27" t="str">
        <f t="shared" si="177"/>
        <v>06/06/2024</v>
      </c>
      <c r="S283" s="27">
        <f t="shared" si="177"/>
        <v>69810</v>
      </c>
      <c r="T283" s="4" t="str">
        <f t="shared" si="178"/>
        <v>A5</v>
      </c>
      <c r="V283">
        <v>280</v>
      </c>
      <c r="W283" s="28" t="str">
        <f t="shared" si="176"/>
        <v>06/06/2024</v>
      </c>
      <c r="X283" s="28">
        <f t="shared" si="176"/>
        <v>69810</v>
      </c>
      <c r="Y283" s="28" t="str">
        <f t="shared" si="176"/>
        <v>A5</v>
      </c>
      <c r="Z283" s="5" t="str">
        <f t="shared" si="187"/>
        <v>A6</v>
      </c>
      <c r="AA283" s="5" t="str">
        <f t="shared" si="188"/>
        <v>A5</v>
      </c>
      <c r="AG283" s="29" t="str">
        <f t="shared" si="179"/>
        <v>06/06/2024</v>
      </c>
      <c r="AH283" s="30">
        <f t="shared" si="179"/>
        <v>69810</v>
      </c>
      <c r="AI283" s="4" t="str">
        <f t="shared" si="180"/>
        <v>A5</v>
      </c>
      <c r="AJ283" s="5" t="str">
        <f t="shared" si="189"/>
        <v>A6</v>
      </c>
      <c r="AK283">
        <f t="shared" si="190"/>
        <v>73860.5</v>
      </c>
      <c r="AL283" t="str">
        <f t="shared" si="191"/>
        <v>A5</v>
      </c>
      <c r="AM283">
        <f t="shared" si="192"/>
        <v>67829.5</v>
      </c>
      <c r="AN283" s="6">
        <f t="shared" si="193"/>
        <v>2170</v>
      </c>
      <c r="AO283">
        <f t="shared" si="194"/>
        <v>69665</v>
      </c>
      <c r="AP283">
        <f t="shared" si="217"/>
        <v>67495</v>
      </c>
      <c r="AQ283" s="33">
        <f t="shared" si="195"/>
        <v>70750</v>
      </c>
      <c r="AR283" s="33">
        <f t="shared" si="196"/>
        <v>66410</v>
      </c>
      <c r="AS283">
        <f t="shared" si="197"/>
        <v>69122.5</v>
      </c>
      <c r="AT283" s="5">
        <f t="shared" si="198"/>
        <v>68037.5</v>
      </c>
      <c r="AU283" s="5">
        <f t="shared" si="199"/>
        <v>72920</v>
      </c>
      <c r="AV283" s="5">
        <f t="shared" si="200"/>
        <v>64240</v>
      </c>
      <c r="AW283" s="5">
        <f t="shared" si="201"/>
        <v>68941.666666666672</v>
      </c>
      <c r="AX283" s="5">
        <f t="shared" si="202"/>
        <v>68218.333333333328</v>
      </c>
      <c r="AY283" s="5">
        <f t="shared" si="203"/>
        <v>75090</v>
      </c>
      <c r="AZ283" s="5">
        <f t="shared" si="204"/>
        <v>62070</v>
      </c>
      <c r="BB283" s="32" t="str">
        <f t="shared" si="181"/>
        <v>06/06/2024</v>
      </c>
      <c r="BC283" s="33">
        <f t="shared" si="181"/>
        <v>69810</v>
      </c>
      <c r="BD283" s="4" t="str">
        <f t="shared" si="181"/>
        <v>A5</v>
      </c>
      <c r="BE283">
        <f t="shared" si="205"/>
        <v>68747.25</v>
      </c>
      <c r="BF283">
        <f t="shared" si="206"/>
        <v>67662.25</v>
      </c>
      <c r="BG283" s="38">
        <f t="shared" si="207"/>
        <v>69289.75</v>
      </c>
      <c r="BH283">
        <f t="shared" si="208"/>
        <v>67119.75</v>
      </c>
      <c r="BI283">
        <f t="shared" si="209"/>
        <v>68476</v>
      </c>
      <c r="BJ283">
        <f t="shared" si="210"/>
        <v>67933.5</v>
      </c>
      <c r="BK283">
        <f t="shared" si="211"/>
        <v>70374.75</v>
      </c>
      <c r="BL283">
        <f t="shared" si="212"/>
        <v>66034.75</v>
      </c>
      <c r="BM283">
        <f t="shared" si="213"/>
        <v>68385.583333333343</v>
      </c>
      <c r="BN283">
        <f t="shared" si="214"/>
        <v>68023.916666666657</v>
      </c>
      <c r="BO283">
        <f t="shared" si="215"/>
        <v>71459.75</v>
      </c>
      <c r="BP283">
        <f t="shared" si="216"/>
        <v>64949.75</v>
      </c>
      <c r="BQ283" s="7">
        <f>BG283</f>
        <v>69289.75</v>
      </c>
      <c r="BS283" s="30">
        <f t="shared" si="182"/>
        <v>69810</v>
      </c>
      <c r="BT283" s="4">
        <f t="shared" si="183"/>
        <v>69289.75</v>
      </c>
      <c r="BU283" s="37">
        <f t="shared" si="184"/>
        <v>520.25</v>
      </c>
      <c r="BV283">
        <f t="shared" si="185"/>
        <v>520.25</v>
      </c>
      <c r="BW283" s="35">
        <f t="shared" si="186"/>
        <v>7.4523707205271447E-3</v>
      </c>
    </row>
    <row r="284" spans="1:75">
      <c r="A284" s="1" t="s">
        <v>285</v>
      </c>
      <c r="B284" s="1">
        <v>70350</v>
      </c>
      <c r="Q284">
        <v>281</v>
      </c>
      <c r="R284" s="27" t="str">
        <f t="shared" si="177"/>
        <v>07/06/2024</v>
      </c>
      <c r="S284" s="27">
        <f t="shared" si="177"/>
        <v>69620</v>
      </c>
      <c r="T284" s="4" t="str">
        <f t="shared" si="178"/>
        <v>A5</v>
      </c>
      <c r="V284">
        <v>281</v>
      </c>
      <c r="W284" s="28" t="str">
        <f t="shared" si="176"/>
        <v>07/06/2024</v>
      </c>
      <c r="X284" s="28">
        <f t="shared" si="176"/>
        <v>69620</v>
      </c>
      <c r="Y284" s="28" t="str">
        <f t="shared" si="176"/>
        <v>A5</v>
      </c>
      <c r="Z284" s="5" t="str">
        <f t="shared" si="187"/>
        <v>A5</v>
      </c>
      <c r="AA284" s="5" t="str">
        <f t="shared" si="188"/>
        <v>A5</v>
      </c>
      <c r="AG284" s="29" t="str">
        <f t="shared" si="179"/>
        <v>07/06/2024</v>
      </c>
      <c r="AH284" s="30">
        <f t="shared" si="179"/>
        <v>69620</v>
      </c>
      <c r="AI284" s="4" t="str">
        <f t="shared" si="180"/>
        <v>A5</v>
      </c>
      <c r="AJ284" s="5" t="str">
        <f t="shared" si="189"/>
        <v>A5</v>
      </c>
      <c r="AK284">
        <f t="shared" si="190"/>
        <v>67829.5</v>
      </c>
      <c r="AL284" t="str">
        <f t="shared" si="191"/>
        <v>A5</v>
      </c>
      <c r="AM284">
        <f t="shared" si="192"/>
        <v>67829.5</v>
      </c>
      <c r="AN284" s="6">
        <f t="shared" si="193"/>
        <v>1120</v>
      </c>
      <c r="AO284">
        <f t="shared" si="194"/>
        <v>70370</v>
      </c>
      <c r="AP284">
        <f t="shared" si="217"/>
        <v>69250</v>
      </c>
      <c r="AQ284" s="33">
        <f t="shared" si="195"/>
        <v>70930</v>
      </c>
      <c r="AR284" s="33">
        <f t="shared" si="196"/>
        <v>68690</v>
      </c>
      <c r="AS284">
        <f t="shared" si="197"/>
        <v>70090</v>
      </c>
      <c r="AT284" s="5">
        <f t="shared" si="198"/>
        <v>69530</v>
      </c>
      <c r="AU284" s="5">
        <f t="shared" si="199"/>
        <v>72050</v>
      </c>
      <c r="AV284" s="5">
        <f t="shared" si="200"/>
        <v>67570</v>
      </c>
      <c r="AW284" s="5">
        <f t="shared" si="201"/>
        <v>69996.666666666672</v>
      </c>
      <c r="AX284" s="5">
        <f t="shared" si="202"/>
        <v>69623.333333333328</v>
      </c>
      <c r="AY284" s="5">
        <f t="shared" si="203"/>
        <v>73170</v>
      </c>
      <c r="AZ284" s="5">
        <f t="shared" si="204"/>
        <v>66450</v>
      </c>
      <c r="BB284" s="32" t="str">
        <f t="shared" si="181"/>
        <v>07/06/2024</v>
      </c>
      <c r="BC284" s="33">
        <f t="shared" si="181"/>
        <v>69620</v>
      </c>
      <c r="BD284" s="4" t="str">
        <f t="shared" si="181"/>
        <v>A5</v>
      </c>
      <c r="BE284">
        <f t="shared" si="205"/>
        <v>69099.75</v>
      </c>
      <c r="BF284">
        <f t="shared" si="206"/>
        <v>68539.75</v>
      </c>
      <c r="BG284" s="38">
        <f t="shared" si="207"/>
        <v>69379.75</v>
      </c>
      <c r="BH284">
        <f t="shared" si="208"/>
        <v>68259.75</v>
      </c>
      <c r="BI284">
        <f t="shared" si="209"/>
        <v>68959.75</v>
      </c>
      <c r="BJ284">
        <f t="shared" si="210"/>
        <v>68679.75</v>
      </c>
      <c r="BK284">
        <f t="shared" si="211"/>
        <v>69939.75</v>
      </c>
      <c r="BL284">
        <f t="shared" si="212"/>
        <v>67699.75</v>
      </c>
      <c r="BM284">
        <f t="shared" si="213"/>
        <v>68913.083333333343</v>
      </c>
      <c r="BN284">
        <f t="shared" si="214"/>
        <v>68726.416666666657</v>
      </c>
      <c r="BO284">
        <f t="shared" si="215"/>
        <v>70499.75</v>
      </c>
      <c r="BP284">
        <f t="shared" si="216"/>
        <v>67139.75</v>
      </c>
      <c r="BQ284" s="7">
        <f>BG284</f>
        <v>69379.75</v>
      </c>
      <c r="BS284" s="30">
        <f t="shared" si="182"/>
        <v>69620</v>
      </c>
      <c r="BT284" s="4">
        <f t="shared" si="183"/>
        <v>69379.75</v>
      </c>
      <c r="BU284" s="37">
        <f t="shared" si="184"/>
        <v>240.25</v>
      </c>
      <c r="BV284">
        <f t="shared" si="185"/>
        <v>240.25</v>
      </c>
      <c r="BW284" s="35">
        <f t="shared" si="186"/>
        <v>3.450876185004309E-3</v>
      </c>
    </row>
    <row r="285" spans="1:75">
      <c r="A285" s="1" t="s">
        <v>286</v>
      </c>
      <c r="B285" s="1">
        <v>70360</v>
      </c>
      <c r="Q285">
        <v>282</v>
      </c>
      <c r="R285" s="27" t="str">
        <f t="shared" si="177"/>
        <v>08/06/2024</v>
      </c>
      <c r="S285" s="27">
        <f t="shared" si="177"/>
        <v>70180</v>
      </c>
      <c r="T285" s="4" t="str">
        <f t="shared" si="178"/>
        <v>A5</v>
      </c>
      <c r="V285">
        <v>282</v>
      </c>
      <c r="W285" s="28" t="str">
        <f t="shared" si="176"/>
        <v>08/06/2024</v>
      </c>
      <c r="X285" s="28">
        <f t="shared" si="176"/>
        <v>70180</v>
      </c>
      <c r="Y285" s="28" t="str">
        <f t="shared" si="176"/>
        <v>A5</v>
      </c>
      <c r="Z285" s="5" t="str">
        <f t="shared" si="187"/>
        <v>A5</v>
      </c>
      <c r="AA285" s="5" t="str">
        <f t="shared" si="188"/>
        <v>A5</v>
      </c>
      <c r="AG285" s="29" t="str">
        <f t="shared" si="179"/>
        <v>08/06/2024</v>
      </c>
      <c r="AH285" s="30">
        <f t="shared" si="179"/>
        <v>70180</v>
      </c>
      <c r="AI285" s="4" t="str">
        <f t="shared" si="180"/>
        <v>A5</v>
      </c>
      <c r="AJ285" s="5" t="str">
        <f t="shared" si="189"/>
        <v>A5</v>
      </c>
      <c r="AK285">
        <f t="shared" si="190"/>
        <v>67829.5</v>
      </c>
      <c r="AL285" t="str">
        <f t="shared" si="191"/>
        <v>A5</v>
      </c>
      <c r="AM285">
        <f t="shared" si="192"/>
        <v>67829.5</v>
      </c>
      <c r="AN285" s="6">
        <f t="shared" si="193"/>
        <v>1040</v>
      </c>
      <c r="AO285">
        <f t="shared" si="194"/>
        <v>70140</v>
      </c>
      <c r="AP285">
        <f t="shared" si="217"/>
        <v>69100</v>
      </c>
      <c r="AQ285" s="33">
        <f t="shared" si="195"/>
        <v>70660</v>
      </c>
      <c r="AR285" s="33">
        <f t="shared" si="196"/>
        <v>68580</v>
      </c>
      <c r="AS285">
        <f t="shared" si="197"/>
        <v>69880</v>
      </c>
      <c r="AT285" s="5">
        <f t="shared" si="198"/>
        <v>69360</v>
      </c>
      <c r="AU285" s="5">
        <f t="shared" si="199"/>
        <v>71700</v>
      </c>
      <c r="AV285" s="5">
        <f t="shared" si="200"/>
        <v>67540</v>
      </c>
      <c r="AW285" s="5">
        <f t="shared" si="201"/>
        <v>69793.333333333328</v>
      </c>
      <c r="AX285" s="5">
        <f t="shared" si="202"/>
        <v>69446.666666666672</v>
      </c>
      <c r="AY285" s="5">
        <f t="shared" si="203"/>
        <v>72740</v>
      </c>
      <c r="AZ285" s="5">
        <f t="shared" si="204"/>
        <v>66500</v>
      </c>
      <c r="BB285" s="32" t="str">
        <f t="shared" si="181"/>
        <v>08/06/2024</v>
      </c>
      <c r="BC285" s="33">
        <f t="shared" si="181"/>
        <v>70180</v>
      </c>
      <c r="BD285" s="4" t="str">
        <f t="shared" si="181"/>
        <v>A5</v>
      </c>
      <c r="BE285">
        <f t="shared" si="205"/>
        <v>68984.75</v>
      </c>
      <c r="BF285">
        <f t="shared" si="206"/>
        <v>68464.75</v>
      </c>
      <c r="BG285">
        <f t="shared" si="207"/>
        <v>69244.75</v>
      </c>
      <c r="BH285">
        <f t="shared" si="208"/>
        <v>68204.75</v>
      </c>
      <c r="BI285">
        <f t="shared" si="209"/>
        <v>68854.75</v>
      </c>
      <c r="BJ285">
        <f t="shared" si="210"/>
        <v>68594.75</v>
      </c>
      <c r="BK285">
        <f t="shared" si="211"/>
        <v>69764.75</v>
      </c>
      <c r="BL285">
        <f t="shared" si="212"/>
        <v>67684.75</v>
      </c>
      <c r="BM285">
        <f t="shared" si="213"/>
        <v>68811.416666666657</v>
      </c>
      <c r="BN285">
        <f t="shared" si="214"/>
        <v>68638.083333333343</v>
      </c>
      <c r="BO285" s="38">
        <f t="shared" si="215"/>
        <v>70284.75</v>
      </c>
      <c r="BP285">
        <f t="shared" si="216"/>
        <v>67164.75</v>
      </c>
      <c r="BQ285" s="7">
        <f>BO285</f>
        <v>70284.75</v>
      </c>
      <c r="BS285" s="30">
        <f t="shared" si="182"/>
        <v>70180</v>
      </c>
      <c r="BT285" s="4">
        <f t="shared" si="183"/>
        <v>70284.75</v>
      </c>
      <c r="BU285" s="37">
        <f t="shared" si="184"/>
        <v>-104.75</v>
      </c>
      <c r="BV285">
        <f t="shared" si="185"/>
        <v>104.75</v>
      </c>
      <c r="BW285" s="35">
        <f t="shared" si="186"/>
        <v>1.4925904816186948E-3</v>
      </c>
    </row>
    <row r="286" spans="1:75">
      <c r="A286" s="1" t="s">
        <v>287</v>
      </c>
      <c r="B286" s="1">
        <v>71210</v>
      </c>
      <c r="Q286">
        <v>283</v>
      </c>
      <c r="R286" s="27" t="str">
        <f t="shared" si="177"/>
        <v>09/06/2024</v>
      </c>
      <c r="S286" s="27">
        <f t="shared" si="177"/>
        <v>70350</v>
      </c>
      <c r="T286" s="4" t="str">
        <f t="shared" si="178"/>
        <v>A5</v>
      </c>
      <c r="V286">
        <v>283</v>
      </c>
      <c r="W286" s="28" t="str">
        <f t="shared" si="176"/>
        <v>09/06/2024</v>
      </c>
      <c r="X286" s="28">
        <f t="shared" si="176"/>
        <v>70350</v>
      </c>
      <c r="Y286" s="28" t="str">
        <f t="shared" si="176"/>
        <v>A5</v>
      </c>
      <c r="Z286" s="5" t="str">
        <f t="shared" si="187"/>
        <v>A5</v>
      </c>
      <c r="AA286" s="5" t="str">
        <f t="shared" si="188"/>
        <v>A5</v>
      </c>
      <c r="AG286" s="29" t="str">
        <f t="shared" si="179"/>
        <v>09/06/2024</v>
      </c>
      <c r="AH286" s="30">
        <f t="shared" si="179"/>
        <v>70350</v>
      </c>
      <c r="AI286" s="4" t="str">
        <f t="shared" si="180"/>
        <v>A5</v>
      </c>
      <c r="AJ286" s="5" t="str">
        <f t="shared" si="189"/>
        <v>A5</v>
      </c>
      <c r="AK286">
        <f t="shared" si="190"/>
        <v>67829.5</v>
      </c>
      <c r="AL286" t="str">
        <f t="shared" si="191"/>
        <v>A5</v>
      </c>
      <c r="AM286">
        <f t="shared" si="192"/>
        <v>67829.5</v>
      </c>
      <c r="AN286" s="6">
        <f t="shared" si="193"/>
        <v>370</v>
      </c>
      <c r="AO286">
        <f t="shared" si="194"/>
        <v>70365</v>
      </c>
      <c r="AP286">
        <f t="shared" si="217"/>
        <v>69995</v>
      </c>
      <c r="AQ286" s="33">
        <f t="shared" si="195"/>
        <v>70550</v>
      </c>
      <c r="AR286" s="33">
        <f t="shared" si="196"/>
        <v>69810</v>
      </c>
      <c r="AS286">
        <f t="shared" si="197"/>
        <v>70272.5</v>
      </c>
      <c r="AT286" s="5">
        <f t="shared" si="198"/>
        <v>70087.5</v>
      </c>
      <c r="AU286" s="5">
        <f t="shared" si="199"/>
        <v>70920</v>
      </c>
      <c r="AV286" s="5">
        <f t="shared" si="200"/>
        <v>69440</v>
      </c>
      <c r="AW286" s="5">
        <f t="shared" si="201"/>
        <v>70241.666666666672</v>
      </c>
      <c r="AX286" s="5">
        <f t="shared" si="202"/>
        <v>70118.333333333328</v>
      </c>
      <c r="AY286" s="5">
        <f t="shared" si="203"/>
        <v>71290</v>
      </c>
      <c r="AZ286" s="5">
        <f t="shared" si="204"/>
        <v>69070</v>
      </c>
      <c r="BB286" s="32" t="str">
        <f t="shared" si="181"/>
        <v>09/06/2024</v>
      </c>
      <c r="BC286" s="33">
        <f t="shared" si="181"/>
        <v>70350</v>
      </c>
      <c r="BD286" s="4" t="str">
        <f t="shared" si="181"/>
        <v>A5</v>
      </c>
      <c r="BE286">
        <f t="shared" si="205"/>
        <v>69097.25</v>
      </c>
      <c r="BF286">
        <f t="shared" si="206"/>
        <v>68912.25</v>
      </c>
      <c r="BG286">
        <f t="shared" si="207"/>
        <v>69189.75</v>
      </c>
      <c r="BH286">
        <f t="shared" si="208"/>
        <v>68819.75</v>
      </c>
      <c r="BI286">
        <f t="shared" si="209"/>
        <v>69051</v>
      </c>
      <c r="BJ286">
        <f t="shared" si="210"/>
        <v>68958.5</v>
      </c>
      <c r="BK286">
        <f t="shared" si="211"/>
        <v>69374.75</v>
      </c>
      <c r="BL286">
        <f t="shared" si="212"/>
        <v>68634.75</v>
      </c>
      <c r="BM286">
        <f t="shared" si="213"/>
        <v>69035.583333333343</v>
      </c>
      <c r="BN286">
        <f t="shared" si="214"/>
        <v>68973.916666666657</v>
      </c>
      <c r="BO286" s="38">
        <f t="shared" si="215"/>
        <v>69559.75</v>
      </c>
      <c r="BP286">
        <f t="shared" si="216"/>
        <v>68449.75</v>
      </c>
      <c r="BQ286" s="7">
        <f t="shared" ref="BQ286:BQ288" si="219">BO286</f>
        <v>69559.75</v>
      </c>
      <c r="BS286" s="30">
        <f t="shared" si="182"/>
        <v>70350</v>
      </c>
      <c r="BT286" s="4">
        <f t="shared" si="183"/>
        <v>69559.75</v>
      </c>
      <c r="BU286" s="37">
        <f t="shared" si="184"/>
        <v>790.25</v>
      </c>
      <c r="BV286">
        <f t="shared" si="185"/>
        <v>790.25</v>
      </c>
      <c r="BW286" s="35">
        <f t="shared" si="186"/>
        <v>1.1233120113717129E-2</v>
      </c>
    </row>
    <row r="287" spans="1:75">
      <c r="A287" s="1" t="s">
        <v>288</v>
      </c>
      <c r="B287" s="1">
        <v>70310</v>
      </c>
      <c r="Q287">
        <v>284</v>
      </c>
      <c r="R287" s="27" t="str">
        <f t="shared" si="177"/>
        <v>10/06/2024</v>
      </c>
      <c r="S287" s="27">
        <f t="shared" si="177"/>
        <v>70360</v>
      </c>
      <c r="T287" s="4" t="str">
        <f t="shared" si="178"/>
        <v>A5</v>
      </c>
      <c r="V287">
        <v>284</v>
      </c>
      <c r="W287" s="28" t="str">
        <f t="shared" si="176"/>
        <v>10/06/2024</v>
      </c>
      <c r="X287" s="28">
        <f t="shared" si="176"/>
        <v>70360</v>
      </c>
      <c r="Y287" s="28" t="str">
        <f t="shared" si="176"/>
        <v>A5</v>
      </c>
      <c r="Z287" s="5" t="str">
        <f t="shared" si="187"/>
        <v>A5</v>
      </c>
      <c r="AA287" s="5" t="str">
        <f t="shared" si="188"/>
        <v>A5</v>
      </c>
      <c r="AG287" s="29" t="str">
        <f t="shared" si="179"/>
        <v>10/06/2024</v>
      </c>
      <c r="AH287" s="30">
        <f t="shared" si="179"/>
        <v>70360</v>
      </c>
      <c r="AI287" s="4" t="str">
        <f t="shared" si="180"/>
        <v>A5</v>
      </c>
      <c r="AJ287" s="5" t="str">
        <f t="shared" si="189"/>
        <v>A5</v>
      </c>
      <c r="AK287">
        <f t="shared" si="190"/>
        <v>67829.5</v>
      </c>
      <c r="AL287" t="str">
        <f t="shared" si="191"/>
        <v>A5</v>
      </c>
      <c r="AM287">
        <f t="shared" si="192"/>
        <v>67829.5</v>
      </c>
      <c r="AN287" s="6">
        <f t="shared" si="193"/>
        <v>390</v>
      </c>
      <c r="AO287">
        <f t="shared" si="194"/>
        <v>70545</v>
      </c>
      <c r="AP287">
        <f t="shared" si="217"/>
        <v>70155</v>
      </c>
      <c r="AQ287" s="33">
        <f t="shared" si="195"/>
        <v>70740</v>
      </c>
      <c r="AR287" s="33">
        <f t="shared" si="196"/>
        <v>69960</v>
      </c>
      <c r="AS287">
        <f t="shared" si="197"/>
        <v>70447.5</v>
      </c>
      <c r="AT287" s="5">
        <f t="shared" si="198"/>
        <v>70252.5</v>
      </c>
      <c r="AU287" s="5">
        <f t="shared" si="199"/>
        <v>71130</v>
      </c>
      <c r="AV287" s="5">
        <f t="shared" si="200"/>
        <v>69570</v>
      </c>
      <c r="AW287" s="5">
        <f t="shared" si="201"/>
        <v>70415</v>
      </c>
      <c r="AX287" s="5">
        <f t="shared" si="202"/>
        <v>70285</v>
      </c>
      <c r="AY287" s="5">
        <f t="shared" si="203"/>
        <v>71520</v>
      </c>
      <c r="AZ287" s="5">
        <f t="shared" si="204"/>
        <v>69180</v>
      </c>
      <c r="BB287" s="32" t="str">
        <f t="shared" si="181"/>
        <v>10/06/2024</v>
      </c>
      <c r="BC287" s="33">
        <f t="shared" si="181"/>
        <v>70360</v>
      </c>
      <c r="BD287" s="4" t="str">
        <f t="shared" si="181"/>
        <v>A5</v>
      </c>
      <c r="BE287">
        <f t="shared" si="205"/>
        <v>69187.25</v>
      </c>
      <c r="BF287">
        <f t="shared" si="206"/>
        <v>68992.25</v>
      </c>
      <c r="BG287">
        <f t="shared" si="207"/>
        <v>69284.75</v>
      </c>
      <c r="BH287">
        <f t="shared" si="208"/>
        <v>68894.75</v>
      </c>
      <c r="BI287">
        <f t="shared" si="209"/>
        <v>69138.5</v>
      </c>
      <c r="BJ287">
        <f t="shared" si="210"/>
        <v>69041</v>
      </c>
      <c r="BK287">
        <f t="shared" si="211"/>
        <v>69479.75</v>
      </c>
      <c r="BL287">
        <f t="shared" si="212"/>
        <v>68699.75</v>
      </c>
      <c r="BM287">
        <f t="shared" si="213"/>
        <v>69122.25</v>
      </c>
      <c r="BN287">
        <f t="shared" si="214"/>
        <v>69057.25</v>
      </c>
      <c r="BO287" s="38">
        <f t="shared" si="215"/>
        <v>69674.75</v>
      </c>
      <c r="BP287">
        <f t="shared" si="216"/>
        <v>68504.75</v>
      </c>
      <c r="BQ287" s="7">
        <f t="shared" si="219"/>
        <v>69674.75</v>
      </c>
      <c r="BS287" s="30">
        <f t="shared" si="182"/>
        <v>70360</v>
      </c>
      <c r="BT287" s="4">
        <f t="shared" si="183"/>
        <v>69674.75</v>
      </c>
      <c r="BU287" s="37">
        <f t="shared" si="184"/>
        <v>685.25</v>
      </c>
      <c r="BV287">
        <f t="shared" si="185"/>
        <v>685.25</v>
      </c>
      <c r="BW287" s="35">
        <f t="shared" si="186"/>
        <v>9.73919840818647E-3</v>
      </c>
    </row>
    <row r="288" spans="1:75">
      <c r="A288" s="1" t="s">
        <v>289</v>
      </c>
      <c r="B288" s="1">
        <v>70830</v>
      </c>
      <c r="Q288">
        <v>285</v>
      </c>
      <c r="R288" s="27" t="str">
        <f t="shared" si="177"/>
        <v>11/06/2024</v>
      </c>
      <c r="S288" s="27">
        <f t="shared" si="177"/>
        <v>71210</v>
      </c>
      <c r="T288" s="4" t="str">
        <f t="shared" si="178"/>
        <v>A6</v>
      </c>
      <c r="V288">
        <v>285</v>
      </c>
      <c r="W288" s="28" t="str">
        <f t="shared" si="176"/>
        <v>11/06/2024</v>
      </c>
      <c r="X288" s="28">
        <f t="shared" si="176"/>
        <v>71210</v>
      </c>
      <c r="Y288" s="28" t="str">
        <f t="shared" si="176"/>
        <v>A6</v>
      </c>
      <c r="Z288" s="5" t="str">
        <f t="shared" si="187"/>
        <v>A5</v>
      </c>
      <c r="AA288" s="5" t="str">
        <f t="shared" si="188"/>
        <v>A5</v>
      </c>
      <c r="AG288" s="29" t="str">
        <f t="shared" si="179"/>
        <v>11/06/2024</v>
      </c>
      <c r="AH288" s="30">
        <f t="shared" si="179"/>
        <v>71210</v>
      </c>
      <c r="AI288" s="4" t="str">
        <f t="shared" si="180"/>
        <v>A6</v>
      </c>
      <c r="AJ288" s="5" t="str">
        <f t="shared" si="189"/>
        <v>A5</v>
      </c>
      <c r="AK288">
        <f t="shared" si="190"/>
        <v>67829.5</v>
      </c>
      <c r="AL288" t="str">
        <f t="shared" si="191"/>
        <v>A5</v>
      </c>
      <c r="AM288">
        <f t="shared" si="192"/>
        <v>67829.5</v>
      </c>
      <c r="AN288" s="6">
        <f t="shared" si="193"/>
        <v>160</v>
      </c>
      <c r="AO288">
        <f t="shared" si="194"/>
        <v>70440</v>
      </c>
      <c r="AP288">
        <f t="shared" si="217"/>
        <v>70280</v>
      </c>
      <c r="AQ288" s="33">
        <f t="shared" si="195"/>
        <v>70520</v>
      </c>
      <c r="AR288" s="33">
        <f t="shared" si="196"/>
        <v>70200</v>
      </c>
      <c r="AS288">
        <f t="shared" si="197"/>
        <v>70400</v>
      </c>
      <c r="AT288" s="5">
        <f t="shared" si="198"/>
        <v>70320</v>
      </c>
      <c r="AU288" s="5">
        <f t="shared" si="199"/>
        <v>70680</v>
      </c>
      <c r="AV288" s="5">
        <f t="shared" si="200"/>
        <v>70040</v>
      </c>
      <c r="AW288" s="5">
        <f t="shared" si="201"/>
        <v>70386.666666666672</v>
      </c>
      <c r="AX288" s="5">
        <f t="shared" si="202"/>
        <v>70333.333333333328</v>
      </c>
      <c r="AY288" s="5">
        <f t="shared" si="203"/>
        <v>70840</v>
      </c>
      <c r="AZ288" s="5">
        <f t="shared" si="204"/>
        <v>69880</v>
      </c>
      <c r="BB288" s="32" t="str">
        <f t="shared" si="181"/>
        <v>11/06/2024</v>
      </c>
      <c r="BC288" s="33">
        <f t="shared" si="181"/>
        <v>71210</v>
      </c>
      <c r="BD288" s="4" t="str">
        <f t="shared" si="181"/>
        <v>A6</v>
      </c>
      <c r="BE288">
        <f t="shared" si="205"/>
        <v>69134.75</v>
      </c>
      <c r="BF288">
        <f t="shared" si="206"/>
        <v>69054.75</v>
      </c>
      <c r="BG288">
        <f t="shared" si="207"/>
        <v>69174.75</v>
      </c>
      <c r="BH288">
        <f t="shared" si="208"/>
        <v>69014.75</v>
      </c>
      <c r="BI288">
        <f t="shared" si="209"/>
        <v>69114.75</v>
      </c>
      <c r="BJ288">
        <f t="shared" si="210"/>
        <v>69074.75</v>
      </c>
      <c r="BK288">
        <f t="shared" si="211"/>
        <v>69254.75</v>
      </c>
      <c r="BL288">
        <f t="shared" si="212"/>
        <v>68934.75</v>
      </c>
      <c r="BM288">
        <f t="shared" si="213"/>
        <v>69108.083333333343</v>
      </c>
      <c r="BN288">
        <f t="shared" si="214"/>
        <v>69081.416666666657</v>
      </c>
      <c r="BO288" s="38">
        <f t="shared" si="215"/>
        <v>69334.75</v>
      </c>
      <c r="BP288">
        <f t="shared" si="216"/>
        <v>68854.75</v>
      </c>
      <c r="BQ288" s="7">
        <f t="shared" si="219"/>
        <v>69334.75</v>
      </c>
      <c r="BS288" s="30">
        <f t="shared" si="182"/>
        <v>71210</v>
      </c>
      <c r="BT288" s="4">
        <f t="shared" si="183"/>
        <v>69334.75</v>
      </c>
      <c r="BU288" s="37">
        <f t="shared" si="184"/>
        <v>1875.25</v>
      </c>
      <c r="BV288">
        <f t="shared" si="185"/>
        <v>1875.25</v>
      </c>
      <c r="BW288" s="35">
        <f t="shared" si="186"/>
        <v>2.6334082291812947E-2</v>
      </c>
    </row>
    <row r="289" spans="1:75">
      <c r="A289" s="1" t="s">
        <v>290</v>
      </c>
      <c r="B289" s="1">
        <v>70790</v>
      </c>
      <c r="Q289">
        <v>286</v>
      </c>
      <c r="R289" s="27" t="str">
        <f t="shared" si="177"/>
        <v>12/06/2024</v>
      </c>
      <c r="S289" s="27">
        <f t="shared" si="177"/>
        <v>70310</v>
      </c>
      <c r="T289" s="4" t="str">
        <f t="shared" si="178"/>
        <v>A5</v>
      </c>
      <c r="V289">
        <v>286</v>
      </c>
      <c r="W289" s="28" t="str">
        <f t="shared" si="176"/>
        <v>12/06/2024</v>
      </c>
      <c r="X289" s="28">
        <f t="shared" si="176"/>
        <v>70310</v>
      </c>
      <c r="Y289" s="28" t="str">
        <f t="shared" si="176"/>
        <v>A5</v>
      </c>
      <c r="Z289" s="5" t="str">
        <f t="shared" si="187"/>
        <v>A5</v>
      </c>
      <c r="AA289" s="5" t="str">
        <f t="shared" si="188"/>
        <v>A6</v>
      </c>
      <c r="AG289" s="29" t="str">
        <f t="shared" si="179"/>
        <v>12/06/2024</v>
      </c>
      <c r="AH289" s="30">
        <f t="shared" si="179"/>
        <v>70310</v>
      </c>
      <c r="AI289" s="4" t="str">
        <f t="shared" si="180"/>
        <v>A5</v>
      </c>
      <c r="AJ289" s="5" t="str">
        <f t="shared" si="189"/>
        <v>A5</v>
      </c>
      <c r="AK289">
        <f t="shared" si="190"/>
        <v>67829.5</v>
      </c>
      <c r="AL289" t="str">
        <f t="shared" si="191"/>
        <v>A6</v>
      </c>
      <c r="AM289">
        <f t="shared" si="192"/>
        <v>73860.5</v>
      </c>
      <c r="AN289" s="6">
        <f t="shared" si="193"/>
        <v>840</v>
      </c>
      <c r="AO289">
        <f t="shared" si="194"/>
        <v>71630</v>
      </c>
      <c r="AP289">
        <f t="shared" si="217"/>
        <v>70790</v>
      </c>
      <c r="AQ289" s="33">
        <f t="shared" si="195"/>
        <v>72050</v>
      </c>
      <c r="AR289" s="33">
        <f t="shared" si="196"/>
        <v>70370</v>
      </c>
      <c r="AS289">
        <f t="shared" si="197"/>
        <v>71420</v>
      </c>
      <c r="AT289" s="5">
        <f t="shared" si="198"/>
        <v>71000</v>
      </c>
      <c r="AU289" s="5">
        <f t="shared" si="199"/>
        <v>72890</v>
      </c>
      <c r="AV289" s="5">
        <f t="shared" si="200"/>
        <v>69530</v>
      </c>
      <c r="AW289" s="5">
        <f t="shared" si="201"/>
        <v>71350</v>
      </c>
      <c r="AX289" s="5">
        <f t="shared" si="202"/>
        <v>71070</v>
      </c>
      <c r="AY289" s="5">
        <f t="shared" si="203"/>
        <v>73730</v>
      </c>
      <c r="AZ289" s="5">
        <f t="shared" si="204"/>
        <v>68690</v>
      </c>
      <c r="BB289" s="32" t="str">
        <f t="shared" si="181"/>
        <v>12/06/2024</v>
      </c>
      <c r="BC289" s="33">
        <f t="shared" si="181"/>
        <v>70310</v>
      </c>
      <c r="BD289" s="4" t="str">
        <f t="shared" si="181"/>
        <v>A5</v>
      </c>
      <c r="BE289">
        <f t="shared" si="205"/>
        <v>72745.25</v>
      </c>
      <c r="BF289">
        <f t="shared" si="206"/>
        <v>72325.25</v>
      </c>
      <c r="BG289">
        <f t="shared" si="207"/>
        <v>72955.25</v>
      </c>
      <c r="BH289">
        <f t="shared" si="208"/>
        <v>72115.25</v>
      </c>
      <c r="BI289">
        <f t="shared" si="209"/>
        <v>72640.25</v>
      </c>
      <c r="BJ289">
        <f t="shared" si="210"/>
        <v>72430.25</v>
      </c>
      <c r="BK289">
        <f t="shared" si="211"/>
        <v>73375.25</v>
      </c>
      <c r="BL289">
        <f t="shared" si="212"/>
        <v>71695.25</v>
      </c>
      <c r="BM289">
        <f t="shared" si="213"/>
        <v>72605.25</v>
      </c>
      <c r="BN289">
        <f t="shared" si="214"/>
        <v>72465.25</v>
      </c>
      <c r="BO289">
        <f t="shared" si="215"/>
        <v>73795.25</v>
      </c>
      <c r="BP289" s="38">
        <f t="shared" si="216"/>
        <v>71275.25</v>
      </c>
      <c r="BQ289" s="7">
        <f>BP289</f>
        <v>71275.25</v>
      </c>
      <c r="BS289" s="30">
        <f t="shared" si="182"/>
        <v>70310</v>
      </c>
      <c r="BT289" s="4">
        <f t="shared" si="183"/>
        <v>71275.25</v>
      </c>
      <c r="BU289" s="37">
        <f t="shared" si="184"/>
        <v>-965.25</v>
      </c>
      <c r="BV289">
        <f t="shared" si="185"/>
        <v>965.25</v>
      </c>
      <c r="BW289" s="35">
        <f t="shared" si="186"/>
        <v>1.3728488124022187E-2</v>
      </c>
    </row>
    <row r="290" spans="1:75">
      <c r="A290" s="1" t="s">
        <v>291</v>
      </c>
      <c r="B290" s="1">
        <v>72650</v>
      </c>
      <c r="Q290">
        <v>287</v>
      </c>
      <c r="R290" s="27" t="str">
        <f t="shared" si="177"/>
        <v>13/06/2024</v>
      </c>
      <c r="S290" s="27">
        <f t="shared" si="177"/>
        <v>70830</v>
      </c>
      <c r="T290" s="4" t="str">
        <f t="shared" si="178"/>
        <v>A5</v>
      </c>
      <c r="V290">
        <v>287</v>
      </c>
      <c r="W290" s="28" t="str">
        <f t="shared" si="176"/>
        <v>13/06/2024</v>
      </c>
      <c r="X290" s="28">
        <f t="shared" si="176"/>
        <v>70830</v>
      </c>
      <c r="Y290" s="28" t="str">
        <f t="shared" si="176"/>
        <v>A5</v>
      </c>
      <c r="Z290" s="5" t="str">
        <f t="shared" si="187"/>
        <v>A6</v>
      </c>
      <c r="AA290" s="5" t="str">
        <f t="shared" si="188"/>
        <v>A5</v>
      </c>
      <c r="AG290" s="29" t="str">
        <f t="shared" si="179"/>
        <v>13/06/2024</v>
      </c>
      <c r="AH290" s="30">
        <f t="shared" si="179"/>
        <v>70830</v>
      </c>
      <c r="AI290" s="4" t="str">
        <f t="shared" si="180"/>
        <v>A5</v>
      </c>
      <c r="AJ290" s="5" t="str">
        <f t="shared" si="189"/>
        <v>A6</v>
      </c>
      <c r="AK290">
        <f t="shared" si="190"/>
        <v>73860.5</v>
      </c>
      <c r="AL290" t="str">
        <f t="shared" si="191"/>
        <v>A5</v>
      </c>
      <c r="AM290">
        <f t="shared" si="192"/>
        <v>67829.5</v>
      </c>
      <c r="AN290" s="6">
        <f t="shared" si="193"/>
        <v>50</v>
      </c>
      <c r="AO290">
        <f t="shared" si="194"/>
        <v>70335</v>
      </c>
      <c r="AP290">
        <f t="shared" si="217"/>
        <v>70285</v>
      </c>
      <c r="AQ290" s="33">
        <f t="shared" si="195"/>
        <v>70360</v>
      </c>
      <c r="AR290" s="33">
        <f t="shared" si="196"/>
        <v>70260</v>
      </c>
      <c r="AS290">
        <f t="shared" si="197"/>
        <v>70322.5</v>
      </c>
      <c r="AT290" s="5">
        <f t="shared" si="198"/>
        <v>70297.5</v>
      </c>
      <c r="AU290" s="5">
        <f t="shared" si="199"/>
        <v>70410</v>
      </c>
      <c r="AV290" s="5">
        <f t="shared" si="200"/>
        <v>70210</v>
      </c>
      <c r="AW290" s="5">
        <f t="shared" si="201"/>
        <v>70318.333333333328</v>
      </c>
      <c r="AX290" s="5">
        <f t="shared" si="202"/>
        <v>70301.666666666672</v>
      </c>
      <c r="AY290" s="5">
        <f t="shared" si="203"/>
        <v>70460</v>
      </c>
      <c r="AZ290" s="5">
        <f t="shared" si="204"/>
        <v>70160</v>
      </c>
      <c r="BB290" s="32" t="str">
        <f t="shared" si="181"/>
        <v>13/06/2024</v>
      </c>
      <c r="BC290" s="33">
        <f t="shared" si="181"/>
        <v>70830</v>
      </c>
      <c r="BD290" s="4" t="str">
        <f t="shared" si="181"/>
        <v>A5</v>
      </c>
      <c r="BE290">
        <f t="shared" si="205"/>
        <v>69082.25</v>
      </c>
      <c r="BF290">
        <f t="shared" si="206"/>
        <v>69057.25</v>
      </c>
      <c r="BG290">
        <f t="shared" si="207"/>
        <v>69094.75</v>
      </c>
      <c r="BH290">
        <f t="shared" si="208"/>
        <v>69044.75</v>
      </c>
      <c r="BI290">
        <f t="shared" si="209"/>
        <v>69076</v>
      </c>
      <c r="BJ290">
        <f t="shared" si="210"/>
        <v>69063.5</v>
      </c>
      <c r="BK290">
        <f t="shared" si="211"/>
        <v>69119.75</v>
      </c>
      <c r="BL290">
        <f t="shared" si="212"/>
        <v>69019.75</v>
      </c>
      <c r="BM290">
        <f t="shared" si="213"/>
        <v>69073.916666666657</v>
      </c>
      <c r="BN290">
        <f t="shared" si="214"/>
        <v>69065.583333333343</v>
      </c>
      <c r="BO290" s="38">
        <f t="shared" si="215"/>
        <v>69144.75</v>
      </c>
      <c r="BP290">
        <f t="shared" si="216"/>
        <v>68994.75</v>
      </c>
      <c r="BQ290" s="7">
        <f>BO290</f>
        <v>69144.75</v>
      </c>
      <c r="BS290" s="30">
        <f t="shared" si="182"/>
        <v>70830</v>
      </c>
      <c r="BT290" s="4">
        <f t="shared" si="183"/>
        <v>69144.75</v>
      </c>
      <c r="BU290" s="37">
        <f t="shared" si="184"/>
        <v>1685.25</v>
      </c>
      <c r="BV290">
        <f t="shared" si="185"/>
        <v>1685.25</v>
      </c>
      <c r="BW290" s="35">
        <f t="shared" si="186"/>
        <v>2.3792884371029225E-2</v>
      </c>
    </row>
    <row r="291" spans="1:75">
      <c r="A291" s="1" t="s">
        <v>292</v>
      </c>
      <c r="B291" s="1">
        <v>73580</v>
      </c>
      <c r="Q291">
        <v>288</v>
      </c>
      <c r="R291" s="27" t="str">
        <f t="shared" si="177"/>
        <v>14/06/2024</v>
      </c>
      <c r="S291" s="27">
        <f t="shared" si="177"/>
        <v>70790</v>
      </c>
      <c r="T291" s="4" t="str">
        <f t="shared" si="178"/>
        <v>A5</v>
      </c>
      <c r="V291">
        <v>288</v>
      </c>
      <c r="W291" s="28" t="str">
        <f t="shared" si="176"/>
        <v>14/06/2024</v>
      </c>
      <c r="X291" s="28">
        <f t="shared" si="176"/>
        <v>70790</v>
      </c>
      <c r="Y291" s="28" t="str">
        <f t="shared" si="176"/>
        <v>A5</v>
      </c>
      <c r="Z291" s="5" t="str">
        <f t="shared" si="187"/>
        <v>A5</v>
      </c>
      <c r="AA291" s="5" t="str">
        <f t="shared" si="188"/>
        <v>A5</v>
      </c>
      <c r="AG291" s="29" t="str">
        <f t="shared" si="179"/>
        <v>14/06/2024</v>
      </c>
      <c r="AH291" s="30">
        <f t="shared" si="179"/>
        <v>70790</v>
      </c>
      <c r="AI291" s="4" t="str">
        <f t="shared" si="180"/>
        <v>A5</v>
      </c>
      <c r="AJ291" s="5" t="str">
        <f t="shared" si="189"/>
        <v>A5</v>
      </c>
      <c r="AK291">
        <f t="shared" si="190"/>
        <v>67829.5</v>
      </c>
      <c r="AL291" t="str">
        <f t="shared" si="191"/>
        <v>A5</v>
      </c>
      <c r="AM291">
        <f t="shared" si="192"/>
        <v>67829.5</v>
      </c>
      <c r="AN291" s="6">
        <f t="shared" si="193"/>
        <v>380</v>
      </c>
      <c r="AO291">
        <f t="shared" si="194"/>
        <v>71020</v>
      </c>
      <c r="AP291">
        <f t="shared" si="217"/>
        <v>70640</v>
      </c>
      <c r="AQ291" s="33">
        <f t="shared" si="195"/>
        <v>71210</v>
      </c>
      <c r="AR291" s="33">
        <f t="shared" si="196"/>
        <v>70450</v>
      </c>
      <c r="AS291">
        <f t="shared" si="197"/>
        <v>70925</v>
      </c>
      <c r="AT291" s="5">
        <f t="shared" si="198"/>
        <v>70735</v>
      </c>
      <c r="AU291" s="5">
        <f t="shared" si="199"/>
        <v>71590</v>
      </c>
      <c r="AV291" s="5">
        <f t="shared" si="200"/>
        <v>70070</v>
      </c>
      <c r="AW291" s="5">
        <f t="shared" si="201"/>
        <v>70893.333333333328</v>
      </c>
      <c r="AX291" s="5">
        <f t="shared" si="202"/>
        <v>70766.666666666672</v>
      </c>
      <c r="AY291" s="5">
        <f t="shared" si="203"/>
        <v>71970</v>
      </c>
      <c r="AZ291" s="5">
        <f t="shared" si="204"/>
        <v>69690</v>
      </c>
      <c r="BB291" s="32" t="str">
        <f t="shared" si="181"/>
        <v>14/06/2024</v>
      </c>
      <c r="BC291" s="33">
        <f t="shared" si="181"/>
        <v>70790</v>
      </c>
      <c r="BD291" s="4" t="str">
        <f t="shared" si="181"/>
        <v>A5</v>
      </c>
      <c r="BE291">
        <f t="shared" si="205"/>
        <v>69424.75</v>
      </c>
      <c r="BF291">
        <f t="shared" si="206"/>
        <v>69234.75</v>
      </c>
      <c r="BG291">
        <f t="shared" si="207"/>
        <v>69519.75</v>
      </c>
      <c r="BH291">
        <f t="shared" si="208"/>
        <v>69139.75</v>
      </c>
      <c r="BI291">
        <f t="shared" si="209"/>
        <v>69377.25</v>
      </c>
      <c r="BJ291">
        <f t="shared" si="210"/>
        <v>69282.25</v>
      </c>
      <c r="BK291">
        <f t="shared" si="211"/>
        <v>69709.75</v>
      </c>
      <c r="BL291">
        <f t="shared" si="212"/>
        <v>68949.75</v>
      </c>
      <c r="BM291">
        <f t="shared" si="213"/>
        <v>69361.416666666657</v>
      </c>
      <c r="BN291">
        <f t="shared" si="214"/>
        <v>69298.083333333343</v>
      </c>
      <c r="BO291" s="38">
        <f t="shared" si="215"/>
        <v>69899.75</v>
      </c>
      <c r="BP291">
        <f t="shared" si="216"/>
        <v>68759.75</v>
      </c>
      <c r="BQ291" s="7">
        <f>BO291</f>
        <v>69899.75</v>
      </c>
      <c r="BS291" s="30">
        <f t="shared" si="182"/>
        <v>70790</v>
      </c>
      <c r="BT291" s="4">
        <f t="shared" si="183"/>
        <v>69899.75</v>
      </c>
      <c r="BU291" s="37">
        <f t="shared" si="184"/>
        <v>890.25</v>
      </c>
      <c r="BV291">
        <f t="shared" si="185"/>
        <v>890.25</v>
      </c>
      <c r="BW291" s="35">
        <f t="shared" si="186"/>
        <v>1.257592880350332E-2</v>
      </c>
    </row>
    <row r="292" spans="1:75">
      <c r="A292" s="1" t="s">
        <v>293</v>
      </c>
      <c r="B292" s="1">
        <v>73070</v>
      </c>
      <c r="Q292">
        <v>289</v>
      </c>
      <c r="R292" s="27" t="str">
        <f t="shared" si="177"/>
        <v>15/06/2024</v>
      </c>
      <c r="S292" s="27">
        <f t="shared" si="177"/>
        <v>72650</v>
      </c>
      <c r="T292" s="4" t="str">
        <f t="shared" si="178"/>
        <v>A6</v>
      </c>
      <c r="V292">
        <v>289</v>
      </c>
      <c r="W292" s="28" t="str">
        <f t="shared" si="176"/>
        <v>15/06/2024</v>
      </c>
      <c r="X292" s="28">
        <f t="shared" si="176"/>
        <v>72650</v>
      </c>
      <c r="Y292" s="28" t="str">
        <f t="shared" si="176"/>
        <v>A6</v>
      </c>
      <c r="Z292" s="5" t="str">
        <f t="shared" si="187"/>
        <v>A5</v>
      </c>
      <c r="AA292" s="5" t="str">
        <f t="shared" si="188"/>
        <v>A5</v>
      </c>
      <c r="AG292" s="29" t="str">
        <f t="shared" si="179"/>
        <v>15/06/2024</v>
      </c>
      <c r="AH292" s="30">
        <f t="shared" si="179"/>
        <v>72650</v>
      </c>
      <c r="AI292" s="4" t="str">
        <f t="shared" si="180"/>
        <v>A6</v>
      </c>
      <c r="AJ292" s="5" t="str">
        <f t="shared" si="189"/>
        <v>A5</v>
      </c>
      <c r="AK292">
        <f t="shared" si="190"/>
        <v>67829.5</v>
      </c>
      <c r="AL292" t="str">
        <f t="shared" si="191"/>
        <v>A5</v>
      </c>
      <c r="AM292">
        <f t="shared" si="192"/>
        <v>67829.5</v>
      </c>
      <c r="AN292" s="6">
        <f t="shared" si="193"/>
        <v>480</v>
      </c>
      <c r="AO292">
        <f t="shared" si="194"/>
        <v>71030</v>
      </c>
      <c r="AP292">
        <f t="shared" si="217"/>
        <v>70550</v>
      </c>
      <c r="AQ292" s="33">
        <f t="shared" si="195"/>
        <v>71270</v>
      </c>
      <c r="AR292" s="33">
        <f t="shared" si="196"/>
        <v>70310</v>
      </c>
      <c r="AS292">
        <f t="shared" si="197"/>
        <v>70910</v>
      </c>
      <c r="AT292" s="5">
        <f t="shared" si="198"/>
        <v>70670</v>
      </c>
      <c r="AU292" s="5">
        <f t="shared" si="199"/>
        <v>71750</v>
      </c>
      <c r="AV292" s="5">
        <f t="shared" si="200"/>
        <v>69830</v>
      </c>
      <c r="AW292" s="5">
        <f t="shared" si="201"/>
        <v>70870</v>
      </c>
      <c r="AX292" s="5">
        <f t="shared" si="202"/>
        <v>70710</v>
      </c>
      <c r="AY292" s="5">
        <f t="shared" si="203"/>
        <v>72230</v>
      </c>
      <c r="AZ292" s="5">
        <f t="shared" si="204"/>
        <v>69350</v>
      </c>
      <c r="BB292" s="32" t="str">
        <f t="shared" si="181"/>
        <v>15/06/2024</v>
      </c>
      <c r="BC292" s="33">
        <f t="shared" si="181"/>
        <v>72650</v>
      </c>
      <c r="BD292" s="4" t="str">
        <f t="shared" si="181"/>
        <v>A6</v>
      </c>
      <c r="BE292">
        <f t="shared" si="205"/>
        <v>69429.75</v>
      </c>
      <c r="BF292">
        <f t="shared" si="206"/>
        <v>69189.75</v>
      </c>
      <c r="BG292">
        <f t="shared" si="207"/>
        <v>69549.75</v>
      </c>
      <c r="BH292">
        <f t="shared" si="208"/>
        <v>69069.75</v>
      </c>
      <c r="BI292">
        <f t="shared" si="209"/>
        <v>69369.75</v>
      </c>
      <c r="BJ292">
        <f t="shared" si="210"/>
        <v>69249.75</v>
      </c>
      <c r="BK292">
        <f t="shared" si="211"/>
        <v>69789.75</v>
      </c>
      <c r="BL292">
        <f t="shared" si="212"/>
        <v>68829.75</v>
      </c>
      <c r="BM292">
        <f t="shared" si="213"/>
        <v>69349.75</v>
      </c>
      <c r="BN292">
        <f t="shared" si="214"/>
        <v>69269.75</v>
      </c>
      <c r="BO292" s="38">
        <f t="shared" si="215"/>
        <v>70029.75</v>
      </c>
      <c r="BP292">
        <f t="shared" si="216"/>
        <v>68589.75</v>
      </c>
      <c r="BQ292" s="7">
        <f>BO292</f>
        <v>70029.75</v>
      </c>
      <c r="BS292" s="30">
        <f t="shared" si="182"/>
        <v>72650</v>
      </c>
      <c r="BT292" s="4">
        <f t="shared" si="183"/>
        <v>70029.75</v>
      </c>
      <c r="BU292" s="37">
        <f t="shared" si="184"/>
        <v>2620.25</v>
      </c>
      <c r="BV292">
        <f t="shared" si="185"/>
        <v>2620.25</v>
      </c>
      <c r="BW292" s="35">
        <f t="shared" si="186"/>
        <v>3.6066758430832763E-2</v>
      </c>
    </row>
    <row r="293" spans="1:75">
      <c r="A293" s="1" t="s">
        <v>294</v>
      </c>
      <c r="B293" s="1">
        <v>73020</v>
      </c>
      <c r="Q293">
        <v>290</v>
      </c>
      <c r="R293" s="27" t="str">
        <f t="shared" si="177"/>
        <v>16/06/2024</v>
      </c>
      <c r="S293" s="27">
        <f t="shared" si="177"/>
        <v>73580</v>
      </c>
      <c r="T293" s="4" t="str">
        <f t="shared" si="178"/>
        <v>A6</v>
      </c>
      <c r="V293">
        <v>290</v>
      </c>
      <c r="W293" s="28" t="str">
        <f t="shared" si="176"/>
        <v>16/06/2024</v>
      </c>
      <c r="X293" s="28">
        <f t="shared" si="176"/>
        <v>73580</v>
      </c>
      <c r="Y293" s="28" t="str">
        <f t="shared" si="176"/>
        <v>A6</v>
      </c>
      <c r="Z293" s="5" t="str">
        <f t="shared" si="187"/>
        <v>A5</v>
      </c>
      <c r="AA293" s="5" t="str">
        <f t="shared" si="188"/>
        <v>A6</v>
      </c>
      <c r="AG293" s="29" t="str">
        <f t="shared" si="179"/>
        <v>16/06/2024</v>
      </c>
      <c r="AH293" s="30">
        <f t="shared" si="179"/>
        <v>73580</v>
      </c>
      <c r="AI293" s="4" t="str">
        <f t="shared" si="180"/>
        <v>A6</v>
      </c>
      <c r="AJ293" s="5" t="str">
        <f t="shared" si="189"/>
        <v>A5</v>
      </c>
      <c r="AK293">
        <f t="shared" si="190"/>
        <v>67829.5</v>
      </c>
      <c r="AL293" t="str">
        <f t="shared" si="191"/>
        <v>A6</v>
      </c>
      <c r="AM293">
        <f t="shared" si="192"/>
        <v>73860.5</v>
      </c>
      <c r="AN293" s="6">
        <f t="shared" si="193"/>
        <v>1820</v>
      </c>
      <c r="AO293">
        <f t="shared" si="194"/>
        <v>73560</v>
      </c>
      <c r="AP293">
        <f t="shared" si="217"/>
        <v>71740</v>
      </c>
      <c r="AQ293" s="33">
        <f t="shared" si="195"/>
        <v>74470</v>
      </c>
      <c r="AR293" s="33">
        <f t="shared" si="196"/>
        <v>70830</v>
      </c>
      <c r="AS293">
        <f t="shared" si="197"/>
        <v>73105</v>
      </c>
      <c r="AT293" s="5">
        <f t="shared" si="198"/>
        <v>72195</v>
      </c>
      <c r="AU293" s="5">
        <f t="shared" si="199"/>
        <v>76290</v>
      </c>
      <c r="AV293" s="5">
        <f t="shared" si="200"/>
        <v>69010</v>
      </c>
      <c r="AW293" s="5">
        <f t="shared" si="201"/>
        <v>72953.333333333328</v>
      </c>
      <c r="AX293" s="5">
        <f t="shared" si="202"/>
        <v>72346.666666666672</v>
      </c>
      <c r="AY293" s="5">
        <f t="shared" si="203"/>
        <v>78110</v>
      </c>
      <c r="AZ293" s="5">
        <f t="shared" si="204"/>
        <v>67190</v>
      </c>
      <c r="BB293" s="32" t="str">
        <f t="shared" si="181"/>
        <v>16/06/2024</v>
      </c>
      <c r="BC293" s="33">
        <f t="shared" si="181"/>
        <v>73580</v>
      </c>
      <c r="BD293" s="4" t="str">
        <f t="shared" si="181"/>
        <v>A6</v>
      </c>
      <c r="BE293">
        <f t="shared" si="205"/>
        <v>73710.25</v>
      </c>
      <c r="BF293">
        <f t="shared" si="206"/>
        <v>72800.25</v>
      </c>
      <c r="BG293">
        <f t="shared" si="207"/>
        <v>74165.25</v>
      </c>
      <c r="BH293">
        <f t="shared" si="208"/>
        <v>72345.25</v>
      </c>
      <c r="BI293">
        <f t="shared" si="209"/>
        <v>73482.75</v>
      </c>
      <c r="BJ293">
        <f t="shared" si="210"/>
        <v>73027.75</v>
      </c>
      <c r="BK293">
        <f t="shared" si="211"/>
        <v>75075.25</v>
      </c>
      <c r="BL293">
        <f t="shared" si="212"/>
        <v>71435.25</v>
      </c>
      <c r="BM293" s="38">
        <f t="shared" si="213"/>
        <v>73406.916666666657</v>
      </c>
      <c r="BN293">
        <f t="shared" si="214"/>
        <v>73103.583333333343</v>
      </c>
      <c r="BO293">
        <f t="shared" si="215"/>
        <v>75985.25</v>
      </c>
      <c r="BP293">
        <f t="shared" si="216"/>
        <v>70525.25</v>
      </c>
      <c r="BQ293" s="7">
        <f>BM293</f>
        <v>73406.916666666657</v>
      </c>
      <c r="BS293" s="30">
        <f t="shared" si="182"/>
        <v>73580</v>
      </c>
      <c r="BT293" s="4">
        <f t="shared" si="183"/>
        <v>73406.916666666657</v>
      </c>
      <c r="BU293" s="37">
        <f t="shared" si="184"/>
        <v>173.08333333334303</v>
      </c>
      <c r="BV293">
        <f t="shared" si="185"/>
        <v>173.08333333334303</v>
      </c>
      <c r="BW293" s="35">
        <f t="shared" si="186"/>
        <v>2.3523149406542952E-3</v>
      </c>
    </row>
    <row r="294" spans="1:75">
      <c r="A294" s="1" t="s">
        <v>295</v>
      </c>
      <c r="B294" s="1">
        <v>69870</v>
      </c>
      <c r="Q294">
        <v>291</v>
      </c>
      <c r="R294" s="27" t="str">
        <f t="shared" si="177"/>
        <v>19/06/2024</v>
      </c>
      <c r="S294" s="27">
        <f t="shared" si="177"/>
        <v>73070</v>
      </c>
      <c r="T294" s="4" t="str">
        <f t="shared" si="178"/>
        <v>A6</v>
      </c>
      <c r="V294">
        <v>291</v>
      </c>
      <c r="W294" s="28" t="str">
        <f t="shared" si="176"/>
        <v>19/06/2024</v>
      </c>
      <c r="X294" s="28">
        <f t="shared" si="176"/>
        <v>73070</v>
      </c>
      <c r="Y294" s="28" t="str">
        <f t="shared" si="176"/>
        <v>A6</v>
      </c>
      <c r="Z294" s="5" t="str">
        <f t="shared" si="187"/>
        <v>A6</v>
      </c>
      <c r="AA294" s="5" t="str">
        <f t="shared" si="188"/>
        <v>A6</v>
      </c>
      <c r="AG294" s="29" t="str">
        <f t="shared" si="179"/>
        <v>19/06/2024</v>
      </c>
      <c r="AH294" s="30">
        <f t="shared" si="179"/>
        <v>73070</v>
      </c>
      <c r="AI294" s="4" t="str">
        <f t="shared" si="180"/>
        <v>A6</v>
      </c>
      <c r="AJ294" s="5" t="str">
        <f t="shared" si="189"/>
        <v>A6</v>
      </c>
      <c r="AK294">
        <f t="shared" si="190"/>
        <v>73860.5</v>
      </c>
      <c r="AL294" t="str">
        <f t="shared" si="191"/>
        <v>A6</v>
      </c>
      <c r="AM294">
        <f t="shared" si="192"/>
        <v>73860.5</v>
      </c>
      <c r="AN294" s="6">
        <f t="shared" si="193"/>
        <v>930</v>
      </c>
      <c r="AO294">
        <f t="shared" si="194"/>
        <v>74045</v>
      </c>
      <c r="AP294">
        <f t="shared" si="217"/>
        <v>73115</v>
      </c>
      <c r="AQ294" s="33">
        <f t="shared" si="195"/>
        <v>74510</v>
      </c>
      <c r="AR294" s="33">
        <f t="shared" si="196"/>
        <v>72650</v>
      </c>
      <c r="AS294">
        <f t="shared" si="197"/>
        <v>73812.5</v>
      </c>
      <c r="AT294" s="5">
        <f t="shared" si="198"/>
        <v>73347.5</v>
      </c>
      <c r="AU294" s="5">
        <f t="shared" si="199"/>
        <v>75440</v>
      </c>
      <c r="AV294" s="5">
        <f t="shared" si="200"/>
        <v>71720</v>
      </c>
      <c r="AW294" s="5">
        <f t="shared" si="201"/>
        <v>73735</v>
      </c>
      <c r="AX294" s="5">
        <f t="shared" si="202"/>
        <v>73425</v>
      </c>
      <c r="AY294" s="5">
        <f t="shared" si="203"/>
        <v>76370</v>
      </c>
      <c r="AZ294" s="5">
        <f t="shared" si="204"/>
        <v>70790</v>
      </c>
      <c r="BB294" s="32" t="str">
        <f t="shared" si="181"/>
        <v>19/06/2024</v>
      </c>
      <c r="BC294" s="33">
        <f t="shared" si="181"/>
        <v>73070</v>
      </c>
      <c r="BD294" s="4" t="str">
        <f t="shared" si="181"/>
        <v>A6</v>
      </c>
      <c r="BE294">
        <f t="shared" si="205"/>
        <v>73952.75</v>
      </c>
      <c r="BF294">
        <f t="shared" si="206"/>
        <v>73487.75</v>
      </c>
      <c r="BG294">
        <f t="shared" si="207"/>
        <v>74185.25</v>
      </c>
      <c r="BH294" s="38">
        <f t="shared" si="208"/>
        <v>73255.25</v>
      </c>
      <c r="BI294">
        <f t="shared" si="209"/>
        <v>73836.5</v>
      </c>
      <c r="BJ294">
        <f t="shared" si="210"/>
        <v>73604</v>
      </c>
      <c r="BK294">
        <f t="shared" si="211"/>
        <v>74650.25</v>
      </c>
      <c r="BL294">
        <f t="shared" si="212"/>
        <v>72790.25</v>
      </c>
      <c r="BM294">
        <f t="shared" si="213"/>
        <v>73797.75</v>
      </c>
      <c r="BN294">
        <f t="shared" si="214"/>
        <v>73642.75</v>
      </c>
      <c r="BO294">
        <f t="shared" si="215"/>
        <v>75115.25</v>
      </c>
      <c r="BP294">
        <f t="shared" si="216"/>
        <v>72325.25</v>
      </c>
      <c r="BQ294" s="7">
        <f>BH294</f>
        <v>73255.25</v>
      </c>
      <c r="BS294" s="30">
        <f t="shared" si="182"/>
        <v>73070</v>
      </c>
      <c r="BT294" s="4">
        <f t="shared" si="183"/>
        <v>73255.25</v>
      </c>
      <c r="BU294" s="37">
        <f t="shared" si="184"/>
        <v>-185.25</v>
      </c>
      <c r="BV294">
        <f t="shared" si="185"/>
        <v>185.25</v>
      </c>
      <c r="BW294" s="35">
        <f t="shared" si="186"/>
        <v>2.5352401806486929E-3</v>
      </c>
    </row>
    <row r="295" spans="1:75">
      <c r="A295" s="1" t="s">
        <v>296</v>
      </c>
      <c r="B295" s="1">
        <v>70950</v>
      </c>
      <c r="Q295">
        <v>292</v>
      </c>
      <c r="R295" s="27" t="str">
        <f t="shared" si="177"/>
        <v>20/06/2024</v>
      </c>
      <c r="S295" s="27">
        <f t="shared" si="177"/>
        <v>73020</v>
      </c>
      <c r="T295" s="4" t="str">
        <f t="shared" si="178"/>
        <v>A6</v>
      </c>
      <c r="V295">
        <v>292</v>
      </c>
      <c r="W295" s="28" t="str">
        <f t="shared" si="176"/>
        <v>20/06/2024</v>
      </c>
      <c r="X295" s="28">
        <f t="shared" si="176"/>
        <v>73020</v>
      </c>
      <c r="Y295" s="28" t="str">
        <f t="shared" si="176"/>
        <v>A6</v>
      </c>
      <c r="Z295" s="5" t="str">
        <f t="shared" si="187"/>
        <v>A6</v>
      </c>
      <c r="AA295" s="5" t="str">
        <f t="shared" si="188"/>
        <v>A6</v>
      </c>
      <c r="AG295" s="29" t="str">
        <f t="shared" si="179"/>
        <v>20/06/2024</v>
      </c>
      <c r="AH295" s="30">
        <f t="shared" si="179"/>
        <v>73020</v>
      </c>
      <c r="AI295" s="4" t="str">
        <f t="shared" si="180"/>
        <v>A6</v>
      </c>
      <c r="AJ295" s="5" t="str">
        <f t="shared" si="189"/>
        <v>A6</v>
      </c>
      <c r="AK295">
        <f t="shared" si="190"/>
        <v>73860.5</v>
      </c>
      <c r="AL295" t="str">
        <f t="shared" si="191"/>
        <v>A6</v>
      </c>
      <c r="AM295">
        <f t="shared" si="192"/>
        <v>73860.5</v>
      </c>
      <c r="AN295" s="6">
        <f t="shared" si="193"/>
        <v>420</v>
      </c>
      <c r="AO295">
        <f t="shared" si="194"/>
        <v>73280</v>
      </c>
      <c r="AP295">
        <f t="shared" si="217"/>
        <v>72860</v>
      </c>
      <c r="AQ295" s="33">
        <f t="shared" si="195"/>
        <v>73490</v>
      </c>
      <c r="AR295" s="33">
        <f t="shared" si="196"/>
        <v>72650</v>
      </c>
      <c r="AS295">
        <f t="shared" si="197"/>
        <v>73175</v>
      </c>
      <c r="AT295" s="5">
        <f t="shared" si="198"/>
        <v>72965</v>
      </c>
      <c r="AU295" s="5">
        <f t="shared" si="199"/>
        <v>73910</v>
      </c>
      <c r="AV295" s="5">
        <f t="shared" si="200"/>
        <v>72230</v>
      </c>
      <c r="AW295" s="5">
        <f t="shared" si="201"/>
        <v>73140</v>
      </c>
      <c r="AX295" s="5">
        <f t="shared" si="202"/>
        <v>73000</v>
      </c>
      <c r="AY295" s="5">
        <f t="shared" si="203"/>
        <v>74330</v>
      </c>
      <c r="AZ295" s="5">
        <f t="shared" si="204"/>
        <v>71810</v>
      </c>
      <c r="BB295" s="32" t="str">
        <f t="shared" si="181"/>
        <v>20/06/2024</v>
      </c>
      <c r="BC295" s="33">
        <f t="shared" si="181"/>
        <v>73020</v>
      </c>
      <c r="BD295" s="4" t="str">
        <f t="shared" si="181"/>
        <v>A6</v>
      </c>
      <c r="BE295">
        <f t="shared" si="205"/>
        <v>73570.25</v>
      </c>
      <c r="BF295">
        <f t="shared" si="206"/>
        <v>73360.25</v>
      </c>
      <c r="BG295">
        <f t="shared" si="207"/>
        <v>73675.25</v>
      </c>
      <c r="BH295">
        <f t="shared" si="208"/>
        <v>73255.25</v>
      </c>
      <c r="BI295">
        <f t="shared" si="209"/>
        <v>73517.75</v>
      </c>
      <c r="BJ295">
        <f t="shared" si="210"/>
        <v>73412.75</v>
      </c>
      <c r="BK295">
        <f t="shared" si="211"/>
        <v>73885.25</v>
      </c>
      <c r="BL295" s="38">
        <f t="shared" si="212"/>
        <v>73045.25</v>
      </c>
      <c r="BM295">
        <f t="shared" si="213"/>
        <v>73500.25</v>
      </c>
      <c r="BN295">
        <f t="shared" si="214"/>
        <v>73430.25</v>
      </c>
      <c r="BO295">
        <f t="shared" si="215"/>
        <v>74095.25</v>
      </c>
      <c r="BP295">
        <f t="shared" si="216"/>
        <v>72835.25</v>
      </c>
      <c r="BQ295" s="7">
        <f>BL295</f>
        <v>73045.25</v>
      </c>
      <c r="BS295" s="30">
        <f t="shared" si="182"/>
        <v>73020</v>
      </c>
      <c r="BT295" s="4">
        <f t="shared" si="183"/>
        <v>73045.25</v>
      </c>
      <c r="BU295" s="37">
        <f t="shared" si="184"/>
        <v>-25.25</v>
      </c>
      <c r="BV295">
        <f t="shared" si="185"/>
        <v>25.25</v>
      </c>
      <c r="BW295" s="35">
        <f t="shared" si="186"/>
        <v>3.4579567241851549E-4</v>
      </c>
    </row>
    <row r="296" spans="1:75">
      <c r="A296" s="1" t="s">
        <v>297</v>
      </c>
      <c r="B296" s="1">
        <v>70730</v>
      </c>
      <c r="Q296">
        <v>293</v>
      </c>
      <c r="R296" s="27" t="str">
        <f t="shared" si="177"/>
        <v>21/06/2024</v>
      </c>
      <c r="S296" s="27">
        <f t="shared" si="177"/>
        <v>69870</v>
      </c>
      <c r="T296" s="4" t="str">
        <f t="shared" si="178"/>
        <v>A5</v>
      </c>
      <c r="V296">
        <v>293</v>
      </c>
      <c r="W296" s="28" t="str">
        <f t="shared" si="176"/>
        <v>21/06/2024</v>
      </c>
      <c r="X296" s="28">
        <f t="shared" si="176"/>
        <v>69870</v>
      </c>
      <c r="Y296" s="28" t="str">
        <f t="shared" si="176"/>
        <v>A5</v>
      </c>
      <c r="Z296" s="5" t="str">
        <f t="shared" si="187"/>
        <v>A6</v>
      </c>
      <c r="AA296" s="5" t="str">
        <f t="shared" si="188"/>
        <v>A6</v>
      </c>
      <c r="AG296" s="29" t="str">
        <f t="shared" si="179"/>
        <v>21/06/2024</v>
      </c>
      <c r="AH296" s="30">
        <f t="shared" si="179"/>
        <v>69870</v>
      </c>
      <c r="AI296" s="4" t="str">
        <f t="shared" si="180"/>
        <v>A5</v>
      </c>
      <c r="AJ296" s="5" t="str">
        <f t="shared" si="189"/>
        <v>A6</v>
      </c>
      <c r="AK296">
        <f t="shared" si="190"/>
        <v>73860.5</v>
      </c>
      <c r="AL296" t="str">
        <f t="shared" si="191"/>
        <v>A6</v>
      </c>
      <c r="AM296">
        <f t="shared" si="192"/>
        <v>73860.5</v>
      </c>
      <c r="AN296" s="6">
        <f t="shared" si="193"/>
        <v>460</v>
      </c>
      <c r="AO296">
        <f t="shared" si="194"/>
        <v>73250</v>
      </c>
      <c r="AP296">
        <f t="shared" si="217"/>
        <v>72790</v>
      </c>
      <c r="AQ296" s="33">
        <f t="shared" si="195"/>
        <v>73480</v>
      </c>
      <c r="AR296" s="33">
        <f t="shared" si="196"/>
        <v>72560</v>
      </c>
      <c r="AS296">
        <f t="shared" si="197"/>
        <v>73135</v>
      </c>
      <c r="AT296" s="5">
        <f t="shared" si="198"/>
        <v>72905</v>
      </c>
      <c r="AU296" s="5">
        <f t="shared" si="199"/>
        <v>73940</v>
      </c>
      <c r="AV296" s="5">
        <f t="shared" si="200"/>
        <v>72100</v>
      </c>
      <c r="AW296" s="5">
        <f t="shared" si="201"/>
        <v>73096.666666666672</v>
      </c>
      <c r="AX296" s="5">
        <f t="shared" si="202"/>
        <v>72943.333333333328</v>
      </c>
      <c r="AY296" s="5">
        <f t="shared" si="203"/>
        <v>74400</v>
      </c>
      <c r="AZ296" s="5">
        <f t="shared" si="204"/>
        <v>71640</v>
      </c>
      <c r="BB296" s="32" t="str">
        <f t="shared" si="181"/>
        <v>21/06/2024</v>
      </c>
      <c r="BC296" s="33">
        <f t="shared" si="181"/>
        <v>69870</v>
      </c>
      <c r="BD296" s="4" t="str">
        <f t="shared" si="181"/>
        <v>A5</v>
      </c>
      <c r="BE296">
        <f t="shared" si="205"/>
        <v>73555.25</v>
      </c>
      <c r="BF296">
        <f t="shared" si="206"/>
        <v>73325.25</v>
      </c>
      <c r="BG296">
        <f t="shared" si="207"/>
        <v>73670.25</v>
      </c>
      <c r="BH296">
        <f t="shared" si="208"/>
        <v>73210.25</v>
      </c>
      <c r="BI296">
        <f t="shared" si="209"/>
        <v>73497.75</v>
      </c>
      <c r="BJ296">
        <f t="shared" si="210"/>
        <v>73382.75</v>
      </c>
      <c r="BK296">
        <f t="shared" si="211"/>
        <v>73900.25</v>
      </c>
      <c r="BL296">
        <f t="shared" si="212"/>
        <v>72980.25</v>
      </c>
      <c r="BM296">
        <f t="shared" si="213"/>
        <v>73478.583333333343</v>
      </c>
      <c r="BN296">
        <f t="shared" si="214"/>
        <v>73401.916666666657</v>
      </c>
      <c r="BO296">
        <f t="shared" si="215"/>
        <v>74130.25</v>
      </c>
      <c r="BP296" s="38">
        <f t="shared" si="216"/>
        <v>72750.25</v>
      </c>
      <c r="BQ296" s="7">
        <f>BP296</f>
        <v>72750.25</v>
      </c>
      <c r="BS296" s="30">
        <f t="shared" si="182"/>
        <v>69870</v>
      </c>
      <c r="BT296" s="4">
        <f t="shared" si="183"/>
        <v>72750.25</v>
      </c>
      <c r="BU296" s="37">
        <f t="shared" si="184"/>
        <v>-2880.25</v>
      </c>
      <c r="BV296">
        <f t="shared" si="185"/>
        <v>2880.25</v>
      </c>
      <c r="BW296" s="35">
        <f t="shared" si="186"/>
        <v>4.1222985544582799E-2</v>
      </c>
    </row>
    <row r="297" spans="1:75">
      <c r="A297" s="1" t="s">
        <v>298</v>
      </c>
      <c r="B297" s="1">
        <v>68600</v>
      </c>
      <c r="Q297">
        <v>294</v>
      </c>
      <c r="R297" s="27" t="str">
        <f t="shared" si="177"/>
        <v>22/06/2024</v>
      </c>
      <c r="S297" s="27">
        <f t="shared" si="177"/>
        <v>70950</v>
      </c>
      <c r="T297" s="4" t="str">
        <f t="shared" si="178"/>
        <v>A6</v>
      </c>
      <c r="V297">
        <v>294</v>
      </c>
      <c r="W297" s="28" t="str">
        <f t="shared" si="176"/>
        <v>22/06/2024</v>
      </c>
      <c r="X297" s="28">
        <f t="shared" si="176"/>
        <v>70950</v>
      </c>
      <c r="Y297" s="28" t="str">
        <f t="shared" si="176"/>
        <v>A6</v>
      </c>
      <c r="Z297" s="5" t="str">
        <f t="shared" si="187"/>
        <v>A6</v>
      </c>
      <c r="AA297" s="5" t="str">
        <f t="shared" si="188"/>
        <v>A5</v>
      </c>
      <c r="AG297" s="29" t="str">
        <f t="shared" si="179"/>
        <v>22/06/2024</v>
      </c>
      <c r="AH297" s="30">
        <f t="shared" si="179"/>
        <v>70950</v>
      </c>
      <c r="AI297" s="4" t="str">
        <f t="shared" si="180"/>
        <v>A6</v>
      </c>
      <c r="AJ297" s="5" t="str">
        <f t="shared" si="189"/>
        <v>A6</v>
      </c>
      <c r="AK297">
        <f t="shared" si="190"/>
        <v>73860.5</v>
      </c>
      <c r="AL297" t="str">
        <f t="shared" si="191"/>
        <v>A5</v>
      </c>
      <c r="AM297">
        <f t="shared" si="192"/>
        <v>67829.5</v>
      </c>
      <c r="AN297" s="6">
        <f t="shared" si="193"/>
        <v>3100</v>
      </c>
      <c r="AO297">
        <f t="shared" si="194"/>
        <v>71420</v>
      </c>
      <c r="AP297">
        <f t="shared" si="217"/>
        <v>68320</v>
      </c>
      <c r="AQ297" s="33">
        <f t="shared" si="195"/>
        <v>72970</v>
      </c>
      <c r="AR297" s="33">
        <f t="shared" si="196"/>
        <v>66770</v>
      </c>
      <c r="AS297">
        <f t="shared" si="197"/>
        <v>70645</v>
      </c>
      <c r="AT297" s="5">
        <f t="shared" si="198"/>
        <v>69095</v>
      </c>
      <c r="AU297" s="5">
        <f t="shared" si="199"/>
        <v>76070</v>
      </c>
      <c r="AV297" s="5">
        <f t="shared" si="200"/>
        <v>63670</v>
      </c>
      <c r="AW297" s="5">
        <f t="shared" si="201"/>
        <v>70386.666666666672</v>
      </c>
      <c r="AX297" s="5">
        <f t="shared" si="202"/>
        <v>69353.333333333328</v>
      </c>
      <c r="AY297" s="5">
        <f t="shared" si="203"/>
        <v>79170</v>
      </c>
      <c r="AZ297" s="5">
        <f t="shared" si="204"/>
        <v>60570</v>
      </c>
      <c r="BB297" s="32" t="str">
        <f t="shared" si="181"/>
        <v>22/06/2024</v>
      </c>
      <c r="BC297" s="33">
        <f t="shared" si="181"/>
        <v>70950</v>
      </c>
      <c r="BD297" s="4" t="str">
        <f t="shared" si="181"/>
        <v>A6</v>
      </c>
      <c r="BE297">
        <f t="shared" si="205"/>
        <v>69624.75</v>
      </c>
      <c r="BF297">
        <f t="shared" si="206"/>
        <v>68074.75</v>
      </c>
      <c r="BG297" s="38">
        <f t="shared" si="207"/>
        <v>70399.75</v>
      </c>
      <c r="BH297">
        <f t="shared" si="208"/>
        <v>67299.75</v>
      </c>
      <c r="BI297">
        <f t="shared" si="209"/>
        <v>69237.25</v>
      </c>
      <c r="BJ297">
        <f t="shared" si="210"/>
        <v>68462.25</v>
      </c>
      <c r="BK297">
        <f t="shared" si="211"/>
        <v>71949.75</v>
      </c>
      <c r="BL297">
        <f t="shared" si="212"/>
        <v>65749.75</v>
      </c>
      <c r="BM297">
        <f t="shared" si="213"/>
        <v>69108.083333333343</v>
      </c>
      <c r="BN297">
        <f t="shared" si="214"/>
        <v>68591.416666666657</v>
      </c>
      <c r="BO297">
        <f t="shared" si="215"/>
        <v>73499.75</v>
      </c>
      <c r="BP297">
        <f t="shared" si="216"/>
        <v>64199.75</v>
      </c>
      <c r="BQ297" s="7">
        <f>BG297</f>
        <v>70399.75</v>
      </c>
      <c r="BS297" s="30">
        <f t="shared" si="182"/>
        <v>70950</v>
      </c>
      <c r="BT297" s="4">
        <f t="shared" si="183"/>
        <v>70399.75</v>
      </c>
      <c r="BU297" s="37">
        <f t="shared" si="184"/>
        <v>550.25</v>
      </c>
      <c r="BV297">
        <f t="shared" si="185"/>
        <v>550.25</v>
      </c>
      <c r="BW297" s="35">
        <f t="shared" si="186"/>
        <v>7.755461592670895E-3</v>
      </c>
    </row>
    <row r="298" spans="1:75">
      <c r="A298" s="1" t="s">
        <v>299</v>
      </c>
      <c r="B298" s="1">
        <v>67810</v>
      </c>
      <c r="Q298">
        <v>295</v>
      </c>
      <c r="R298" s="27" t="str">
        <f t="shared" si="177"/>
        <v>23/06/2024</v>
      </c>
      <c r="S298" s="27">
        <f t="shared" si="177"/>
        <v>70730</v>
      </c>
      <c r="T298" s="4" t="str">
        <f t="shared" si="178"/>
        <v>A5</v>
      </c>
      <c r="V298">
        <v>295</v>
      </c>
      <c r="W298" s="28" t="str">
        <f t="shared" si="176"/>
        <v>23/06/2024</v>
      </c>
      <c r="X298" s="28">
        <f t="shared" si="176"/>
        <v>70730</v>
      </c>
      <c r="Y298" s="28" t="str">
        <f t="shared" si="176"/>
        <v>A5</v>
      </c>
      <c r="Z298" s="5" t="str">
        <f t="shared" si="187"/>
        <v>A5</v>
      </c>
      <c r="AA298" s="5" t="str">
        <f t="shared" si="188"/>
        <v>A6</v>
      </c>
      <c r="AG298" s="29" t="str">
        <f t="shared" si="179"/>
        <v>23/06/2024</v>
      </c>
      <c r="AH298" s="30">
        <f t="shared" si="179"/>
        <v>70730</v>
      </c>
      <c r="AI298" s="4" t="str">
        <f t="shared" si="180"/>
        <v>A5</v>
      </c>
      <c r="AJ298" s="5" t="str">
        <f t="shared" si="189"/>
        <v>A5</v>
      </c>
      <c r="AK298">
        <f t="shared" si="190"/>
        <v>67829.5</v>
      </c>
      <c r="AL298" t="str">
        <f t="shared" si="191"/>
        <v>A6</v>
      </c>
      <c r="AM298">
        <f t="shared" si="192"/>
        <v>73860.5</v>
      </c>
      <c r="AN298" s="6">
        <f t="shared" si="193"/>
        <v>2070</v>
      </c>
      <c r="AO298">
        <f t="shared" si="194"/>
        <v>71985</v>
      </c>
      <c r="AP298">
        <f t="shared" si="217"/>
        <v>69915</v>
      </c>
      <c r="AQ298" s="33">
        <f t="shared" si="195"/>
        <v>73020</v>
      </c>
      <c r="AR298" s="33">
        <f t="shared" si="196"/>
        <v>68880</v>
      </c>
      <c r="AS298">
        <f t="shared" si="197"/>
        <v>71467.5</v>
      </c>
      <c r="AT298" s="5">
        <f t="shared" si="198"/>
        <v>70432.5</v>
      </c>
      <c r="AU298" s="5">
        <f t="shared" si="199"/>
        <v>75090</v>
      </c>
      <c r="AV298" s="5">
        <f t="shared" si="200"/>
        <v>66810</v>
      </c>
      <c r="AW298" s="5">
        <f t="shared" si="201"/>
        <v>71295</v>
      </c>
      <c r="AX298" s="5">
        <f t="shared" si="202"/>
        <v>70605</v>
      </c>
      <c r="AY298" s="5">
        <f t="shared" si="203"/>
        <v>77160</v>
      </c>
      <c r="AZ298" s="5">
        <f t="shared" si="204"/>
        <v>64740</v>
      </c>
      <c r="BB298" s="32" t="str">
        <f t="shared" si="181"/>
        <v>23/06/2024</v>
      </c>
      <c r="BC298" s="33">
        <f t="shared" si="181"/>
        <v>70730</v>
      </c>
      <c r="BD298" s="4" t="str">
        <f t="shared" si="181"/>
        <v>A5</v>
      </c>
      <c r="BE298">
        <f t="shared" si="205"/>
        <v>72922.75</v>
      </c>
      <c r="BF298">
        <f t="shared" si="206"/>
        <v>71887.75</v>
      </c>
      <c r="BG298">
        <f t="shared" si="207"/>
        <v>73440.25</v>
      </c>
      <c r="BH298">
        <f t="shared" si="208"/>
        <v>71370.25</v>
      </c>
      <c r="BI298">
        <f t="shared" si="209"/>
        <v>72664</v>
      </c>
      <c r="BJ298">
        <f t="shared" si="210"/>
        <v>72146.5</v>
      </c>
      <c r="BK298">
        <f t="shared" si="211"/>
        <v>74475.25</v>
      </c>
      <c r="BL298" s="38">
        <f t="shared" si="212"/>
        <v>70335.25</v>
      </c>
      <c r="BM298">
        <f t="shared" si="213"/>
        <v>72577.75</v>
      </c>
      <c r="BN298">
        <f t="shared" si="214"/>
        <v>72232.75</v>
      </c>
      <c r="BO298">
        <f t="shared" si="215"/>
        <v>75510.25</v>
      </c>
      <c r="BP298">
        <f t="shared" si="216"/>
        <v>69300.25</v>
      </c>
      <c r="BQ298" s="7">
        <f>BL298</f>
        <v>70335.25</v>
      </c>
      <c r="BS298" s="30">
        <f t="shared" si="182"/>
        <v>70730</v>
      </c>
      <c r="BT298" s="4">
        <f t="shared" si="183"/>
        <v>70335.25</v>
      </c>
      <c r="BU298" s="37">
        <f t="shared" si="184"/>
        <v>394.75</v>
      </c>
      <c r="BV298">
        <f t="shared" si="185"/>
        <v>394.75</v>
      </c>
      <c r="BW298" s="35">
        <f t="shared" si="186"/>
        <v>5.5810829916584197E-3</v>
      </c>
    </row>
    <row r="299" spans="1:75">
      <c r="A299" s="1" t="s">
        <v>300</v>
      </c>
      <c r="B299" s="1">
        <v>66630</v>
      </c>
      <c r="Q299">
        <v>296</v>
      </c>
      <c r="R299" s="27" t="str">
        <f t="shared" si="177"/>
        <v>24/06/2024</v>
      </c>
      <c r="S299" s="27">
        <f t="shared" si="177"/>
        <v>68600</v>
      </c>
      <c r="T299" s="4" t="str">
        <f t="shared" si="178"/>
        <v>A5</v>
      </c>
      <c r="V299">
        <v>296</v>
      </c>
      <c r="W299" s="28" t="str">
        <f t="shared" si="176"/>
        <v>24/06/2024</v>
      </c>
      <c r="X299" s="28">
        <f t="shared" si="176"/>
        <v>68600</v>
      </c>
      <c r="Y299" s="28" t="str">
        <f t="shared" si="176"/>
        <v>A5</v>
      </c>
      <c r="Z299" s="5" t="str">
        <f t="shared" si="187"/>
        <v>A6</v>
      </c>
      <c r="AA299" s="5" t="str">
        <f t="shared" si="188"/>
        <v>A5</v>
      </c>
      <c r="AG299" s="29" t="str">
        <f t="shared" si="179"/>
        <v>24/06/2024</v>
      </c>
      <c r="AH299" s="30">
        <f t="shared" si="179"/>
        <v>68600</v>
      </c>
      <c r="AI299" s="4" t="str">
        <f t="shared" si="180"/>
        <v>A5</v>
      </c>
      <c r="AJ299" s="5" t="str">
        <f t="shared" si="189"/>
        <v>A6</v>
      </c>
      <c r="AK299">
        <f t="shared" si="190"/>
        <v>73860.5</v>
      </c>
      <c r="AL299" t="str">
        <f t="shared" si="191"/>
        <v>A5</v>
      </c>
      <c r="AM299">
        <f t="shared" si="192"/>
        <v>67829.5</v>
      </c>
      <c r="AN299" s="6">
        <f t="shared" si="193"/>
        <v>860</v>
      </c>
      <c r="AO299">
        <f t="shared" si="194"/>
        <v>71160</v>
      </c>
      <c r="AP299">
        <f t="shared" si="217"/>
        <v>70300</v>
      </c>
      <c r="AQ299" s="33">
        <f t="shared" si="195"/>
        <v>71590</v>
      </c>
      <c r="AR299" s="33">
        <f t="shared" si="196"/>
        <v>69870</v>
      </c>
      <c r="AS299">
        <f t="shared" si="197"/>
        <v>70945</v>
      </c>
      <c r="AT299" s="5">
        <f t="shared" si="198"/>
        <v>70515</v>
      </c>
      <c r="AU299" s="5">
        <f t="shared" si="199"/>
        <v>72450</v>
      </c>
      <c r="AV299" s="5">
        <f t="shared" si="200"/>
        <v>69010</v>
      </c>
      <c r="AW299" s="5">
        <f t="shared" si="201"/>
        <v>70873.333333333328</v>
      </c>
      <c r="AX299" s="5">
        <f t="shared" si="202"/>
        <v>70586.666666666672</v>
      </c>
      <c r="AY299" s="5">
        <f t="shared" si="203"/>
        <v>73310</v>
      </c>
      <c r="AZ299" s="5">
        <f t="shared" si="204"/>
        <v>68150</v>
      </c>
      <c r="BB299" s="32" t="str">
        <f t="shared" si="181"/>
        <v>24/06/2024</v>
      </c>
      <c r="BC299" s="33">
        <f t="shared" si="181"/>
        <v>68600</v>
      </c>
      <c r="BD299" s="4" t="str">
        <f t="shared" si="181"/>
        <v>A5</v>
      </c>
      <c r="BE299">
        <f t="shared" si="205"/>
        <v>69494.75</v>
      </c>
      <c r="BF299">
        <f t="shared" si="206"/>
        <v>69064.75</v>
      </c>
      <c r="BG299">
        <f t="shared" si="207"/>
        <v>69709.75</v>
      </c>
      <c r="BH299">
        <f t="shared" si="208"/>
        <v>68849.75</v>
      </c>
      <c r="BI299">
        <f t="shared" si="209"/>
        <v>69387.25</v>
      </c>
      <c r="BJ299">
        <f t="shared" si="210"/>
        <v>69172.25</v>
      </c>
      <c r="BK299">
        <f t="shared" si="211"/>
        <v>70139.75</v>
      </c>
      <c r="BL299" s="38">
        <f t="shared" si="212"/>
        <v>68419.75</v>
      </c>
      <c r="BM299">
        <f t="shared" si="213"/>
        <v>69351.416666666657</v>
      </c>
      <c r="BN299">
        <f t="shared" si="214"/>
        <v>69208.083333333343</v>
      </c>
      <c r="BO299">
        <f t="shared" si="215"/>
        <v>70569.75</v>
      </c>
      <c r="BP299">
        <f t="shared" si="216"/>
        <v>67989.75</v>
      </c>
      <c r="BQ299" s="7">
        <f>BL299</f>
        <v>68419.75</v>
      </c>
      <c r="BS299" s="30">
        <f t="shared" si="182"/>
        <v>68600</v>
      </c>
      <c r="BT299" s="4">
        <f t="shared" si="183"/>
        <v>68419.75</v>
      </c>
      <c r="BU299" s="37">
        <f t="shared" si="184"/>
        <v>180.25</v>
      </c>
      <c r="BV299">
        <f t="shared" si="185"/>
        <v>180.25</v>
      </c>
      <c r="BW299" s="35">
        <f t="shared" si="186"/>
        <v>2.6275510204081631E-3</v>
      </c>
    </row>
    <row r="300" spans="1:75">
      <c r="A300" s="1" t="s">
        <v>301</v>
      </c>
      <c r="B300" s="1">
        <v>69210</v>
      </c>
      <c r="Q300">
        <v>297</v>
      </c>
      <c r="R300" s="27" t="str">
        <f t="shared" si="177"/>
        <v>25/06/2024</v>
      </c>
      <c r="S300" s="27">
        <f t="shared" si="177"/>
        <v>67810</v>
      </c>
      <c r="T300" s="4" t="str">
        <f t="shared" si="178"/>
        <v>A5</v>
      </c>
      <c r="V300">
        <v>297</v>
      </c>
      <c r="W300" s="28" t="str">
        <f t="shared" si="176"/>
        <v>25/06/2024</v>
      </c>
      <c r="X300" s="28">
        <f t="shared" si="176"/>
        <v>67810</v>
      </c>
      <c r="Y300" s="28" t="str">
        <f t="shared" si="176"/>
        <v>A5</v>
      </c>
      <c r="Z300" s="5" t="str">
        <f t="shared" si="187"/>
        <v>A5</v>
      </c>
      <c r="AA300" s="5" t="str">
        <f t="shared" si="188"/>
        <v>A5</v>
      </c>
      <c r="AG300" s="29" t="str">
        <f t="shared" si="179"/>
        <v>25/06/2024</v>
      </c>
      <c r="AH300" s="30">
        <f t="shared" si="179"/>
        <v>67810</v>
      </c>
      <c r="AI300" s="4" t="str">
        <f t="shared" si="180"/>
        <v>A5</v>
      </c>
      <c r="AJ300" s="5" t="str">
        <f t="shared" si="189"/>
        <v>A5</v>
      </c>
      <c r="AK300">
        <f t="shared" si="190"/>
        <v>67829.5</v>
      </c>
      <c r="AL300" t="str">
        <f t="shared" si="191"/>
        <v>A5</v>
      </c>
      <c r="AM300">
        <f t="shared" si="192"/>
        <v>67829.5</v>
      </c>
      <c r="AN300" s="6">
        <f t="shared" si="193"/>
        <v>1910</v>
      </c>
      <c r="AO300">
        <f t="shared" si="194"/>
        <v>69555</v>
      </c>
      <c r="AP300">
        <f t="shared" si="217"/>
        <v>67645</v>
      </c>
      <c r="AQ300" s="33">
        <f t="shared" si="195"/>
        <v>70510</v>
      </c>
      <c r="AR300" s="33">
        <f t="shared" si="196"/>
        <v>66690</v>
      </c>
      <c r="AS300">
        <f t="shared" si="197"/>
        <v>69077.5</v>
      </c>
      <c r="AT300" s="5">
        <f t="shared" si="198"/>
        <v>68122.5</v>
      </c>
      <c r="AU300" s="5">
        <f t="shared" si="199"/>
        <v>72420</v>
      </c>
      <c r="AV300" s="5">
        <f t="shared" si="200"/>
        <v>64780</v>
      </c>
      <c r="AW300" s="5">
        <f t="shared" si="201"/>
        <v>68918.333333333328</v>
      </c>
      <c r="AX300" s="5">
        <f t="shared" si="202"/>
        <v>68281.666666666672</v>
      </c>
      <c r="AY300" s="5">
        <f t="shared" si="203"/>
        <v>74330</v>
      </c>
      <c r="AZ300" s="5">
        <f t="shared" si="204"/>
        <v>62870</v>
      </c>
      <c r="BB300" s="32" t="str">
        <f t="shared" si="181"/>
        <v>25/06/2024</v>
      </c>
      <c r="BC300" s="33">
        <f t="shared" si="181"/>
        <v>67810</v>
      </c>
      <c r="BD300" s="4" t="str">
        <f t="shared" si="181"/>
        <v>A5</v>
      </c>
      <c r="BE300">
        <f t="shared" si="205"/>
        <v>68692.25</v>
      </c>
      <c r="BF300" s="38">
        <f t="shared" si="206"/>
        <v>67737.25</v>
      </c>
      <c r="BG300">
        <f t="shared" si="207"/>
        <v>69169.75</v>
      </c>
      <c r="BH300">
        <f t="shared" si="208"/>
        <v>67259.75</v>
      </c>
      <c r="BI300">
        <f t="shared" si="209"/>
        <v>68453.5</v>
      </c>
      <c r="BJ300">
        <f t="shared" si="210"/>
        <v>67976</v>
      </c>
      <c r="BK300">
        <f t="shared" si="211"/>
        <v>70124.75</v>
      </c>
      <c r="BL300">
        <f t="shared" si="212"/>
        <v>66304.75</v>
      </c>
      <c r="BM300">
        <f t="shared" si="213"/>
        <v>68373.916666666657</v>
      </c>
      <c r="BN300">
        <f t="shared" si="214"/>
        <v>68055.583333333343</v>
      </c>
      <c r="BO300">
        <f t="shared" si="215"/>
        <v>71079.75</v>
      </c>
      <c r="BP300">
        <f t="shared" si="216"/>
        <v>65349.75</v>
      </c>
      <c r="BQ300" s="7">
        <f>BF300</f>
        <v>67737.25</v>
      </c>
      <c r="BS300" s="30">
        <f t="shared" si="182"/>
        <v>67810</v>
      </c>
      <c r="BT300" s="4">
        <f t="shared" si="183"/>
        <v>67737.25</v>
      </c>
      <c r="BU300" s="37">
        <f t="shared" si="184"/>
        <v>72.75</v>
      </c>
      <c r="BV300">
        <f t="shared" si="185"/>
        <v>72.75</v>
      </c>
      <c r="BW300" s="35">
        <f t="shared" si="186"/>
        <v>1.0728506120041292E-3</v>
      </c>
    </row>
    <row r="301" spans="1:75">
      <c r="A301" s="1" t="s">
        <v>302</v>
      </c>
      <c r="B301" s="1">
        <v>71620</v>
      </c>
      <c r="Q301">
        <v>298</v>
      </c>
      <c r="R301" s="27" t="str">
        <f t="shared" si="177"/>
        <v>26/06/2024</v>
      </c>
      <c r="S301" s="27">
        <f t="shared" si="177"/>
        <v>66630</v>
      </c>
      <c r="T301" s="4" t="str">
        <f t="shared" si="178"/>
        <v>A5</v>
      </c>
      <c r="V301">
        <v>298</v>
      </c>
      <c r="W301" s="28" t="str">
        <f t="shared" si="176"/>
        <v>26/06/2024</v>
      </c>
      <c r="X301" s="28">
        <f t="shared" si="176"/>
        <v>66630</v>
      </c>
      <c r="Y301" s="28" t="str">
        <f t="shared" si="176"/>
        <v>A5</v>
      </c>
      <c r="Z301" s="5" t="str">
        <f t="shared" si="187"/>
        <v>A5</v>
      </c>
      <c r="AA301" s="5" t="str">
        <f t="shared" si="188"/>
        <v>A5</v>
      </c>
      <c r="AG301" s="29" t="str">
        <f t="shared" si="179"/>
        <v>26/06/2024</v>
      </c>
      <c r="AH301" s="30">
        <f t="shared" si="179"/>
        <v>66630</v>
      </c>
      <c r="AI301" s="4" t="str">
        <f t="shared" si="180"/>
        <v>A5</v>
      </c>
      <c r="AJ301" s="5" t="str">
        <f t="shared" si="189"/>
        <v>A5</v>
      </c>
      <c r="AK301">
        <f t="shared" si="190"/>
        <v>67829.5</v>
      </c>
      <c r="AL301" t="str">
        <f t="shared" si="191"/>
        <v>A5</v>
      </c>
      <c r="AM301">
        <f t="shared" si="192"/>
        <v>67829.5</v>
      </c>
      <c r="AN301" s="6">
        <f t="shared" si="193"/>
        <v>1340</v>
      </c>
      <c r="AO301">
        <f t="shared" si="194"/>
        <v>68480</v>
      </c>
      <c r="AP301">
        <f t="shared" si="217"/>
        <v>67140</v>
      </c>
      <c r="AQ301" s="33">
        <f t="shared" si="195"/>
        <v>69150</v>
      </c>
      <c r="AR301" s="33">
        <f t="shared" si="196"/>
        <v>66470</v>
      </c>
      <c r="AS301">
        <f t="shared" si="197"/>
        <v>68145</v>
      </c>
      <c r="AT301" s="5">
        <f t="shared" si="198"/>
        <v>67475</v>
      </c>
      <c r="AU301" s="5">
        <f t="shared" si="199"/>
        <v>70490</v>
      </c>
      <c r="AV301" s="5">
        <f t="shared" si="200"/>
        <v>65130</v>
      </c>
      <c r="AW301" s="5">
        <f t="shared" si="201"/>
        <v>68033.333333333328</v>
      </c>
      <c r="AX301" s="5">
        <f t="shared" si="202"/>
        <v>67586.666666666672</v>
      </c>
      <c r="AY301" s="5">
        <f t="shared" si="203"/>
        <v>71830</v>
      </c>
      <c r="AZ301" s="5">
        <f t="shared" si="204"/>
        <v>63790</v>
      </c>
      <c r="BB301" s="32" t="str">
        <f t="shared" si="181"/>
        <v>26/06/2024</v>
      </c>
      <c r="BC301" s="33">
        <f t="shared" si="181"/>
        <v>66630</v>
      </c>
      <c r="BD301" s="4" t="str">
        <f t="shared" si="181"/>
        <v>A5</v>
      </c>
      <c r="BE301">
        <f t="shared" si="205"/>
        <v>68154.75</v>
      </c>
      <c r="BF301">
        <f t="shared" si="206"/>
        <v>67484.75</v>
      </c>
      <c r="BG301">
        <f t="shared" si="207"/>
        <v>68489.75</v>
      </c>
      <c r="BH301">
        <f t="shared" si="208"/>
        <v>67149.75</v>
      </c>
      <c r="BI301">
        <f t="shared" si="209"/>
        <v>67987.25</v>
      </c>
      <c r="BJ301">
        <f t="shared" si="210"/>
        <v>67652.25</v>
      </c>
      <c r="BK301">
        <f t="shared" si="211"/>
        <v>69159.75</v>
      </c>
      <c r="BL301" s="38">
        <f t="shared" si="212"/>
        <v>66479.75</v>
      </c>
      <c r="BM301">
        <f t="shared" si="213"/>
        <v>67931.416666666657</v>
      </c>
      <c r="BN301">
        <f t="shared" si="214"/>
        <v>67708.083333333343</v>
      </c>
      <c r="BO301">
        <f t="shared" si="215"/>
        <v>69829.75</v>
      </c>
      <c r="BP301">
        <f t="shared" si="216"/>
        <v>65809.75</v>
      </c>
      <c r="BQ301" s="7">
        <f>BL301</f>
        <v>66479.75</v>
      </c>
      <c r="BS301" s="30">
        <f t="shared" si="182"/>
        <v>66630</v>
      </c>
      <c r="BT301" s="4">
        <f t="shared" si="183"/>
        <v>66479.75</v>
      </c>
      <c r="BU301" s="37">
        <f t="shared" si="184"/>
        <v>150.25</v>
      </c>
      <c r="BV301">
        <f t="shared" si="185"/>
        <v>150.25</v>
      </c>
      <c r="BW301" s="35">
        <f t="shared" si="186"/>
        <v>2.2549902446345488E-3</v>
      </c>
    </row>
    <row r="302" spans="1:75">
      <c r="A302" s="1" t="s">
        <v>303</v>
      </c>
      <c r="B302" s="1">
        <v>68690</v>
      </c>
      <c r="Q302">
        <v>299</v>
      </c>
      <c r="R302" s="27" t="str">
        <f t="shared" si="177"/>
        <v>27/06/2024</v>
      </c>
      <c r="S302" s="27">
        <f t="shared" si="177"/>
        <v>69210</v>
      </c>
      <c r="T302" s="4" t="str">
        <f t="shared" si="178"/>
        <v>A5</v>
      </c>
      <c r="V302">
        <v>299</v>
      </c>
      <c r="W302" s="28" t="str">
        <f t="shared" si="176"/>
        <v>27/06/2024</v>
      </c>
      <c r="X302" s="28">
        <f t="shared" si="176"/>
        <v>69210</v>
      </c>
      <c r="Y302" s="28" t="str">
        <f t="shared" si="176"/>
        <v>A5</v>
      </c>
      <c r="Z302" s="5" t="str">
        <f t="shared" si="187"/>
        <v>A5</v>
      </c>
      <c r="AA302" s="5" t="str">
        <f t="shared" si="188"/>
        <v>A5</v>
      </c>
      <c r="AG302" s="29" t="str">
        <f t="shared" si="179"/>
        <v>27/06/2024</v>
      </c>
      <c r="AH302" s="30">
        <f t="shared" si="179"/>
        <v>69210</v>
      </c>
      <c r="AI302" s="4" t="str">
        <f t="shared" si="180"/>
        <v>A5</v>
      </c>
      <c r="AJ302" s="5" t="str">
        <f t="shared" si="189"/>
        <v>A5</v>
      </c>
      <c r="AK302">
        <f t="shared" si="190"/>
        <v>67829.5</v>
      </c>
      <c r="AL302" t="str">
        <f t="shared" si="191"/>
        <v>A5</v>
      </c>
      <c r="AM302">
        <f t="shared" si="192"/>
        <v>67829.5</v>
      </c>
      <c r="AN302" s="6">
        <f t="shared" si="193"/>
        <v>390</v>
      </c>
      <c r="AO302">
        <f t="shared" si="194"/>
        <v>66825</v>
      </c>
      <c r="AP302">
        <f t="shared" si="217"/>
        <v>66435</v>
      </c>
      <c r="AQ302" s="33">
        <f t="shared" si="195"/>
        <v>67020</v>
      </c>
      <c r="AR302" s="33">
        <f t="shared" si="196"/>
        <v>66240</v>
      </c>
      <c r="AS302">
        <f t="shared" si="197"/>
        <v>66727.5</v>
      </c>
      <c r="AT302" s="5">
        <f t="shared" si="198"/>
        <v>66532.5</v>
      </c>
      <c r="AU302" s="5">
        <f t="shared" si="199"/>
        <v>67410</v>
      </c>
      <c r="AV302" s="5">
        <f t="shared" si="200"/>
        <v>65850</v>
      </c>
      <c r="AW302" s="5">
        <f t="shared" si="201"/>
        <v>66695</v>
      </c>
      <c r="AX302" s="5">
        <f t="shared" si="202"/>
        <v>66565</v>
      </c>
      <c r="AY302" s="5">
        <f t="shared" si="203"/>
        <v>67800</v>
      </c>
      <c r="AZ302" s="5">
        <f t="shared" si="204"/>
        <v>65460</v>
      </c>
      <c r="BB302" s="32" t="str">
        <f t="shared" si="181"/>
        <v>27/06/2024</v>
      </c>
      <c r="BC302" s="33">
        <f t="shared" si="181"/>
        <v>69210</v>
      </c>
      <c r="BD302" s="4" t="str">
        <f t="shared" si="181"/>
        <v>A5</v>
      </c>
      <c r="BE302">
        <f t="shared" si="205"/>
        <v>67327.25</v>
      </c>
      <c r="BF302">
        <f t="shared" si="206"/>
        <v>67132.25</v>
      </c>
      <c r="BG302">
        <f t="shared" si="207"/>
        <v>67424.75</v>
      </c>
      <c r="BH302">
        <f t="shared" si="208"/>
        <v>67034.75</v>
      </c>
      <c r="BI302">
        <f t="shared" si="209"/>
        <v>67278.5</v>
      </c>
      <c r="BJ302">
        <f t="shared" si="210"/>
        <v>67181</v>
      </c>
      <c r="BK302">
        <f t="shared" si="211"/>
        <v>67619.75</v>
      </c>
      <c r="BL302">
        <f t="shared" si="212"/>
        <v>66839.75</v>
      </c>
      <c r="BM302">
        <f t="shared" si="213"/>
        <v>67262.25</v>
      </c>
      <c r="BN302">
        <f t="shared" si="214"/>
        <v>67197.25</v>
      </c>
      <c r="BO302" s="38">
        <f t="shared" si="215"/>
        <v>67814.75</v>
      </c>
      <c r="BP302">
        <f t="shared" si="216"/>
        <v>66644.75</v>
      </c>
      <c r="BQ302" s="7">
        <f>BO302</f>
        <v>67814.75</v>
      </c>
      <c r="BS302" s="30">
        <f t="shared" si="182"/>
        <v>69210</v>
      </c>
      <c r="BT302" s="4">
        <f t="shared" si="183"/>
        <v>67814.75</v>
      </c>
      <c r="BU302" s="37">
        <f t="shared" si="184"/>
        <v>1395.25</v>
      </c>
      <c r="BV302">
        <f t="shared" si="185"/>
        <v>1395.25</v>
      </c>
      <c r="BW302" s="35">
        <f t="shared" si="186"/>
        <v>2.0159659008813755E-2</v>
      </c>
    </row>
    <row r="303" spans="1:75">
      <c r="A303" s="1" t="s">
        <v>304</v>
      </c>
      <c r="B303" s="1">
        <v>69200</v>
      </c>
      <c r="Q303">
        <v>300</v>
      </c>
      <c r="R303" s="27" t="str">
        <f t="shared" si="177"/>
        <v>28/06/2024</v>
      </c>
      <c r="S303" s="27">
        <f t="shared" si="177"/>
        <v>71620</v>
      </c>
      <c r="T303" s="4" t="str">
        <f t="shared" si="178"/>
        <v>A6</v>
      </c>
      <c r="V303">
        <v>300</v>
      </c>
      <c r="W303" s="28" t="str">
        <f t="shared" si="176"/>
        <v>28/06/2024</v>
      </c>
      <c r="X303" s="28">
        <f t="shared" si="176"/>
        <v>71620</v>
      </c>
      <c r="Y303" s="28" t="str">
        <f t="shared" si="176"/>
        <v>A6</v>
      </c>
      <c r="Z303" s="5" t="str">
        <f t="shared" si="187"/>
        <v>A5</v>
      </c>
      <c r="AA303" s="5" t="str">
        <f t="shared" si="188"/>
        <v>A5</v>
      </c>
      <c r="AG303" s="29" t="str">
        <f t="shared" si="179"/>
        <v>28/06/2024</v>
      </c>
      <c r="AH303" s="30">
        <f t="shared" si="179"/>
        <v>71620</v>
      </c>
      <c r="AI303" s="4" t="str">
        <f t="shared" si="180"/>
        <v>A6</v>
      </c>
      <c r="AJ303" s="5" t="str">
        <f t="shared" si="189"/>
        <v>A5</v>
      </c>
      <c r="AK303">
        <f t="shared" si="190"/>
        <v>67829.5</v>
      </c>
      <c r="AL303" t="str">
        <f t="shared" si="191"/>
        <v>A5</v>
      </c>
      <c r="AM303">
        <f t="shared" si="192"/>
        <v>67829.5</v>
      </c>
      <c r="AN303" s="6">
        <f t="shared" si="193"/>
        <v>1400</v>
      </c>
      <c r="AO303">
        <f t="shared" si="194"/>
        <v>69910</v>
      </c>
      <c r="AP303">
        <f t="shared" si="217"/>
        <v>68510</v>
      </c>
      <c r="AQ303" s="33">
        <f t="shared" si="195"/>
        <v>70610</v>
      </c>
      <c r="AR303" s="33">
        <f t="shared" si="196"/>
        <v>67810</v>
      </c>
      <c r="AS303">
        <f t="shared" si="197"/>
        <v>69560</v>
      </c>
      <c r="AT303" s="5">
        <f t="shared" si="198"/>
        <v>68860</v>
      </c>
      <c r="AU303" s="5">
        <f t="shared" si="199"/>
        <v>72010</v>
      </c>
      <c r="AV303" s="5">
        <f t="shared" si="200"/>
        <v>66410</v>
      </c>
      <c r="AW303" s="5">
        <f t="shared" si="201"/>
        <v>69443.333333333328</v>
      </c>
      <c r="AX303" s="5">
        <f t="shared" si="202"/>
        <v>68976.666666666672</v>
      </c>
      <c r="AY303" s="5">
        <f t="shared" si="203"/>
        <v>73410</v>
      </c>
      <c r="AZ303" s="5">
        <f t="shared" si="204"/>
        <v>65010</v>
      </c>
      <c r="BB303" s="32" t="str">
        <f t="shared" si="181"/>
        <v>28/06/2024</v>
      </c>
      <c r="BC303" s="33">
        <f t="shared" si="181"/>
        <v>71620</v>
      </c>
      <c r="BD303" s="4" t="str">
        <f t="shared" si="181"/>
        <v>A6</v>
      </c>
      <c r="BE303">
        <f t="shared" si="205"/>
        <v>68869.75</v>
      </c>
      <c r="BF303">
        <f t="shared" si="206"/>
        <v>68169.75</v>
      </c>
      <c r="BG303">
        <f t="shared" si="207"/>
        <v>69219.75</v>
      </c>
      <c r="BH303">
        <f t="shared" si="208"/>
        <v>67819.75</v>
      </c>
      <c r="BI303">
        <f t="shared" si="209"/>
        <v>68694.75</v>
      </c>
      <c r="BJ303">
        <f t="shared" si="210"/>
        <v>68344.75</v>
      </c>
      <c r="BK303">
        <f t="shared" si="211"/>
        <v>69919.75</v>
      </c>
      <c r="BL303">
        <f t="shared" si="212"/>
        <v>67119.75</v>
      </c>
      <c r="BM303">
        <f t="shared" si="213"/>
        <v>68636.416666666657</v>
      </c>
      <c r="BN303">
        <f t="shared" si="214"/>
        <v>68403.083333333343</v>
      </c>
      <c r="BO303" s="38">
        <f t="shared" si="215"/>
        <v>70619.75</v>
      </c>
      <c r="BP303">
        <f t="shared" si="216"/>
        <v>66419.75</v>
      </c>
      <c r="BQ303" s="7">
        <f>BO303</f>
        <v>70619.75</v>
      </c>
      <c r="BS303" s="30">
        <f t="shared" si="182"/>
        <v>71620</v>
      </c>
      <c r="BT303" s="4">
        <f t="shared" si="183"/>
        <v>70619.75</v>
      </c>
      <c r="BU303" s="37">
        <f t="shared" si="184"/>
        <v>1000.25</v>
      </c>
      <c r="BV303">
        <f t="shared" si="185"/>
        <v>1000.25</v>
      </c>
      <c r="BW303" s="35">
        <f t="shared" si="186"/>
        <v>1.3966070929907847E-2</v>
      </c>
    </row>
    <row r="304" spans="1:75">
      <c r="A304" s="1" t="s">
        <v>305</v>
      </c>
      <c r="B304" s="1">
        <v>71040</v>
      </c>
      <c r="Q304">
        <v>301</v>
      </c>
      <c r="R304" s="27" t="str">
        <f t="shared" si="177"/>
        <v>29/06/2024</v>
      </c>
      <c r="S304" s="27">
        <f t="shared" si="177"/>
        <v>68690</v>
      </c>
      <c r="T304" s="4" t="str">
        <f t="shared" si="178"/>
        <v>A5</v>
      </c>
      <c r="V304">
        <v>301</v>
      </c>
      <c r="W304" s="28" t="str">
        <f t="shared" si="176"/>
        <v>29/06/2024</v>
      </c>
      <c r="X304" s="28">
        <f t="shared" si="176"/>
        <v>68690</v>
      </c>
      <c r="Y304" s="28" t="str">
        <f t="shared" si="176"/>
        <v>A5</v>
      </c>
      <c r="Z304" s="5" t="str">
        <f t="shared" si="187"/>
        <v>A5</v>
      </c>
      <c r="AA304" s="5" t="str">
        <f t="shared" si="188"/>
        <v>A6</v>
      </c>
      <c r="AG304" s="29" t="str">
        <f t="shared" si="179"/>
        <v>29/06/2024</v>
      </c>
      <c r="AH304" s="30">
        <f t="shared" si="179"/>
        <v>68690</v>
      </c>
      <c r="AI304" s="4" t="str">
        <f t="shared" si="180"/>
        <v>A5</v>
      </c>
      <c r="AJ304" s="5" t="str">
        <f t="shared" si="189"/>
        <v>A5</v>
      </c>
      <c r="AK304">
        <f t="shared" si="190"/>
        <v>67829.5</v>
      </c>
      <c r="AL304" t="str">
        <f t="shared" si="191"/>
        <v>A6</v>
      </c>
      <c r="AM304">
        <f t="shared" si="192"/>
        <v>73860.5</v>
      </c>
      <c r="AN304" s="6">
        <f t="shared" si="193"/>
        <v>170</v>
      </c>
      <c r="AO304">
        <f t="shared" si="194"/>
        <v>71705</v>
      </c>
      <c r="AP304">
        <f t="shared" si="217"/>
        <v>71535</v>
      </c>
      <c r="AQ304" s="33">
        <f t="shared" si="195"/>
        <v>71790</v>
      </c>
      <c r="AR304" s="33">
        <f t="shared" si="196"/>
        <v>71450</v>
      </c>
      <c r="AS304">
        <f t="shared" si="197"/>
        <v>71662.5</v>
      </c>
      <c r="AT304" s="5">
        <f t="shared" si="198"/>
        <v>71577.5</v>
      </c>
      <c r="AU304" s="5">
        <f t="shared" si="199"/>
        <v>71960</v>
      </c>
      <c r="AV304" s="5">
        <f t="shared" si="200"/>
        <v>71280</v>
      </c>
      <c r="AW304" s="5">
        <f t="shared" si="201"/>
        <v>71648.333333333328</v>
      </c>
      <c r="AX304" s="5">
        <f t="shared" si="202"/>
        <v>71591.666666666672</v>
      </c>
      <c r="AY304" s="5">
        <f t="shared" si="203"/>
        <v>72130</v>
      </c>
      <c r="AZ304" s="5">
        <f t="shared" si="204"/>
        <v>71110</v>
      </c>
      <c r="BB304" s="32" t="str">
        <f t="shared" si="181"/>
        <v>29/06/2024</v>
      </c>
      <c r="BC304" s="33">
        <f t="shared" si="181"/>
        <v>68690</v>
      </c>
      <c r="BD304" s="4" t="str">
        <f t="shared" si="181"/>
        <v>A5</v>
      </c>
      <c r="BE304">
        <f t="shared" si="205"/>
        <v>72782.75</v>
      </c>
      <c r="BF304">
        <f t="shared" si="206"/>
        <v>72697.75</v>
      </c>
      <c r="BG304">
        <f t="shared" si="207"/>
        <v>72825.25</v>
      </c>
      <c r="BH304">
        <f t="shared" si="208"/>
        <v>72655.25</v>
      </c>
      <c r="BI304">
        <f t="shared" si="209"/>
        <v>72761.5</v>
      </c>
      <c r="BJ304">
        <f t="shared" si="210"/>
        <v>72719</v>
      </c>
      <c r="BK304">
        <f t="shared" si="211"/>
        <v>72910.25</v>
      </c>
      <c r="BL304">
        <f t="shared" si="212"/>
        <v>72570.25</v>
      </c>
      <c r="BM304">
        <f t="shared" si="213"/>
        <v>72754.416666666657</v>
      </c>
      <c r="BN304">
        <f t="shared" si="214"/>
        <v>72726.083333333343</v>
      </c>
      <c r="BO304">
        <f t="shared" si="215"/>
        <v>72995.25</v>
      </c>
      <c r="BP304" s="38">
        <f t="shared" si="216"/>
        <v>72485.25</v>
      </c>
      <c r="BQ304" s="7">
        <f>BP304</f>
        <v>72485.25</v>
      </c>
      <c r="BS304" s="30">
        <f t="shared" si="182"/>
        <v>68690</v>
      </c>
      <c r="BT304" s="4">
        <f t="shared" si="183"/>
        <v>72485.25</v>
      </c>
      <c r="BU304" s="37">
        <f t="shared" si="184"/>
        <v>-3795.25</v>
      </c>
      <c r="BV304">
        <f t="shared" si="185"/>
        <v>3795.25</v>
      </c>
      <c r="BW304" s="35">
        <f t="shared" si="186"/>
        <v>5.5251856165380697E-2</v>
      </c>
    </row>
    <row r="305" spans="1:75">
      <c r="A305" s="1" t="s">
        <v>306</v>
      </c>
      <c r="B305" s="1">
        <v>71100</v>
      </c>
      <c r="Q305">
        <v>302</v>
      </c>
      <c r="R305" s="27" t="str">
        <f t="shared" si="177"/>
        <v>30/06/2024</v>
      </c>
      <c r="S305" s="27">
        <f t="shared" si="177"/>
        <v>69200</v>
      </c>
      <c r="T305" s="4" t="str">
        <f t="shared" si="178"/>
        <v>A5</v>
      </c>
      <c r="V305">
        <v>302</v>
      </c>
      <c r="W305" s="28" t="str">
        <f t="shared" si="176"/>
        <v>30/06/2024</v>
      </c>
      <c r="X305" s="28">
        <f t="shared" si="176"/>
        <v>69200</v>
      </c>
      <c r="Y305" s="28" t="str">
        <f t="shared" si="176"/>
        <v>A5</v>
      </c>
      <c r="Z305" s="5" t="str">
        <f t="shared" si="187"/>
        <v>A6</v>
      </c>
      <c r="AA305" s="5" t="str">
        <f t="shared" si="188"/>
        <v>A5</v>
      </c>
      <c r="AG305" s="29" t="str">
        <f t="shared" si="179"/>
        <v>30/06/2024</v>
      </c>
      <c r="AH305" s="30">
        <f t="shared" si="179"/>
        <v>69200</v>
      </c>
      <c r="AI305" s="4" t="str">
        <f t="shared" si="180"/>
        <v>A5</v>
      </c>
      <c r="AJ305" s="5" t="str">
        <f t="shared" si="189"/>
        <v>A6</v>
      </c>
      <c r="AK305">
        <f t="shared" si="190"/>
        <v>73860.5</v>
      </c>
      <c r="AL305" t="str">
        <f t="shared" si="191"/>
        <v>A5</v>
      </c>
      <c r="AM305">
        <f t="shared" si="192"/>
        <v>67829.5</v>
      </c>
      <c r="AN305" s="6">
        <f t="shared" si="193"/>
        <v>520</v>
      </c>
      <c r="AO305">
        <f t="shared" si="194"/>
        <v>68950</v>
      </c>
      <c r="AP305">
        <f t="shared" si="217"/>
        <v>68430</v>
      </c>
      <c r="AQ305" s="33">
        <f t="shared" si="195"/>
        <v>69210</v>
      </c>
      <c r="AR305" s="33">
        <f t="shared" si="196"/>
        <v>68170</v>
      </c>
      <c r="AS305">
        <f t="shared" si="197"/>
        <v>68820</v>
      </c>
      <c r="AT305" s="5">
        <f t="shared" si="198"/>
        <v>68560</v>
      </c>
      <c r="AU305" s="5">
        <f t="shared" si="199"/>
        <v>69730</v>
      </c>
      <c r="AV305" s="5">
        <f t="shared" si="200"/>
        <v>67650</v>
      </c>
      <c r="AW305" s="5">
        <f t="shared" si="201"/>
        <v>68776.666666666672</v>
      </c>
      <c r="AX305" s="5">
        <f t="shared" si="202"/>
        <v>68603.333333333328</v>
      </c>
      <c r="AY305" s="5">
        <f t="shared" si="203"/>
        <v>70250</v>
      </c>
      <c r="AZ305" s="5">
        <f t="shared" si="204"/>
        <v>67130</v>
      </c>
      <c r="BB305" s="32" t="str">
        <f t="shared" si="181"/>
        <v>30/06/2024</v>
      </c>
      <c r="BC305" s="33">
        <f t="shared" si="181"/>
        <v>69200</v>
      </c>
      <c r="BD305" s="4" t="str">
        <f t="shared" si="181"/>
        <v>A5</v>
      </c>
      <c r="BE305">
        <f t="shared" si="205"/>
        <v>68389.75</v>
      </c>
      <c r="BF305">
        <f t="shared" si="206"/>
        <v>68129.75</v>
      </c>
      <c r="BG305">
        <f t="shared" si="207"/>
        <v>68519.75</v>
      </c>
      <c r="BH305">
        <f t="shared" si="208"/>
        <v>67999.75</v>
      </c>
      <c r="BI305">
        <f t="shared" si="209"/>
        <v>68324.75</v>
      </c>
      <c r="BJ305">
        <f t="shared" si="210"/>
        <v>68194.75</v>
      </c>
      <c r="BK305">
        <f t="shared" si="211"/>
        <v>68779.75</v>
      </c>
      <c r="BL305">
        <f t="shared" si="212"/>
        <v>67739.75</v>
      </c>
      <c r="BM305">
        <f t="shared" si="213"/>
        <v>68303.083333333343</v>
      </c>
      <c r="BN305">
        <f t="shared" si="214"/>
        <v>68216.416666666657</v>
      </c>
      <c r="BO305" s="38">
        <f t="shared" si="215"/>
        <v>69039.75</v>
      </c>
      <c r="BP305">
        <f t="shared" si="216"/>
        <v>67479.75</v>
      </c>
      <c r="BQ305" s="7">
        <f>BO305</f>
        <v>69039.75</v>
      </c>
      <c r="BS305" s="30">
        <f t="shared" si="182"/>
        <v>69200</v>
      </c>
      <c r="BT305" s="4">
        <f t="shared" si="183"/>
        <v>69039.75</v>
      </c>
      <c r="BU305" s="37">
        <f t="shared" si="184"/>
        <v>160.25</v>
      </c>
      <c r="BV305">
        <f t="shared" si="185"/>
        <v>160.25</v>
      </c>
      <c r="BW305" s="35">
        <f t="shared" si="186"/>
        <v>2.3157514450867053E-3</v>
      </c>
    </row>
    <row r="306" spans="1:75">
      <c r="A306" s="1" t="s">
        <v>307</v>
      </c>
      <c r="B306" s="1">
        <v>71480</v>
      </c>
      <c r="Q306">
        <v>303</v>
      </c>
      <c r="R306" s="27" t="str">
        <f t="shared" si="177"/>
        <v>01/07/2024</v>
      </c>
      <c r="S306" s="27">
        <f t="shared" si="177"/>
        <v>71040</v>
      </c>
      <c r="T306" s="4" t="str">
        <f t="shared" si="178"/>
        <v>A6</v>
      </c>
      <c r="V306">
        <v>303</v>
      </c>
      <c r="W306" s="28" t="str">
        <f t="shared" si="176"/>
        <v>01/07/2024</v>
      </c>
      <c r="X306" s="28">
        <f t="shared" si="176"/>
        <v>71040</v>
      </c>
      <c r="Y306" s="28" t="str">
        <f t="shared" si="176"/>
        <v>A6</v>
      </c>
      <c r="Z306" s="5" t="str">
        <f t="shared" si="187"/>
        <v>A5</v>
      </c>
      <c r="AA306" s="5" t="str">
        <f t="shared" si="188"/>
        <v>A5</v>
      </c>
      <c r="AG306" s="29" t="str">
        <f t="shared" si="179"/>
        <v>01/07/2024</v>
      </c>
      <c r="AH306" s="30">
        <f t="shared" si="179"/>
        <v>71040</v>
      </c>
      <c r="AI306" s="4" t="str">
        <f t="shared" si="180"/>
        <v>A6</v>
      </c>
      <c r="AJ306" s="5" t="str">
        <f t="shared" si="189"/>
        <v>A5</v>
      </c>
      <c r="AK306">
        <f t="shared" si="190"/>
        <v>67829.5</v>
      </c>
      <c r="AL306" t="str">
        <f t="shared" si="191"/>
        <v>A5</v>
      </c>
      <c r="AM306">
        <f t="shared" si="192"/>
        <v>67829.5</v>
      </c>
      <c r="AN306" s="6">
        <f t="shared" si="193"/>
        <v>2420</v>
      </c>
      <c r="AO306">
        <f t="shared" si="194"/>
        <v>70410</v>
      </c>
      <c r="AP306">
        <f t="shared" si="217"/>
        <v>67990</v>
      </c>
      <c r="AQ306" s="33">
        <f t="shared" si="195"/>
        <v>71620</v>
      </c>
      <c r="AR306" s="33">
        <f t="shared" si="196"/>
        <v>66780</v>
      </c>
      <c r="AS306">
        <f t="shared" si="197"/>
        <v>69805</v>
      </c>
      <c r="AT306" s="5">
        <f t="shared" si="198"/>
        <v>68595</v>
      </c>
      <c r="AU306" s="5">
        <f t="shared" si="199"/>
        <v>74040</v>
      </c>
      <c r="AV306" s="5">
        <f t="shared" si="200"/>
        <v>64360</v>
      </c>
      <c r="AW306" s="5">
        <f t="shared" si="201"/>
        <v>69603.333333333328</v>
      </c>
      <c r="AX306" s="5">
        <f t="shared" si="202"/>
        <v>68796.666666666672</v>
      </c>
      <c r="AY306" s="5">
        <f t="shared" si="203"/>
        <v>76460</v>
      </c>
      <c r="AZ306" s="5">
        <f t="shared" si="204"/>
        <v>61940</v>
      </c>
      <c r="BB306" s="32" t="str">
        <f t="shared" si="181"/>
        <v>01/07/2024</v>
      </c>
      <c r="BC306" s="33">
        <f t="shared" si="181"/>
        <v>71040</v>
      </c>
      <c r="BD306" s="4" t="str">
        <f t="shared" si="181"/>
        <v>A6</v>
      </c>
      <c r="BE306">
        <f t="shared" si="205"/>
        <v>69119.75</v>
      </c>
      <c r="BF306">
        <f t="shared" si="206"/>
        <v>67909.75</v>
      </c>
      <c r="BG306">
        <f t="shared" si="207"/>
        <v>69724.75</v>
      </c>
      <c r="BH306">
        <f t="shared" si="208"/>
        <v>67304.75</v>
      </c>
      <c r="BI306">
        <f t="shared" si="209"/>
        <v>68817.25</v>
      </c>
      <c r="BJ306">
        <f t="shared" si="210"/>
        <v>68212.25</v>
      </c>
      <c r="BK306" s="38">
        <f t="shared" si="211"/>
        <v>70934.75</v>
      </c>
      <c r="BL306">
        <f t="shared" si="212"/>
        <v>66094.75</v>
      </c>
      <c r="BM306">
        <f t="shared" si="213"/>
        <v>68716.416666666657</v>
      </c>
      <c r="BN306">
        <f t="shared" si="214"/>
        <v>68313.083333333343</v>
      </c>
      <c r="BO306">
        <f t="shared" si="215"/>
        <v>72144.75</v>
      </c>
      <c r="BP306">
        <f t="shared" si="216"/>
        <v>64884.75</v>
      </c>
      <c r="BQ306" s="7">
        <f>BK306</f>
        <v>70934.75</v>
      </c>
      <c r="BS306" s="30">
        <f t="shared" si="182"/>
        <v>71040</v>
      </c>
      <c r="BT306" s="4">
        <f t="shared" si="183"/>
        <v>70934.75</v>
      </c>
      <c r="BU306" s="37">
        <f t="shared" si="184"/>
        <v>105.25</v>
      </c>
      <c r="BV306">
        <f t="shared" si="185"/>
        <v>105.25</v>
      </c>
      <c r="BW306" s="35">
        <f t="shared" si="186"/>
        <v>1.4815596846846847E-3</v>
      </c>
    </row>
    <row r="307" spans="1:75">
      <c r="A307" s="1" t="s">
        <v>308</v>
      </c>
      <c r="B307" s="1">
        <v>71970</v>
      </c>
      <c r="Q307">
        <v>304</v>
      </c>
      <c r="R307" s="27" t="str">
        <f t="shared" si="177"/>
        <v>02/07/2024</v>
      </c>
      <c r="S307" s="27">
        <f t="shared" si="177"/>
        <v>71100</v>
      </c>
      <c r="T307" s="4" t="str">
        <f t="shared" si="178"/>
        <v>A6</v>
      </c>
      <c r="V307">
        <v>304</v>
      </c>
      <c r="W307" s="28" t="str">
        <f t="shared" si="176"/>
        <v>02/07/2024</v>
      </c>
      <c r="X307" s="28">
        <f t="shared" si="176"/>
        <v>71100</v>
      </c>
      <c r="Y307" s="28" t="str">
        <f t="shared" si="176"/>
        <v>A6</v>
      </c>
      <c r="Z307" s="5" t="str">
        <f t="shared" si="187"/>
        <v>A5</v>
      </c>
      <c r="AA307" s="5" t="str">
        <f t="shared" si="188"/>
        <v>A6</v>
      </c>
      <c r="AG307" s="29" t="str">
        <f t="shared" si="179"/>
        <v>02/07/2024</v>
      </c>
      <c r="AH307" s="30">
        <f t="shared" si="179"/>
        <v>71100</v>
      </c>
      <c r="AI307" s="4" t="str">
        <f t="shared" si="180"/>
        <v>A6</v>
      </c>
      <c r="AJ307" s="5" t="str">
        <f t="shared" si="189"/>
        <v>A5</v>
      </c>
      <c r="AK307">
        <f t="shared" si="190"/>
        <v>67829.5</v>
      </c>
      <c r="AL307" t="str">
        <f t="shared" si="191"/>
        <v>A6</v>
      </c>
      <c r="AM307">
        <f t="shared" si="192"/>
        <v>73860.5</v>
      </c>
      <c r="AN307" s="6">
        <f t="shared" si="193"/>
        <v>1330</v>
      </c>
      <c r="AO307">
        <f t="shared" si="194"/>
        <v>71705</v>
      </c>
      <c r="AP307">
        <f t="shared" si="217"/>
        <v>70375</v>
      </c>
      <c r="AQ307" s="33">
        <f t="shared" si="195"/>
        <v>72370</v>
      </c>
      <c r="AR307" s="33">
        <f t="shared" si="196"/>
        <v>69710</v>
      </c>
      <c r="AS307">
        <f t="shared" si="197"/>
        <v>71372.5</v>
      </c>
      <c r="AT307" s="5">
        <f t="shared" si="198"/>
        <v>70707.5</v>
      </c>
      <c r="AU307" s="5">
        <f t="shared" si="199"/>
        <v>73700</v>
      </c>
      <c r="AV307" s="5">
        <f t="shared" si="200"/>
        <v>68380</v>
      </c>
      <c r="AW307" s="5">
        <f t="shared" si="201"/>
        <v>71261.666666666672</v>
      </c>
      <c r="AX307" s="5">
        <f t="shared" si="202"/>
        <v>70818.333333333328</v>
      </c>
      <c r="AY307" s="5">
        <f t="shared" si="203"/>
        <v>75030</v>
      </c>
      <c r="AZ307" s="5">
        <f t="shared" si="204"/>
        <v>67050</v>
      </c>
      <c r="BB307" s="32" t="str">
        <f t="shared" si="181"/>
        <v>02/07/2024</v>
      </c>
      <c r="BC307" s="33">
        <f t="shared" si="181"/>
        <v>71100</v>
      </c>
      <c r="BD307" s="4" t="str">
        <f t="shared" si="181"/>
        <v>A6</v>
      </c>
      <c r="BE307">
        <f t="shared" si="205"/>
        <v>72782.75</v>
      </c>
      <c r="BF307">
        <f t="shared" si="206"/>
        <v>72117.75</v>
      </c>
      <c r="BG307">
        <f t="shared" si="207"/>
        <v>73115.25</v>
      </c>
      <c r="BH307">
        <f t="shared" si="208"/>
        <v>71785.25</v>
      </c>
      <c r="BI307">
        <f t="shared" si="209"/>
        <v>72616.5</v>
      </c>
      <c r="BJ307">
        <f t="shared" si="210"/>
        <v>72284</v>
      </c>
      <c r="BK307">
        <f t="shared" si="211"/>
        <v>73780.25</v>
      </c>
      <c r="BL307" s="38">
        <f t="shared" si="212"/>
        <v>71120.25</v>
      </c>
      <c r="BM307">
        <f t="shared" si="213"/>
        <v>72561.083333333343</v>
      </c>
      <c r="BN307">
        <f t="shared" si="214"/>
        <v>72339.416666666657</v>
      </c>
      <c r="BO307">
        <f t="shared" si="215"/>
        <v>74445.25</v>
      </c>
      <c r="BP307">
        <f t="shared" si="216"/>
        <v>70455.25</v>
      </c>
      <c r="BQ307" s="7">
        <f>BL307</f>
        <v>71120.25</v>
      </c>
      <c r="BS307" s="30">
        <f t="shared" si="182"/>
        <v>71100</v>
      </c>
      <c r="BT307" s="4">
        <f t="shared" si="183"/>
        <v>71120.25</v>
      </c>
      <c r="BU307" s="37">
        <f t="shared" si="184"/>
        <v>-20.25</v>
      </c>
      <c r="BV307">
        <f t="shared" si="185"/>
        <v>20.25</v>
      </c>
      <c r="BW307" s="35">
        <f t="shared" si="186"/>
        <v>2.8481012658227849E-4</v>
      </c>
    </row>
    <row r="308" spans="1:75">
      <c r="A308" s="1" t="s">
        <v>309</v>
      </c>
      <c r="B308" s="1">
        <v>73440</v>
      </c>
      <c r="Q308">
        <v>305</v>
      </c>
      <c r="R308" s="27" t="str">
        <f t="shared" si="177"/>
        <v>03/07/2024</v>
      </c>
      <c r="S308" s="27">
        <f t="shared" si="177"/>
        <v>71480</v>
      </c>
      <c r="T308" s="4" t="str">
        <f t="shared" si="178"/>
        <v>A6</v>
      </c>
      <c r="V308">
        <v>305</v>
      </c>
      <c r="W308" s="28" t="str">
        <f t="shared" si="176"/>
        <v>03/07/2024</v>
      </c>
      <c r="X308" s="28">
        <f t="shared" si="176"/>
        <v>71480</v>
      </c>
      <c r="Y308" s="28" t="str">
        <f t="shared" si="176"/>
        <v>A6</v>
      </c>
      <c r="Z308" s="5" t="str">
        <f t="shared" si="187"/>
        <v>A6</v>
      </c>
      <c r="AA308" s="5" t="str">
        <f t="shared" si="188"/>
        <v>A6</v>
      </c>
      <c r="AG308" s="29" t="str">
        <f t="shared" si="179"/>
        <v>03/07/2024</v>
      </c>
      <c r="AH308" s="30">
        <f t="shared" si="179"/>
        <v>71480</v>
      </c>
      <c r="AI308" s="4" t="str">
        <f t="shared" si="180"/>
        <v>A6</v>
      </c>
      <c r="AJ308" s="5" t="str">
        <f t="shared" si="189"/>
        <v>A6</v>
      </c>
      <c r="AK308">
        <f t="shared" si="190"/>
        <v>73860.5</v>
      </c>
      <c r="AL308" t="str">
        <f t="shared" si="191"/>
        <v>A6</v>
      </c>
      <c r="AM308">
        <f t="shared" si="192"/>
        <v>73860.5</v>
      </c>
      <c r="AN308" s="6">
        <f t="shared" si="193"/>
        <v>1780</v>
      </c>
      <c r="AO308">
        <f t="shared" si="194"/>
        <v>71990</v>
      </c>
      <c r="AP308">
        <f t="shared" si="217"/>
        <v>70210</v>
      </c>
      <c r="AQ308" s="33">
        <f t="shared" si="195"/>
        <v>72880</v>
      </c>
      <c r="AR308" s="33">
        <f t="shared" si="196"/>
        <v>69320</v>
      </c>
      <c r="AS308">
        <f t="shared" si="197"/>
        <v>71545</v>
      </c>
      <c r="AT308" s="5">
        <f t="shared" si="198"/>
        <v>70655</v>
      </c>
      <c r="AU308" s="5">
        <f t="shared" si="199"/>
        <v>74660</v>
      </c>
      <c r="AV308" s="5">
        <f t="shared" si="200"/>
        <v>67540</v>
      </c>
      <c r="AW308" s="5">
        <f t="shared" si="201"/>
        <v>71396.666666666672</v>
      </c>
      <c r="AX308" s="5">
        <f t="shared" si="202"/>
        <v>70803.333333333328</v>
      </c>
      <c r="AY308" s="5">
        <f t="shared" si="203"/>
        <v>76440</v>
      </c>
      <c r="AZ308" s="5">
        <f t="shared" si="204"/>
        <v>65760</v>
      </c>
      <c r="BB308" s="32" t="str">
        <f t="shared" si="181"/>
        <v>03/07/2024</v>
      </c>
      <c r="BC308" s="33">
        <f t="shared" si="181"/>
        <v>71480</v>
      </c>
      <c r="BD308" s="4" t="str">
        <f t="shared" si="181"/>
        <v>A6</v>
      </c>
      <c r="BE308">
        <f t="shared" si="205"/>
        <v>72925.25</v>
      </c>
      <c r="BF308">
        <f t="shared" si="206"/>
        <v>72035.25</v>
      </c>
      <c r="BG308">
        <f t="shared" si="207"/>
        <v>73370.25</v>
      </c>
      <c r="BH308" s="38">
        <f t="shared" si="208"/>
        <v>71590.25</v>
      </c>
      <c r="BI308">
        <f t="shared" si="209"/>
        <v>72702.75</v>
      </c>
      <c r="BJ308">
        <f t="shared" si="210"/>
        <v>72257.75</v>
      </c>
      <c r="BK308">
        <f t="shared" si="211"/>
        <v>74260.25</v>
      </c>
      <c r="BL308">
        <f t="shared" si="212"/>
        <v>70700.25</v>
      </c>
      <c r="BM308">
        <f t="shared" si="213"/>
        <v>72628.583333333343</v>
      </c>
      <c r="BN308">
        <f t="shared" si="214"/>
        <v>72331.916666666657</v>
      </c>
      <c r="BO308">
        <f t="shared" si="215"/>
        <v>75150.25</v>
      </c>
      <c r="BP308">
        <f t="shared" si="216"/>
        <v>69810.25</v>
      </c>
      <c r="BQ308" s="7">
        <f>BH308</f>
        <v>71590.25</v>
      </c>
      <c r="BS308" s="30">
        <f t="shared" si="182"/>
        <v>71480</v>
      </c>
      <c r="BT308" s="4">
        <f t="shared" si="183"/>
        <v>71590.25</v>
      </c>
      <c r="BU308" s="37">
        <f t="shared" si="184"/>
        <v>-110.25</v>
      </c>
      <c r="BV308">
        <f t="shared" si="185"/>
        <v>110.25</v>
      </c>
      <c r="BW308" s="35">
        <f t="shared" si="186"/>
        <v>1.5423894795747062E-3</v>
      </c>
    </row>
    <row r="309" spans="1:75">
      <c r="A309" s="1" t="s">
        <v>310</v>
      </c>
      <c r="B309" s="1">
        <v>73410</v>
      </c>
      <c r="Q309">
        <v>306</v>
      </c>
      <c r="R309" s="27" t="str">
        <f t="shared" si="177"/>
        <v>04/07/2024</v>
      </c>
      <c r="S309" s="27">
        <f t="shared" si="177"/>
        <v>71970</v>
      </c>
      <c r="T309" s="4" t="str">
        <f t="shared" si="178"/>
        <v>A6</v>
      </c>
      <c r="V309">
        <v>306</v>
      </c>
      <c r="W309" s="28" t="str">
        <f t="shared" si="176"/>
        <v>04/07/2024</v>
      </c>
      <c r="X309" s="28">
        <f t="shared" si="176"/>
        <v>71970</v>
      </c>
      <c r="Y309" s="28" t="str">
        <f t="shared" si="176"/>
        <v>A6</v>
      </c>
      <c r="Z309" s="5" t="str">
        <f t="shared" si="187"/>
        <v>A6</v>
      </c>
      <c r="AA309" s="5" t="str">
        <f t="shared" si="188"/>
        <v>A6</v>
      </c>
      <c r="AG309" s="29" t="str">
        <f t="shared" si="179"/>
        <v>04/07/2024</v>
      </c>
      <c r="AH309" s="30">
        <f t="shared" si="179"/>
        <v>71970</v>
      </c>
      <c r="AI309" s="4" t="str">
        <f t="shared" si="180"/>
        <v>A6</v>
      </c>
      <c r="AJ309" s="5" t="str">
        <f t="shared" si="189"/>
        <v>A6</v>
      </c>
      <c r="AK309">
        <f t="shared" si="190"/>
        <v>73860.5</v>
      </c>
      <c r="AL309" t="str">
        <f t="shared" si="191"/>
        <v>A6</v>
      </c>
      <c r="AM309">
        <f t="shared" si="192"/>
        <v>73860.5</v>
      </c>
      <c r="AN309" s="6">
        <f t="shared" si="193"/>
        <v>320</v>
      </c>
      <c r="AO309">
        <f t="shared" si="194"/>
        <v>71640</v>
      </c>
      <c r="AP309">
        <f t="shared" si="217"/>
        <v>71320</v>
      </c>
      <c r="AQ309" s="33">
        <f t="shared" si="195"/>
        <v>71800</v>
      </c>
      <c r="AR309" s="33">
        <f t="shared" si="196"/>
        <v>71160</v>
      </c>
      <c r="AS309">
        <f t="shared" si="197"/>
        <v>71560</v>
      </c>
      <c r="AT309" s="5">
        <f t="shared" si="198"/>
        <v>71400</v>
      </c>
      <c r="AU309" s="5">
        <f t="shared" si="199"/>
        <v>72120</v>
      </c>
      <c r="AV309" s="5">
        <f t="shared" si="200"/>
        <v>70840</v>
      </c>
      <c r="AW309" s="5">
        <f t="shared" si="201"/>
        <v>71533.333333333328</v>
      </c>
      <c r="AX309" s="5">
        <f t="shared" si="202"/>
        <v>71426.666666666672</v>
      </c>
      <c r="AY309" s="5">
        <f t="shared" si="203"/>
        <v>72440</v>
      </c>
      <c r="AZ309" s="5">
        <f t="shared" si="204"/>
        <v>70520</v>
      </c>
      <c r="BB309" s="32" t="str">
        <f t="shared" si="181"/>
        <v>04/07/2024</v>
      </c>
      <c r="BC309" s="33">
        <f t="shared" si="181"/>
        <v>71970</v>
      </c>
      <c r="BD309" s="4" t="str">
        <f t="shared" si="181"/>
        <v>A6</v>
      </c>
      <c r="BE309">
        <f t="shared" si="205"/>
        <v>72750.25</v>
      </c>
      <c r="BF309">
        <f t="shared" si="206"/>
        <v>72590.25</v>
      </c>
      <c r="BG309">
        <f t="shared" si="207"/>
        <v>72830.25</v>
      </c>
      <c r="BH309">
        <f t="shared" si="208"/>
        <v>72510.25</v>
      </c>
      <c r="BI309">
        <f t="shared" si="209"/>
        <v>72710.25</v>
      </c>
      <c r="BJ309">
        <f t="shared" si="210"/>
        <v>72630.25</v>
      </c>
      <c r="BK309">
        <f t="shared" si="211"/>
        <v>72990.25</v>
      </c>
      <c r="BL309">
        <f t="shared" si="212"/>
        <v>72350.25</v>
      </c>
      <c r="BM309">
        <f t="shared" si="213"/>
        <v>72696.916666666657</v>
      </c>
      <c r="BN309">
        <f t="shared" si="214"/>
        <v>72643.583333333343</v>
      </c>
      <c r="BO309">
        <f t="shared" si="215"/>
        <v>73150.25</v>
      </c>
      <c r="BP309" s="38">
        <f t="shared" si="216"/>
        <v>72190.25</v>
      </c>
      <c r="BQ309" s="7">
        <f>BP309</f>
        <v>72190.25</v>
      </c>
      <c r="BS309" s="30">
        <f t="shared" si="182"/>
        <v>71970</v>
      </c>
      <c r="BT309" s="4">
        <f t="shared" si="183"/>
        <v>72190.25</v>
      </c>
      <c r="BU309" s="37">
        <f t="shared" si="184"/>
        <v>-220.25</v>
      </c>
      <c r="BV309">
        <f t="shared" si="185"/>
        <v>220.25</v>
      </c>
      <c r="BW309" s="35">
        <f t="shared" si="186"/>
        <v>3.0603029039877726E-3</v>
      </c>
    </row>
    <row r="310" spans="1:75">
      <c r="A310" s="1" t="s">
        <v>311</v>
      </c>
      <c r="B310" s="1">
        <v>75010</v>
      </c>
      <c r="Q310">
        <v>307</v>
      </c>
      <c r="R310" s="27" t="str">
        <f t="shared" si="177"/>
        <v>05/07/2024</v>
      </c>
      <c r="S310" s="27">
        <f t="shared" si="177"/>
        <v>73440</v>
      </c>
      <c r="T310" s="4" t="str">
        <f t="shared" si="178"/>
        <v>A6</v>
      </c>
      <c r="V310">
        <v>307</v>
      </c>
      <c r="W310" s="28" t="str">
        <f t="shared" si="176"/>
        <v>05/07/2024</v>
      </c>
      <c r="X310" s="28">
        <f t="shared" si="176"/>
        <v>73440</v>
      </c>
      <c r="Y310" s="28" t="str">
        <f t="shared" si="176"/>
        <v>A6</v>
      </c>
      <c r="Z310" s="5" t="str">
        <f t="shared" si="187"/>
        <v>A6</v>
      </c>
      <c r="AA310" s="5" t="str">
        <f t="shared" si="188"/>
        <v>A6</v>
      </c>
      <c r="AG310" s="29" t="str">
        <f t="shared" si="179"/>
        <v>05/07/2024</v>
      </c>
      <c r="AH310" s="30">
        <f t="shared" si="179"/>
        <v>73440</v>
      </c>
      <c r="AI310" s="4" t="str">
        <f t="shared" si="180"/>
        <v>A6</v>
      </c>
      <c r="AJ310" s="5" t="str">
        <f t="shared" si="189"/>
        <v>A6</v>
      </c>
      <c r="AK310">
        <f t="shared" si="190"/>
        <v>73860.5</v>
      </c>
      <c r="AL310" t="str">
        <f t="shared" si="191"/>
        <v>A6</v>
      </c>
      <c r="AM310">
        <f t="shared" si="192"/>
        <v>73860.5</v>
      </c>
      <c r="AN310" s="6">
        <f t="shared" si="193"/>
        <v>110</v>
      </c>
      <c r="AO310">
        <f t="shared" si="194"/>
        <v>72025</v>
      </c>
      <c r="AP310">
        <f t="shared" si="217"/>
        <v>71915</v>
      </c>
      <c r="AQ310" s="33">
        <f t="shared" si="195"/>
        <v>72080</v>
      </c>
      <c r="AR310" s="33">
        <f t="shared" si="196"/>
        <v>71860</v>
      </c>
      <c r="AS310">
        <f t="shared" si="197"/>
        <v>71997.5</v>
      </c>
      <c r="AT310" s="5">
        <f t="shared" si="198"/>
        <v>71942.5</v>
      </c>
      <c r="AU310" s="5">
        <f t="shared" si="199"/>
        <v>72190</v>
      </c>
      <c r="AV310" s="5">
        <f t="shared" si="200"/>
        <v>71750</v>
      </c>
      <c r="AW310" s="5">
        <f t="shared" si="201"/>
        <v>71988.333333333328</v>
      </c>
      <c r="AX310" s="5">
        <f t="shared" si="202"/>
        <v>71951.666666666672</v>
      </c>
      <c r="AY310" s="5">
        <f t="shared" si="203"/>
        <v>72300</v>
      </c>
      <c r="AZ310" s="5">
        <f t="shared" si="204"/>
        <v>71640</v>
      </c>
      <c r="BB310" s="32" t="str">
        <f t="shared" si="181"/>
        <v>05/07/2024</v>
      </c>
      <c r="BC310" s="33">
        <f t="shared" si="181"/>
        <v>73440</v>
      </c>
      <c r="BD310" s="4" t="str">
        <f t="shared" si="181"/>
        <v>A6</v>
      </c>
      <c r="BE310">
        <f t="shared" si="205"/>
        <v>72942.75</v>
      </c>
      <c r="BF310">
        <f t="shared" si="206"/>
        <v>72887.75</v>
      </c>
      <c r="BG310">
        <f t="shared" si="207"/>
        <v>72970.25</v>
      </c>
      <c r="BH310">
        <f t="shared" si="208"/>
        <v>72860.25</v>
      </c>
      <c r="BI310">
        <f t="shared" si="209"/>
        <v>72929</v>
      </c>
      <c r="BJ310">
        <f t="shared" si="210"/>
        <v>72901.5</v>
      </c>
      <c r="BK310">
        <f t="shared" si="211"/>
        <v>73025.25</v>
      </c>
      <c r="BL310">
        <f t="shared" si="212"/>
        <v>72805.25</v>
      </c>
      <c r="BM310">
        <f t="shared" si="213"/>
        <v>72924.416666666657</v>
      </c>
      <c r="BN310">
        <f t="shared" si="214"/>
        <v>72906.083333333343</v>
      </c>
      <c r="BO310" s="38">
        <f t="shared" si="215"/>
        <v>73080.25</v>
      </c>
      <c r="BP310">
        <f t="shared" si="216"/>
        <v>72750.25</v>
      </c>
      <c r="BQ310" s="7">
        <f>BO310</f>
        <v>73080.25</v>
      </c>
      <c r="BS310" s="30">
        <f t="shared" si="182"/>
        <v>73440</v>
      </c>
      <c r="BT310" s="4">
        <f t="shared" si="183"/>
        <v>73080.25</v>
      </c>
      <c r="BU310" s="37">
        <f t="shared" si="184"/>
        <v>359.75</v>
      </c>
      <c r="BV310">
        <f t="shared" si="185"/>
        <v>359.75</v>
      </c>
      <c r="BW310" s="35">
        <f t="shared" si="186"/>
        <v>4.8985566448801745E-3</v>
      </c>
    </row>
    <row r="311" spans="1:75">
      <c r="A311" s="1" t="s">
        <v>312</v>
      </c>
      <c r="B311" s="1">
        <v>77110</v>
      </c>
      <c r="Q311">
        <v>308</v>
      </c>
      <c r="R311" s="27" t="str">
        <f t="shared" si="177"/>
        <v>06/07/2024</v>
      </c>
      <c r="S311" s="27">
        <f t="shared" si="177"/>
        <v>73410</v>
      </c>
      <c r="T311" s="4" t="str">
        <f t="shared" si="178"/>
        <v>A6</v>
      </c>
      <c r="V311">
        <v>308</v>
      </c>
      <c r="W311" s="28" t="str">
        <f t="shared" si="176"/>
        <v>06/07/2024</v>
      </c>
      <c r="X311" s="28">
        <f t="shared" si="176"/>
        <v>73410</v>
      </c>
      <c r="Y311" s="28" t="str">
        <f t="shared" si="176"/>
        <v>A6</v>
      </c>
      <c r="Z311" s="5" t="str">
        <f t="shared" si="187"/>
        <v>A6</v>
      </c>
      <c r="AA311" s="5" t="str">
        <f t="shared" si="188"/>
        <v>A6</v>
      </c>
      <c r="AG311" s="29" t="str">
        <f t="shared" si="179"/>
        <v>06/07/2024</v>
      </c>
      <c r="AH311" s="30">
        <f t="shared" si="179"/>
        <v>73410</v>
      </c>
      <c r="AI311" s="4" t="str">
        <f t="shared" si="180"/>
        <v>A6</v>
      </c>
      <c r="AJ311" s="5" t="str">
        <f t="shared" si="189"/>
        <v>A6</v>
      </c>
      <c r="AK311">
        <f t="shared" si="190"/>
        <v>73860.5</v>
      </c>
      <c r="AL311" t="str">
        <f t="shared" si="191"/>
        <v>A6</v>
      </c>
      <c r="AM311">
        <f t="shared" si="192"/>
        <v>73860.5</v>
      </c>
      <c r="AN311" s="6">
        <f t="shared" si="193"/>
        <v>980</v>
      </c>
      <c r="AO311">
        <f t="shared" si="194"/>
        <v>73930</v>
      </c>
      <c r="AP311">
        <f t="shared" si="217"/>
        <v>72950</v>
      </c>
      <c r="AQ311" s="33">
        <f t="shared" si="195"/>
        <v>74420</v>
      </c>
      <c r="AR311" s="33">
        <f t="shared" si="196"/>
        <v>72460</v>
      </c>
      <c r="AS311">
        <f t="shared" si="197"/>
        <v>73685</v>
      </c>
      <c r="AT311" s="5">
        <f t="shared" si="198"/>
        <v>73195</v>
      </c>
      <c r="AU311" s="5">
        <f t="shared" si="199"/>
        <v>75400</v>
      </c>
      <c r="AV311" s="5">
        <f t="shared" si="200"/>
        <v>71480</v>
      </c>
      <c r="AW311" s="5">
        <f t="shared" si="201"/>
        <v>73603.333333333328</v>
      </c>
      <c r="AX311" s="5">
        <f t="shared" si="202"/>
        <v>73276.666666666672</v>
      </c>
      <c r="AY311" s="5">
        <f t="shared" si="203"/>
        <v>76380</v>
      </c>
      <c r="AZ311" s="5">
        <f t="shared" si="204"/>
        <v>70500</v>
      </c>
      <c r="BB311" s="32" t="str">
        <f t="shared" si="181"/>
        <v>06/07/2024</v>
      </c>
      <c r="BC311" s="33">
        <f t="shared" si="181"/>
        <v>73410</v>
      </c>
      <c r="BD311" s="4" t="str">
        <f t="shared" si="181"/>
        <v>A6</v>
      </c>
      <c r="BE311">
        <f t="shared" si="205"/>
        <v>73895.25</v>
      </c>
      <c r="BF311" s="38">
        <f t="shared" si="206"/>
        <v>73405.25</v>
      </c>
      <c r="BG311">
        <f t="shared" si="207"/>
        <v>74140.25</v>
      </c>
      <c r="BH311">
        <f t="shared" si="208"/>
        <v>73160.25</v>
      </c>
      <c r="BI311">
        <f t="shared" si="209"/>
        <v>73772.75</v>
      </c>
      <c r="BJ311">
        <f t="shared" si="210"/>
        <v>73527.75</v>
      </c>
      <c r="BK311">
        <f t="shared" si="211"/>
        <v>74630.25</v>
      </c>
      <c r="BL311">
        <f t="shared" si="212"/>
        <v>72670.25</v>
      </c>
      <c r="BM311">
        <f t="shared" si="213"/>
        <v>73731.916666666657</v>
      </c>
      <c r="BN311">
        <f t="shared" si="214"/>
        <v>73568.583333333343</v>
      </c>
      <c r="BO311">
        <f t="shared" si="215"/>
        <v>75120.25</v>
      </c>
      <c r="BP311">
        <f t="shared" si="216"/>
        <v>72180.25</v>
      </c>
      <c r="BQ311" s="7">
        <f>BF311</f>
        <v>73405.25</v>
      </c>
      <c r="BS311" s="30">
        <f t="shared" si="182"/>
        <v>73410</v>
      </c>
      <c r="BT311" s="4">
        <f t="shared" si="183"/>
        <v>73405.25</v>
      </c>
      <c r="BU311" s="37">
        <f t="shared" si="184"/>
        <v>4.75</v>
      </c>
      <c r="BV311">
        <f t="shared" si="185"/>
        <v>4.75</v>
      </c>
      <c r="BW311" s="35">
        <f t="shared" si="186"/>
        <v>6.470508105162785E-5</v>
      </c>
    </row>
    <row r="312" spans="1:75">
      <c r="A312" s="1" t="s">
        <v>313</v>
      </c>
      <c r="B312" s="1">
        <v>78510</v>
      </c>
      <c r="Q312">
        <v>309</v>
      </c>
      <c r="R312" s="27" t="str">
        <f t="shared" si="177"/>
        <v>07/07/2024</v>
      </c>
      <c r="S312" s="27">
        <f t="shared" si="177"/>
        <v>75010</v>
      </c>
      <c r="T312" s="4" t="str">
        <f t="shared" si="178"/>
        <v>A6</v>
      </c>
      <c r="V312">
        <v>309</v>
      </c>
      <c r="W312" s="28" t="str">
        <f t="shared" si="176"/>
        <v>07/07/2024</v>
      </c>
      <c r="X312" s="28">
        <f t="shared" si="176"/>
        <v>75010</v>
      </c>
      <c r="Y312" s="28" t="str">
        <f t="shared" si="176"/>
        <v>A6</v>
      </c>
      <c r="Z312" s="5" t="str">
        <f t="shared" si="187"/>
        <v>A6</v>
      </c>
      <c r="AA312" s="5" t="str">
        <f t="shared" si="188"/>
        <v>A6</v>
      </c>
      <c r="AG312" s="29" t="str">
        <f t="shared" si="179"/>
        <v>07/07/2024</v>
      </c>
      <c r="AH312" s="30">
        <f t="shared" si="179"/>
        <v>75010</v>
      </c>
      <c r="AI312" s="4" t="str">
        <f t="shared" si="180"/>
        <v>A6</v>
      </c>
      <c r="AJ312" s="5" t="str">
        <f t="shared" si="189"/>
        <v>A6</v>
      </c>
      <c r="AK312">
        <f t="shared" si="190"/>
        <v>73860.5</v>
      </c>
      <c r="AL312" t="str">
        <f t="shared" si="191"/>
        <v>A6</v>
      </c>
      <c r="AM312">
        <f t="shared" si="192"/>
        <v>73860.5</v>
      </c>
      <c r="AN312" s="6">
        <f t="shared" si="193"/>
        <v>1440</v>
      </c>
      <c r="AO312">
        <f t="shared" si="194"/>
        <v>74130</v>
      </c>
      <c r="AP312">
        <f t="shared" si="217"/>
        <v>72690</v>
      </c>
      <c r="AQ312" s="33">
        <f t="shared" si="195"/>
        <v>74850</v>
      </c>
      <c r="AR312" s="33">
        <f t="shared" si="196"/>
        <v>71970</v>
      </c>
      <c r="AS312">
        <f t="shared" si="197"/>
        <v>73770</v>
      </c>
      <c r="AT312" s="5">
        <f t="shared" si="198"/>
        <v>73050</v>
      </c>
      <c r="AU312" s="5">
        <f t="shared" si="199"/>
        <v>76290</v>
      </c>
      <c r="AV312" s="5">
        <f t="shared" si="200"/>
        <v>70530</v>
      </c>
      <c r="AW312" s="5">
        <f t="shared" si="201"/>
        <v>73650</v>
      </c>
      <c r="AX312" s="5">
        <f t="shared" si="202"/>
        <v>73170</v>
      </c>
      <c r="AY312" s="5">
        <f t="shared" si="203"/>
        <v>77730</v>
      </c>
      <c r="AZ312" s="5">
        <f t="shared" si="204"/>
        <v>69090</v>
      </c>
      <c r="BB312" s="32" t="str">
        <f t="shared" si="181"/>
        <v>07/07/2024</v>
      </c>
      <c r="BC312" s="33">
        <f t="shared" si="181"/>
        <v>75010</v>
      </c>
      <c r="BD312" s="4" t="str">
        <f t="shared" si="181"/>
        <v>A6</v>
      </c>
      <c r="BE312">
        <f t="shared" si="205"/>
        <v>73995.25</v>
      </c>
      <c r="BF312">
        <f t="shared" si="206"/>
        <v>73275.25</v>
      </c>
      <c r="BG312">
        <f t="shared" si="207"/>
        <v>74355.25</v>
      </c>
      <c r="BH312">
        <f t="shared" si="208"/>
        <v>72915.25</v>
      </c>
      <c r="BI312">
        <f t="shared" si="209"/>
        <v>73815.25</v>
      </c>
      <c r="BJ312">
        <f t="shared" si="210"/>
        <v>73455.25</v>
      </c>
      <c r="BK312" s="38">
        <f t="shared" si="211"/>
        <v>75075.25</v>
      </c>
      <c r="BL312">
        <f t="shared" si="212"/>
        <v>72195.25</v>
      </c>
      <c r="BM312">
        <f t="shared" si="213"/>
        <v>73755.25</v>
      </c>
      <c r="BN312">
        <f t="shared" si="214"/>
        <v>73515.25</v>
      </c>
      <c r="BO312">
        <f t="shared" si="215"/>
        <v>75795.25</v>
      </c>
      <c r="BP312">
        <f t="shared" si="216"/>
        <v>71475.25</v>
      </c>
      <c r="BQ312" s="7">
        <f>BK312</f>
        <v>75075.25</v>
      </c>
      <c r="BS312" s="30">
        <f t="shared" si="182"/>
        <v>75010</v>
      </c>
      <c r="BT312" s="4">
        <f t="shared" si="183"/>
        <v>75075.25</v>
      </c>
      <c r="BU312" s="37">
        <f t="shared" si="184"/>
        <v>-65.25</v>
      </c>
      <c r="BV312">
        <f t="shared" si="185"/>
        <v>65.25</v>
      </c>
      <c r="BW312" s="35">
        <f t="shared" si="186"/>
        <v>8.6988401546460477E-4</v>
      </c>
    </row>
    <row r="313" spans="1:75">
      <c r="A313" s="1" t="s">
        <v>314</v>
      </c>
      <c r="B313" s="1">
        <v>78760</v>
      </c>
      <c r="Q313">
        <v>310</v>
      </c>
      <c r="R313" s="27" t="str">
        <f t="shared" si="177"/>
        <v>08/07/2024</v>
      </c>
      <c r="S313" s="27">
        <f t="shared" si="177"/>
        <v>77110</v>
      </c>
      <c r="T313" s="4" t="str">
        <f t="shared" si="178"/>
        <v>A7</v>
      </c>
      <c r="V313">
        <v>310</v>
      </c>
      <c r="W313" s="28" t="str">
        <f t="shared" si="176"/>
        <v>08/07/2024</v>
      </c>
      <c r="X313" s="28">
        <f t="shared" si="176"/>
        <v>77110</v>
      </c>
      <c r="Y313" s="28" t="str">
        <f t="shared" si="176"/>
        <v>A7</v>
      </c>
      <c r="Z313" s="5" t="str">
        <f t="shared" si="187"/>
        <v>A6</v>
      </c>
      <c r="AA313" s="5" t="str">
        <f t="shared" si="188"/>
        <v>A6</v>
      </c>
      <c r="AG313" s="29" t="str">
        <f t="shared" si="179"/>
        <v>08/07/2024</v>
      </c>
      <c r="AH313" s="30">
        <f t="shared" si="179"/>
        <v>77110</v>
      </c>
      <c r="AI313" s="4" t="str">
        <f t="shared" si="180"/>
        <v>A7</v>
      </c>
      <c r="AJ313" s="5" t="str">
        <f t="shared" si="189"/>
        <v>A6</v>
      </c>
      <c r="AK313">
        <f t="shared" si="190"/>
        <v>73860.5</v>
      </c>
      <c r="AL313" t="str">
        <f t="shared" si="191"/>
        <v>A6</v>
      </c>
      <c r="AM313">
        <f t="shared" si="192"/>
        <v>73860.5</v>
      </c>
      <c r="AN313" s="6">
        <f t="shared" si="193"/>
        <v>1570</v>
      </c>
      <c r="AO313">
        <f t="shared" si="194"/>
        <v>75795</v>
      </c>
      <c r="AP313">
        <f t="shared" si="217"/>
        <v>74225</v>
      </c>
      <c r="AQ313" s="33">
        <f t="shared" si="195"/>
        <v>76580</v>
      </c>
      <c r="AR313" s="33">
        <f t="shared" si="196"/>
        <v>73440</v>
      </c>
      <c r="AS313">
        <f t="shared" si="197"/>
        <v>75402.5</v>
      </c>
      <c r="AT313" s="5">
        <f t="shared" si="198"/>
        <v>74617.5</v>
      </c>
      <c r="AU313" s="5">
        <f t="shared" si="199"/>
        <v>78150</v>
      </c>
      <c r="AV313" s="5">
        <f t="shared" si="200"/>
        <v>71870</v>
      </c>
      <c r="AW313" s="5">
        <f t="shared" si="201"/>
        <v>75271.666666666672</v>
      </c>
      <c r="AX313" s="5">
        <f t="shared" si="202"/>
        <v>74748.333333333328</v>
      </c>
      <c r="AY313" s="5">
        <f t="shared" si="203"/>
        <v>79720</v>
      </c>
      <c r="AZ313" s="5">
        <f t="shared" si="204"/>
        <v>70300</v>
      </c>
      <c r="BB313" s="32" t="str">
        <f t="shared" si="181"/>
        <v>08/07/2024</v>
      </c>
      <c r="BC313" s="33">
        <f t="shared" si="181"/>
        <v>77110</v>
      </c>
      <c r="BD313" s="4" t="str">
        <f t="shared" si="181"/>
        <v>A7</v>
      </c>
      <c r="BE313">
        <f t="shared" si="205"/>
        <v>74827.75</v>
      </c>
      <c r="BF313">
        <f t="shared" si="206"/>
        <v>74042.75</v>
      </c>
      <c r="BG313">
        <f t="shared" si="207"/>
        <v>75220.25</v>
      </c>
      <c r="BH313">
        <f t="shared" si="208"/>
        <v>73650.25</v>
      </c>
      <c r="BI313">
        <f t="shared" si="209"/>
        <v>74631.5</v>
      </c>
      <c r="BJ313">
        <f t="shared" si="210"/>
        <v>74239</v>
      </c>
      <c r="BK313">
        <f t="shared" si="211"/>
        <v>76005.25</v>
      </c>
      <c r="BL313">
        <f t="shared" si="212"/>
        <v>72865.25</v>
      </c>
      <c r="BM313">
        <f t="shared" si="213"/>
        <v>74566.083333333343</v>
      </c>
      <c r="BN313">
        <f t="shared" si="214"/>
        <v>74304.416666666657</v>
      </c>
      <c r="BO313" s="38">
        <f t="shared" si="215"/>
        <v>76790.25</v>
      </c>
      <c r="BP313">
        <f t="shared" si="216"/>
        <v>72080.25</v>
      </c>
      <c r="BQ313" s="7">
        <f>BO313</f>
        <v>76790.25</v>
      </c>
      <c r="BS313" s="30">
        <f t="shared" si="182"/>
        <v>77110</v>
      </c>
      <c r="BT313" s="4">
        <f t="shared" si="183"/>
        <v>76790.25</v>
      </c>
      <c r="BU313" s="37">
        <f t="shared" si="184"/>
        <v>319.75</v>
      </c>
      <c r="BV313">
        <f t="shared" si="185"/>
        <v>319.75</v>
      </c>
      <c r="BW313" s="35">
        <f t="shared" si="186"/>
        <v>4.1466735831928413E-3</v>
      </c>
    </row>
    <row r="314" spans="1:75">
      <c r="A314" s="1" t="s">
        <v>315</v>
      </c>
      <c r="B314" s="1">
        <v>79770</v>
      </c>
      <c r="Q314">
        <v>311</v>
      </c>
      <c r="R314" s="27" t="str">
        <f t="shared" si="177"/>
        <v>09/07/2024</v>
      </c>
      <c r="S314" s="27">
        <f t="shared" si="177"/>
        <v>78510</v>
      </c>
      <c r="T314" s="4" t="str">
        <f t="shared" si="178"/>
        <v>A7</v>
      </c>
      <c r="V314">
        <v>311</v>
      </c>
      <c r="W314" s="28" t="str">
        <f t="shared" si="176"/>
        <v>09/07/2024</v>
      </c>
      <c r="X314" s="28">
        <f t="shared" si="176"/>
        <v>78510</v>
      </c>
      <c r="Y314" s="28" t="str">
        <f t="shared" si="176"/>
        <v>A7</v>
      </c>
      <c r="Z314" s="5" t="str">
        <f t="shared" si="187"/>
        <v>A6</v>
      </c>
      <c r="AA314" s="5" t="str">
        <f t="shared" si="188"/>
        <v>A7</v>
      </c>
      <c r="AG314" s="29" t="str">
        <f t="shared" si="179"/>
        <v>09/07/2024</v>
      </c>
      <c r="AH314" s="30">
        <f t="shared" si="179"/>
        <v>78510</v>
      </c>
      <c r="AI314" s="4" t="str">
        <f t="shared" si="180"/>
        <v>A7</v>
      </c>
      <c r="AJ314" s="5" t="str">
        <f t="shared" si="189"/>
        <v>A6</v>
      </c>
      <c r="AK314">
        <f t="shared" si="190"/>
        <v>73860.5</v>
      </c>
      <c r="AL314" t="str">
        <f t="shared" si="191"/>
        <v>A7</v>
      </c>
      <c r="AM314">
        <f t="shared" si="192"/>
        <v>79891.5</v>
      </c>
      <c r="AN314" s="6">
        <f t="shared" si="193"/>
        <v>500</v>
      </c>
      <c r="AO314">
        <f t="shared" si="194"/>
        <v>77360</v>
      </c>
      <c r="AP314">
        <f t="shared" si="217"/>
        <v>76860</v>
      </c>
      <c r="AQ314" s="33">
        <f t="shared" si="195"/>
        <v>77610</v>
      </c>
      <c r="AR314" s="33">
        <f t="shared" si="196"/>
        <v>76610</v>
      </c>
      <c r="AS314">
        <f t="shared" si="197"/>
        <v>77235</v>
      </c>
      <c r="AT314" s="5">
        <f t="shared" si="198"/>
        <v>76985</v>
      </c>
      <c r="AU314" s="5">
        <f t="shared" si="199"/>
        <v>78110</v>
      </c>
      <c r="AV314" s="5">
        <f t="shared" si="200"/>
        <v>76110</v>
      </c>
      <c r="AW314" s="5">
        <f t="shared" si="201"/>
        <v>77193.333333333328</v>
      </c>
      <c r="AX314" s="5">
        <f t="shared" si="202"/>
        <v>77026.666666666672</v>
      </c>
      <c r="AY314" s="5">
        <f t="shared" si="203"/>
        <v>78610</v>
      </c>
      <c r="AZ314" s="5">
        <f t="shared" si="204"/>
        <v>75610</v>
      </c>
      <c r="BB314" s="32" t="str">
        <f t="shared" si="181"/>
        <v>09/07/2024</v>
      </c>
      <c r="BC314" s="33">
        <f t="shared" si="181"/>
        <v>78510</v>
      </c>
      <c r="BD314" s="4" t="str">
        <f t="shared" si="181"/>
        <v>A7</v>
      </c>
      <c r="BE314">
        <f t="shared" si="205"/>
        <v>78625.75</v>
      </c>
      <c r="BF314">
        <f t="shared" si="206"/>
        <v>78375.75</v>
      </c>
      <c r="BG314">
        <f t="shared" si="207"/>
        <v>78750.75</v>
      </c>
      <c r="BH314">
        <f t="shared" si="208"/>
        <v>78250.75</v>
      </c>
      <c r="BI314" s="38">
        <f t="shared" si="209"/>
        <v>78563.25</v>
      </c>
      <c r="BJ314">
        <f t="shared" si="210"/>
        <v>78438.25</v>
      </c>
      <c r="BK314">
        <f t="shared" si="211"/>
        <v>79000.75</v>
      </c>
      <c r="BL314">
        <f t="shared" si="212"/>
        <v>78000.75</v>
      </c>
      <c r="BM314">
        <f t="shared" si="213"/>
        <v>78542.416666666657</v>
      </c>
      <c r="BN314">
        <f t="shared" si="214"/>
        <v>78459.083333333343</v>
      </c>
      <c r="BO314">
        <f t="shared" si="215"/>
        <v>79250.75</v>
      </c>
      <c r="BP314">
        <f t="shared" si="216"/>
        <v>77750.75</v>
      </c>
      <c r="BQ314" s="7">
        <f>BI314</f>
        <v>78563.25</v>
      </c>
      <c r="BS314" s="30">
        <f t="shared" si="182"/>
        <v>78510</v>
      </c>
      <c r="BT314" s="4">
        <f t="shared" si="183"/>
        <v>78563.25</v>
      </c>
      <c r="BU314" s="37">
        <f t="shared" si="184"/>
        <v>-53.25</v>
      </c>
      <c r="BV314">
        <f t="shared" si="185"/>
        <v>53.25</v>
      </c>
      <c r="BW314" s="35">
        <f t="shared" si="186"/>
        <v>6.7825754680932366E-4</v>
      </c>
    </row>
    <row r="315" spans="1:75">
      <c r="A315" s="1" t="s">
        <v>316</v>
      </c>
      <c r="B315" s="1">
        <v>78240</v>
      </c>
      <c r="Q315">
        <v>312</v>
      </c>
      <c r="R315" s="27" t="str">
        <f t="shared" si="177"/>
        <v>10/07/2024</v>
      </c>
      <c r="S315" s="27">
        <f t="shared" si="177"/>
        <v>78760</v>
      </c>
      <c r="T315" s="4" t="str">
        <f t="shared" si="178"/>
        <v>A7</v>
      </c>
      <c r="V315">
        <v>312</v>
      </c>
      <c r="W315" s="28" t="str">
        <f t="shared" si="176"/>
        <v>10/07/2024</v>
      </c>
      <c r="X315" s="28">
        <f t="shared" si="176"/>
        <v>78760</v>
      </c>
      <c r="Y315" s="28" t="str">
        <f t="shared" si="176"/>
        <v>A7</v>
      </c>
      <c r="Z315" s="5" t="str">
        <f t="shared" si="187"/>
        <v>A7</v>
      </c>
      <c r="AA315" s="5" t="str">
        <f t="shared" si="188"/>
        <v>A7</v>
      </c>
      <c r="AG315" s="29" t="str">
        <f t="shared" si="179"/>
        <v>10/07/2024</v>
      </c>
      <c r="AH315" s="30">
        <f t="shared" si="179"/>
        <v>78760</v>
      </c>
      <c r="AI315" s="4" t="str">
        <f t="shared" si="180"/>
        <v>A7</v>
      </c>
      <c r="AJ315" s="5" t="str">
        <f t="shared" si="189"/>
        <v>A7</v>
      </c>
      <c r="AK315">
        <f t="shared" si="190"/>
        <v>79891.5</v>
      </c>
      <c r="AL315" t="str">
        <f t="shared" si="191"/>
        <v>A7</v>
      </c>
      <c r="AM315">
        <f t="shared" si="192"/>
        <v>79891.5</v>
      </c>
      <c r="AN315" s="6">
        <f t="shared" si="193"/>
        <v>700</v>
      </c>
      <c r="AO315">
        <f t="shared" si="194"/>
        <v>78860</v>
      </c>
      <c r="AP315">
        <f t="shared" si="217"/>
        <v>78160</v>
      </c>
      <c r="AQ315" s="33">
        <f t="shared" si="195"/>
        <v>79210</v>
      </c>
      <c r="AR315" s="33">
        <f t="shared" si="196"/>
        <v>77810</v>
      </c>
      <c r="AS315">
        <f t="shared" si="197"/>
        <v>78685</v>
      </c>
      <c r="AT315" s="5">
        <f t="shared" si="198"/>
        <v>78335</v>
      </c>
      <c r="AU315" s="5">
        <f t="shared" si="199"/>
        <v>79910</v>
      </c>
      <c r="AV315" s="5">
        <f t="shared" si="200"/>
        <v>77110</v>
      </c>
      <c r="AW315" s="5">
        <f t="shared" si="201"/>
        <v>78626.666666666672</v>
      </c>
      <c r="AX315" s="5">
        <f t="shared" si="202"/>
        <v>78393.333333333328</v>
      </c>
      <c r="AY315" s="5">
        <f t="shared" si="203"/>
        <v>80610</v>
      </c>
      <c r="AZ315" s="5">
        <f t="shared" si="204"/>
        <v>76410</v>
      </c>
      <c r="BB315" s="32" t="str">
        <f t="shared" si="181"/>
        <v>10/07/2024</v>
      </c>
      <c r="BC315" s="33">
        <f t="shared" si="181"/>
        <v>78760</v>
      </c>
      <c r="BD315" s="4" t="str">
        <f t="shared" si="181"/>
        <v>A7</v>
      </c>
      <c r="BE315">
        <f t="shared" si="205"/>
        <v>79375.75</v>
      </c>
      <c r="BF315">
        <f t="shared" si="206"/>
        <v>79025.75</v>
      </c>
      <c r="BG315">
        <f t="shared" si="207"/>
        <v>79550.75</v>
      </c>
      <c r="BH315">
        <f t="shared" si="208"/>
        <v>78850.75</v>
      </c>
      <c r="BI315">
        <f t="shared" si="209"/>
        <v>79288.25</v>
      </c>
      <c r="BJ315">
        <f t="shared" si="210"/>
        <v>79113.25</v>
      </c>
      <c r="BK315">
        <f t="shared" si="211"/>
        <v>79900.75</v>
      </c>
      <c r="BL315">
        <f t="shared" si="212"/>
        <v>78500.75</v>
      </c>
      <c r="BM315">
        <f t="shared" si="213"/>
        <v>79259.083333333343</v>
      </c>
      <c r="BN315">
        <f t="shared" si="214"/>
        <v>79142.416666666657</v>
      </c>
      <c r="BO315">
        <f t="shared" si="215"/>
        <v>80250.75</v>
      </c>
      <c r="BP315" s="38">
        <f t="shared" si="216"/>
        <v>78150.75</v>
      </c>
      <c r="BQ315" s="7">
        <f>BP315</f>
        <v>78150.75</v>
      </c>
      <c r="BS315" s="30">
        <f t="shared" si="182"/>
        <v>78760</v>
      </c>
      <c r="BT315" s="4">
        <f t="shared" si="183"/>
        <v>78150.75</v>
      </c>
      <c r="BU315" s="37">
        <f t="shared" si="184"/>
        <v>609.25</v>
      </c>
      <c r="BV315">
        <f t="shared" si="185"/>
        <v>609.25</v>
      </c>
      <c r="BW315" s="35">
        <f t="shared" si="186"/>
        <v>7.7355256475368211E-3</v>
      </c>
    </row>
    <row r="316" spans="1:75">
      <c r="A316" s="1" t="s">
        <v>317</v>
      </c>
      <c r="B316" s="1">
        <v>79110</v>
      </c>
      <c r="Q316">
        <v>313</v>
      </c>
      <c r="R316" s="27" t="str">
        <f t="shared" si="177"/>
        <v>11/07/2024</v>
      </c>
      <c r="S316" s="27">
        <f t="shared" si="177"/>
        <v>79770</v>
      </c>
      <c r="T316" s="4" t="str">
        <f t="shared" si="178"/>
        <v>A7</v>
      </c>
      <c r="V316">
        <v>313</v>
      </c>
      <c r="W316" s="28" t="str">
        <f t="shared" si="176"/>
        <v>11/07/2024</v>
      </c>
      <c r="X316" s="28">
        <f t="shared" si="176"/>
        <v>79770</v>
      </c>
      <c r="Y316" s="28" t="str">
        <f t="shared" si="176"/>
        <v>A7</v>
      </c>
      <c r="Z316" s="5" t="str">
        <f t="shared" si="187"/>
        <v>A7</v>
      </c>
      <c r="AA316" s="5" t="str">
        <f t="shared" si="188"/>
        <v>A7</v>
      </c>
      <c r="AG316" s="29" t="str">
        <f t="shared" si="179"/>
        <v>11/07/2024</v>
      </c>
      <c r="AH316" s="30">
        <f t="shared" si="179"/>
        <v>79770</v>
      </c>
      <c r="AI316" s="4" t="str">
        <f t="shared" si="180"/>
        <v>A7</v>
      </c>
      <c r="AJ316" s="5" t="str">
        <f t="shared" si="189"/>
        <v>A7</v>
      </c>
      <c r="AK316">
        <f t="shared" si="190"/>
        <v>79891.5</v>
      </c>
      <c r="AL316" t="str">
        <f t="shared" si="191"/>
        <v>A7</v>
      </c>
      <c r="AM316">
        <f t="shared" si="192"/>
        <v>79891.5</v>
      </c>
      <c r="AN316" s="6">
        <f t="shared" si="193"/>
        <v>1150</v>
      </c>
      <c r="AO316">
        <f t="shared" si="194"/>
        <v>79335</v>
      </c>
      <c r="AP316">
        <f t="shared" si="217"/>
        <v>78185</v>
      </c>
      <c r="AQ316" s="33">
        <f t="shared" si="195"/>
        <v>79910</v>
      </c>
      <c r="AR316" s="33">
        <f t="shared" si="196"/>
        <v>77610</v>
      </c>
      <c r="AS316">
        <f t="shared" si="197"/>
        <v>79047.5</v>
      </c>
      <c r="AT316" s="5">
        <f t="shared" si="198"/>
        <v>78472.5</v>
      </c>
      <c r="AU316" s="5">
        <f t="shared" si="199"/>
        <v>81060</v>
      </c>
      <c r="AV316" s="5">
        <f t="shared" si="200"/>
        <v>76460</v>
      </c>
      <c r="AW316" s="5">
        <f t="shared" si="201"/>
        <v>78951.666666666672</v>
      </c>
      <c r="AX316" s="5">
        <f t="shared" si="202"/>
        <v>78568.333333333328</v>
      </c>
      <c r="AY316" s="5">
        <f t="shared" si="203"/>
        <v>82210</v>
      </c>
      <c r="AZ316" s="5">
        <f t="shared" si="204"/>
        <v>75310</v>
      </c>
      <c r="BB316" s="32" t="str">
        <f t="shared" si="181"/>
        <v>11/07/2024</v>
      </c>
      <c r="BC316" s="33">
        <f t="shared" si="181"/>
        <v>79770</v>
      </c>
      <c r="BD316" s="4" t="str">
        <f t="shared" si="181"/>
        <v>A7</v>
      </c>
      <c r="BE316" s="38">
        <f t="shared" si="205"/>
        <v>79613.25</v>
      </c>
      <c r="BF316">
        <f t="shared" si="206"/>
        <v>79038.25</v>
      </c>
      <c r="BG316">
        <f t="shared" si="207"/>
        <v>79900.75</v>
      </c>
      <c r="BH316">
        <f t="shared" si="208"/>
        <v>78750.75</v>
      </c>
      <c r="BI316">
        <f t="shared" si="209"/>
        <v>79469.5</v>
      </c>
      <c r="BJ316">
        <f t="shared" si="210"/>
        <v>79182</v>
      </c>
      <c r="BK316">
        <f t="shared" si="211"/>
        <v>80475.75</v>
      </c>
      <c r="BL316">
        <f t="shared" si="212"/>
        <v>78175.75</v>
      </c>
      <c r="BM316">
        <f t="shared" si="213"/>
        <v>79421.583333333343</v>
      </c>
      <c r="BN316">
        <f t="shared" si="214"/>
        <v>79229.916666666657</v>
      </c>
      <c r="BO316">
        <f t="shared" si="215"/>
        <v>81050.75</v>
      </c>
      <c r="BP316">
        <f t="shared" si="216"/>
        <v>77600.75</v>
      </c>
      <c r="BQ316" s="7">
        <f>BE316</f>
        <v>79613.25</v>
      </c>
      <c r="BS316" s="30">
        <f t="shared" si="182"/>
        <v>79770</v>
      </c>
      <c r="BT316" s="4">
        <f t="shared" si="183"/>
        <v>79613.25</v>
      </c>
      <c r="BU316" s="37">
        <f t="shared" si="184"/>
        <v>156.75</v>
      </c>
      <c r="BV316">
        <f t="shared" si="185"/>
        <v>156.75</v>
      </c>
      <c r="BW316" s="35">
        <f t="shared" si="186"/>
        <v>1.9650244452801805E-3</v>
      </c>
    </row>
    <row r="317" spans="1:75">
      <c r="A317" s="1" t="s">
        <v>318</v>
      </c>
      <c r="B317" s="1">
        <v>77570</v>
      </c>
      <c r="Q317">
        <v>314</v>
      </c>
      <c r="R317" s="27" t="str">
        <f t="shared" si="177"/>
        <v>12/07/2024</v>
      </c>
      <c r="S317" s="27">
        <f t="shared" si="177"/>
        <v>78240</v>
      </c>
      <c r="T317" s="4" t="str">
        <f t="shared" si="178"/>
        <v>A7</v>
      </c>
      <c r="V317">
        <v>314</v>
      </c>
      <c r="W317" s="28" t="str">
        <f t="shared" si="176"/>
        <v>12/07/2024</v>
      </c>
      <c r="X317" s="28">
        <f t="shared" si="176"/>
        <v>78240</v>
      </c>
      <c r="Y317" s="28" t="str">
        <f t="shared" si="176"/>
        <v>A7</v>
      </c>
      <c r="Z317" s="5" t="str">
        <f t="shared" si="187"/>
        <v>A7</v>
      </c>
      <c r="AA317" s="5" t="str">
        <f t="shared" si="188"/>
        <v>A7</v>
      </c>
      <c r="AG317" s="29" t="str">
        <f t="shared" si="179"/>
        <v>12/07/2024</v>
      </c>
      <c r="AH317" s="30">
        <f t="shared" si="179"/>
        <v>78240</v>
      </c>
      <c r="AI317" s="4" t="str">
        <f t="shared" si="180"/>
        <v>A7</v>
      </c>
      <c r="AJ317" s="5" t="str">
        <f t="shared" si="189"/>
        <v>A7</v>
      </c>
      <c r="AK317">
        <f t="shared" si="190"/>
        <v>79891.5</v>
      </c>
      <c r="AL317" t="str">
        <f t="shared" si="191"/>
        <v>A7</v>
      </c>
      <c r="AM317">
        <f t="shared" si="192"/>
        <v>79891.5</v>
      </c>
      <c r="AN317" s="6">
        <f t="shared" si="193"/>
        <v>760</v>
      </c>
      <c r="AO317">
        <f t="shared" si="194"/>
        <v>80150</v>
      </c>
      <c r="AP317">
        <f t="shared" si="217"/>
        <v>79390</v>
      </c>
      <c r="AQ317" s="33">
        <f t="shared" si="195"/>
        <v>80530</v>
      </c>
      <c r="AR317" s="33">
        <f t="shared" si="196"/>
        <v>79010</v>
      </c>
      <c r="AS317">
        <f t="shared" si="197"/>
        <v>79960</v>
      </c>
      <c r="AT317" s="5">
        <f t="shared" si="198"/>
        <v>79580</v>
      </c>
      <c r="AU317" s="5">
        <f t="shared" si="199"/>
        <v>81290</v>
      </c>
      <c r="AV317" s="5">
        <f t="shared" si="200"/>
        <v>78250</v>
      </c>
      <c r="AW317" s="5">
        <f t="shared" si="201"/>
        <v>79896.666666666672</v>
      </c>
      <c r="AX317" s="5">
        <f t="shared" si="202"/>
        <v>79643.333333333328</v>
      </c>
      <c r="AY317" s="5">
        <f t="shared" si="203"/>
        <v>82050</v>
      </c>
      <c r="AZ317" s="5">
        <f t="shared" si="204"/>
        <v>77490</v>
      </c>
      <c r="BB317" s="32" t="str">
        <f t="shared" si="181"/>
        <v>12/07/2024</v>
      </c>
      <c r="BC317" s="33">
        <f t="shared" si="181"/>
        <v>78240</v>
      </c>
      <c r="BD317" s="4" t="str">
        <f t="shared" si="181"/>
        <v>A7</v>
      </c>
      <c r="BE317">
        <f t="shared" si="205"/>
        <v>80020.75</v>
      </c>
      <c r="BF317">
        <f t="shared" si="206"/>
        <v>79640.75</v>
      </c>
      <c r="BG317">
        <f t="shared" si="207"/>
        <v>80210.75</v>
      </c>
      <c r="BH317">
        <f t="shared" si="208"/>
        <v>79450.75</v>
      </c>
      <c r="BI317">
        <f t="shared" si="209"/>
        <v>79925.75</v>
      </c>
      <c r="BJ317">
        <f t="shared" si="210"/>
        <v>79735.75</v>
      </c>
      <c r="BK317">
        <f t="shared" si="211"/>
        <v>80590.75</v>
      </c>
      <c r="BL317">
        <f t="shared" si="212"/>
        <v>79070.75</v>
      </c>
      <c r="BM317">
        <f t="shared" si="213"/>
        <v>79894.083333333343</v>
      </c>
      <c r="BN317">
        <f t="shared" si="214"/>
        <v>79767.416666666657</v>
      </c>
      <c r="BO317">
        <f t="shared" si="215"/>
        <v>80970.75</v>
      </c>
      <c r="BP317" s="38">
        <f t="shared" si="216"/>
        <v>78690.75</v>
      </c>
      <c r="BQ317" s="7">
        <f>BP317</f>
        <v>78690.75</v>
      </c>
      <c r="BS317" s="30">
        <f t="shared" si="182"/>
        <v>78240</v>
      </c>
      <c r="BT317" s="4">
        <f t="shared" si="183"/>
        <v>78690.75</v>
      </c>
      <c r="BU317" s="37">
        <f t="shared" si="184"/>
        <v>-450.75</v>
      </c>
      <c r="BV317">
        <f t="shared" si="185"/>
        <v>450.75</v>
      </c>
      <c r="BW317" s="35">
        <f t="shared" si="186"/>
        <v>5.7611196319018402E-3</v>
      </c>
    </row>
    <row r="318" spans="1:75">
      <c r="A318" s="1" t="s">
        <v>319</v>
      </c>
      <c r="B318" s="1">
        <v>78880</v>
      </c>
      <c r="Q318">
        <v>315</v>
      </c>
      <c r="R318" s="27" t="str">
        <f t="shared" si="177"/>
        <v>13/07/2024</v>
      </c>
      <c r="S318" s="27">
        <f t="shared" si="177"/>
        <v>79110</v>
      </c>
      <c r="T318" s="4" t="str">
        <f t="shared" si="178"/>
        <v>A7</v>
      </c>
      <c r="V318">
        <v>315</v>
      </c>
      <c r="W318" s="28" t="str">
        <f t="shared" si="176"/>
        <v>13/07/2024</v>
      </c>
      <c r="X318" s="28">
        <f t="shared" si="176"/>
        <v>79110</v>
      </c>
      <c r="Y318" s="28" t="str">
        <f t="shared" si="176"/>
        <v>A7</v>
      </c>
      <c r="Z318" s="5" t="str">
        <f t="shared" si="187"/>
        <v>A7</v>
      </c>
      <c r="AA318" s="5" t="str">
        <f t="shared" si="188"/>
        <v>A7</v>
      </c>
      <c r="AG318" s="29" t="str">
        <f t="shared" si="179"/>
        <v>13/07/2024</v>
      </c>
      <c r="AH318" s="30">
        <f t="shared" si="179"/>
        <v>79110</v>
      </c>
      <c r="AI318" s="4" t="str">
        <f t="shared" si="180"/>
        <v>A7</v>
      </c>
      <c r="AJ318" s="5" t="str">
        <f t="shared" si="189"/>
        <v>A7</v>
      </c>
      <c r="AK318">
        <f t="shared" si="190"/>
        <v>79891.5</v>
      </c>
      <c r="AL318" t="str">
        <f t="shared" si="191"/>
        <v>A7</v>
      </c>
      <c r="AM318">
        <f t="shared" si="192"/>
        <v>79891.5</v>
      </c>
      <c r="AN318" s="6">
        <f t="shared" si="193"/>
        <v>520</v>
      </c>
      <c r="AO318">
        <f t="shared" si="194"/>
        <v>78500</v>
      </c>
      <c r="AP318">
        <f t="shared" si="217"/>
        <v>77980</v>
      </c>
      <c r="AQ318" s="33">
        <f t="shared" si="195"/>
        <v>78760</v>
      </c>
      <c r="AR318" s="33">
        <f t="shared" si="196"/>
        <v>77720</v>
      </c>
      <c r="AS318">
        <f t="shared" si="197"/>
        <v>78370</v>
      </c>
      <c r="AT318" s="5">
        <f t="shared" si="198"/>
        <v>78110</v>
      </c>
      <c r="AU318" s="5">
        <f t="shared" si="199"/>
        <v>79280</v>
      </c>
      <c r="AV318" s="5">
        <f t="shared" si="200"/>
        <v>77200</v>
      </c>
      <c r="AW318" s="5">
        <f t="shared" si="201"/>
        <v>78326.666666666672</v>
      </c>
      <c r="AX318" s="5">
        <f t="shared" si="202"/>
        <v>78153.333333333328</v>
      </c>
      <c r="AY318" s="5">
        <f t="shared" si="203"/>
        <v>79800</v>
      </c>
      <c r="AZ318" s="5">
        <f t="shared" si="204"/>
        <v>76680</v>
      </c>
      <c r="BB318" s="32" t="str">
        <f t="shared" si="181"/>
        <v>13/07/2024</v>
      </c>
      <c r="BC318" s="33">
        <f t="shared" si="181"/>
        <v>79110</v>
      </c>
      <c r="BD318" s="4" t="str">
        <f t="shared" si="181"/>
        <v>A7</v>
      </c>
      <c r="BE318" s="38">
        <f t="shared" si="205"/>
        <v>79195.75</v>
      </c>
      <c r="BF318">
        <f t="shared" si="206"/>
        <v>78935.75</v>
      </c>
      <c r="BG318">
        <f t="shared" si="207"/>
        <v>79325.75</v>
      </c>
      <c r="BH318">
        <f t="shared" si="208"/>
        <v>78805.75</v>
      </c>
      <c r="BI318">
        <f t="shared" si="209"/>
        <v>79130.75</v>
      </c>
      <c r="BJ318">
        <f t="shared" si="210"/>
        <v>79000.75</v>
      </c>
      <c r="BK318">
        <f t="shared" si="211"/>
        <v>79585.75</v>
      </c>
      <c r="BL318">
        <f t="shared" si="212"/>
        <v>78545.75</v>
      </c>
      <c r="BM318">
        <f t="shared" si="213"/>
        <v>79109.083333333343</v>
      </c>
      <c r="BN318">
        <f t="shared" si="214"/>
        <v>79022.416666666657</v>
      </c>
      <c r="BO318">
        <f t="shared" si="215"/>
        <v>79845.75</v>
      </c>
      <c r="BP318">
        <f t="shared" si="216"/>
        <v>78285.75</v>
      </c>
      <c r="BQ318" s="7">
        <f>BE318</f>
        <v>79195.75</v>
      </c>
      <c r="BS318" s="30">
        <f t="shared" si="182"/>
        <v>79110</v>
      </c>
      <c r="BT318" s="4">
        <f t="shared" si="183"/>
        <v>79195.75</v>
      </c>
      <c r="BU318" s="37">
        <f t="shared" si="184"/>
        <v>-85.75</v>
      </c>
      <c r="BV318">
        <f t="shared" si="185"/>
        <v>85.75</v>
      </c>
      <c r="BW318" s="35">
        <f t="shared" si="186"/>
        <v>1.0839337631146505E-3</v>
      </c>
    </row>
    <row r="319" spans="1:75">
      <c r="A319" s="1" t="s">
        <v>320</v>
      </c>
      <c r="B319" s="1">
        <v>80320</v>
      </c>
      <c r="Q319">
        <v>316</v>
      </c>
      <c r="R319" s="27" t="str">
        <f t="shared" si="177"/>
        <v>14/07/2024</v>
      </c>
      <c r="S319" s="27">
        <f t="shared" si="177"/>
        <v>77570</v>
      </c>
      <c r="T319" s="4" t="str">
        <f t="shared" si="178"/>
        <v>A7</v>
      </c>
      <c r="V319">
        <v>316</v>
      </c>
      <c r="W319" s="28" t="str">
        <f t="shared" si="176"/>
        <v>14/07/2024</v>
      </c>
      <c r="X319" s="28">
        <f t="shared" si="176"/>
        <v>77570</v>
      </c>
      <c r="Y319" s="28" t="str">
        <f t="shared" si="176"/>
        <v>A7</v>
      </c>
      <c r="Z319" s="5" t="str">
        <f t="shared" si="187"/>
        <v>A7</v>
      </c>
      <c r="AA319" s="5" t="str">
        <f t="shared" si="188"/>
        <v>A7</v>
      </c>
      <c r="AG319" s="29" t="str">
        <f t="shared" si="179"/>
        <v>14/07/2024</v>
      </c>
      <c r="AH319" s="30">
        <f t="shared" si="179"/>
        <v>77570</v>
      </c>
      <c r="AI319" s="4" t="str">
        <f t="shared" si="180"/>
        <v>A7</v>
      </c>
      <c r="AJ319" s="5" t="str">
        <f t="shared" si="189"/>
        <v>A7</v>
      </c>
      <c r="AK319">
        <f t="shared" si="190"/>
        <v>79891.5</v>
      </c>
      <c r="AL319" t="str">
        <f t="shared" si="191"/>
        <v>A7</v>
      </c>
      <c r="AM319">
        <f t="shared" si="192"/>
        <v>79891.5</v>
      </c>
      <c r="AN319" s="6">
        <f t="shared" si="193"/>
        <v>660</v>
      </c>
      <c r="AO319">
        <f t="shared" si="194"/>
        <v>79440</v>
      </c>
      <c r="AP319">
        <f t="shared" si="217"/>
        <v>78780</v>
      </c>
      <c r="AQ319" s="33">
        <f t="shared" si="195"/>
        <v>79770</v>
      </c>
      <c r="AR319" s="33">
        <f t="shared" si="196"/>
        <v>78450</v>
      </c>
      <c r="AS319">
        <f t="shared" si="197"/>
        <v>79275</v>
      </c>
      <c r="AT319" s="5">
        <f t="shared" si="198"/>
        <v>78945</v>
      </c>
      <c r="AU319" s="5">
        <f t="shared" si="199"/>
        <v>80430</v>
      </c>
      <c r="AV319" s="5">
        <f t="shared" si="200"/>
        <v>77790</v>
      </c>
      <c r="AW319" s="5">
        <f t="shared" si="201"/>
        <v>79220</v>
      </c>
      <c r="AX319" s="5">
        <f t="shared" si="202"/>
        <v>79000</v>
      </c>
      <c r="AY319" s="5">
        <f t="shared" si="203"/>
        <v>81090</v>
      </c>
      <c r="AZ319" s="5">
        <f t="shared" si="204"/>
        <v>77130</v>
      </c>
      <c r="BB319" s="32" t="str">
        <f t="shared" si="181"/>
        <v>14/07/2024</v>
      </c>
      <c r="BC319" s="33">
        <f t="shared" si="181"/>
        <v>77570</v>
      </c>
      <c r="BD319" s="4" t="str">
        <f t="shared" si="181"/>
        <v>A7</v>
      </c>
      <c r="BE319">
        <f t="shared" si="205"/>
        <v>79665.75</v>
      </c>
      <c r="BF319">
        <f t="shared" si="206"/>
        <v>79335.75</v>
      </c>
      <c r="BG319">
        <f t="shared" si="207"/>
        <v>79830.75</v>
      </c>
      <c r="BH319">
        <f t="shared" si="208"/>
        <v>79170.75</v>
      </c>
      <c r="BI319">
        <f t="shared" si="209"/>
        <v>79583.25</v>
      </c>
      <c r="BJ319">
        <f t="shared" si="210"/>
        <v>79418.25</v>
      </c>
      <c r="BK319">
        <f t="shared" si="211"/>
        <v>80160.75</v>
      </c>
      <c r="BL319">
        <f t="shared" si="212"/>
        <v>78840.75</v>
      </c>
      <c r="BM319">
        <f t="shared" si="213"/>
        <v>79555.75</v>
      </c>
      <c r="BN319">
        <f t="shared" si="214"/>
        <v>79445.75</v>
      </c>
      <c r="BO319">
        <f t="shared" si="215"/>
        <v>80490.75</v>
      </c>
      <c r="BP319" s="38">
        <f t="shared" si="216"/>
        <v>78510.75</v>
      </c>
      <c r="BQ319" s="7">
        <f>BP319</f>
        <v>78510.75</v>
      </c>
      <c r="BS319" s="30">
        <f t="shared" si="182"/>
        <v>77570</v>
      </c>
      <c r="BT319" s="4">
        <f t="shared" si="183"/>
        <v>78510.75</v>
      </c>
      <c r="BU319" s="37">
        <f t="shared" si="184"/>
        <v>-940.75</v>
      </c>
      <c r="BV319">
        <f t="shared" si="185"/>
        <v>940.75</v>
      </c>
      <c r="BW319" s="35">
        <f t="shared" si="186"/>
        <v>1.2127755575609127E-2</v>
      </c>
    </row>
    <row r="320" spans="1:75">
      <c r="A320" s="1" t="s">
        <v>321</v>
      </c>
      <c r="B320" s="1">
        <v>80620</v>
      </c>
      <c r="Q320">
        <v>317</v>
      </c>
      <c r="R320" s="27" t="str">
        <f t="shared" si="177"/>
        <v>15/07/2024</v>
      </c>
      <c r="S320" s="27">
        <f t="shared" si="177"/>
        <v>78880</v>
      </c>
      <c r="T320" s="4" t="str">
        <f t="shared" si="178"/>
        <v>A7</v>
      </c>
      <c r="V320">
        <v>317</v>
      </c>
      <c r="W320" s="28" t="str">
        <f t="shared" si="176"/>
        <v>15/07/2024</v>
      </c>
      <c r="X320" s="28">
        <f t="shared" si="176"/>
        <v>78880</v>
      </c>
      <c r="Y320" s="28" t="str">
        <f t="shared" si="176"/>
        <v>A7</v>
      </c>
      <c r="Z320" s="5" t="str">
        <f t="shared" si="187"/>
        <v>A7</v>
      </c>
      <c r="AA320" s="5" t="str">
        <f t="shared" si="188"/>
        <v>A7</v>
      </c>
      <c r="AG320" s="29" t="str">
        <f t="shared" si="179"/>
        <v>15/07/2024</v>
      </c>
      <c r="AH320" s="30">
        <f t="shared" si="179"/>
        <v>78880</v>
      </c>
      <c r="AI320" s="4" t="str">
        <f t="shared" si="180"/>
        <v>A7</v>
      </c>
      <c r="AJ320" s="5" t="str">
        <f t="shared" si="189"/>
        <v>A7</v>
      </c>
      <c r="AK320">
        <f t="shared" si="190"/>
        <v>79891.5</v>
      </c>
      <c r="AL320" t="str">
        <f t="shared" si="191"/>
        <v>A7</v>
      </c>
      <c r="AM320">
        <f t="shared" si="192"/>
        <v>79891.5</v>
      </c>
      <c r="AN320" s="6">
        <f t="shared" si="193"/>
        <v>670</v>
      </c>
      <c r="AO320">
        <f t="shared" si="194"/>
        <v>77905</v>
      </c>
      <c r="AP320">
        <f t="shared" si="217"/>
        <v>77235</v>
      </c>
      <c r="AQ320" s="33">
        <f t="shared" si="195"/>
        <v>78240</v>
      </c>
      <c r="AR320" s="33">
        <f t="shared" si="196"/>
        <v>76900</v>
      </c>
      <c r="AS320">
        <f t="shared" si="197"/>
        <v>77737.5</v>
      </c>
      <c r="AT320" s="5">
        <f t="shared" si="198"/>
        <v>77402.5</v>
      </c>
      <c r="AU320" s="5">
        <f t="shared" si="199"/>
        <v>78910</v>
      </c>
      <c r="AV320" s="5">
        <f t="shared" si="200"/>
        <v>76230</v>
      </c>
      <c r="AW320" s="5">
        <f t="shared" si="201"/>
        <v>77681.666666666672</v>
      </c>
      <c r="AX320" s="5">
        <f t="shared" si="202"/>
        <v>77458.333333333328</v>
      </c>
      <c r="AY320" s="5">
        <f t="shared" si="203"/>
        <v>79580</v>
      </c>
      <c r="AZ320" s="5">
        <f t="shared" si="204"/>
        <v>75560</v>
      </c>
      <c r="BB320" s="32" t="str">
        <f t="shared" si="181"/>
        <v>15/07/2024</v>
      </c>
      <c r="BC320" s="33">
        <f t="shared" si="181"/>
        <v>78880</v>
      </c>
      <c r="BD320" s="4" t="str">
        <f t="shared" si="181"/>
        <v>A7</v>
      </c>
      <c r="BE320">
        <f t="shared" si="205"/>
        <v>78898.25</v>
      </c>
      <c r="BF320">
        <f t="shared" si="206"/>
        <v>78563.25</v>
      </c>
      <c r="BG320">
        <f t="shared" si="207"/>
        <v>79065.75</v>
      </c>
      <c r="BH320">
        <f t="shared" si="208"/>
        <v>78395.75</v>
      </c>
      <c r="BI320">
        <f t="shared" si="209"/>
        <v>78814.5</v>
      </c>
      <c r="BJ320">
        <f t="shared" si="210"/>
        <v>78647</v>
      </c>
      <c r="BK320">
        <f t="shared" si="211"/>
        <v>79400.75</v>
      </c>
      <c r="BL320">
        <f t="shared" si="212"/>
        <v>78060.75</v>
      </c>
      <c r="BM320">
        <f t="shared" si="213"/>
        <v>78786.583333333343</v>
      </c>
      <c r="BN320">
        <f t="shared" si="214"/>
        <v>78674.916666666657</v>
      </c>
      <c r="BO320">
        <f t="shared" si="215"/>
        <v>79735.75</v>
      </c>
      <c r="BP320" s="38">
        <f t="shared" si="216"/>
        <v>77725.75</v>
      </c>
      <c r="BQ320" s="7">
        <f>BP320</f>
        <v>77725.75</v>
      </c>
      <c r="BS320" s="30">
        <f t="shared" si="182"/>
        <v>78880</v>
      </c>
      <c r="BT320" s="4">
        <f t="shared" si="183"/>
        <v>77725.75</v>
      </c>
      <c r="BU320" s="37">
        <f t="shared" si="184"/>
        <v>1154.25</v>
      </c>
      <c r="BV320">
        <f t="shared" si="185"/>
        <v>1154.25</v>
      </c>
      <c r="BW320" s="35">
        <f t="shared" si="186"/>
        <v>1.4632986815415822E-2</v>
      </c>
    </row>
    <row r="321" spans="1:75">
      <c r="A321" s="1" t="s">
        <v>322</v>
      </c>
      <c r="B321" s="1">
        <v>81810</v>
      </c>
      <c r="Q321">
        <v>318</v>
      </c>
      <c r="R321" s="27" t="str">
        <f t="shared" si="177"/>
        <v>16/07/2024</v>
      </c>
      <c r="S321" s="27">
        <f t="shared" si="177"/>
        <v>80320</v>
      </c>
      <c r="T321" s="4" t="str">
        <f t="shared" si="178"/>
        <v>A7</v>
      </c>
      <c r="V321">
        <v>318</v>
      </c>
      <c r="W321" s="28" t="str">
        <f t="shared" si="176"/>
        <v>16/07/2024</v>
      </c>
      <c r="X321" s="28">
        <f t="shared" si="176"/>
        <v>80320</v>
      </c>
      <c r="Y321" s="28" t="str">
        <f t="shared" si="176"/>
        <v>A7</v>
      </c>
      <c r="Z321" s="5" t="str">
        <f t="shared" si="187"/>
        <v>A7</v>
      </c>
      <c r="AA321" s="5" t="str">
        <f t="shared" si="188"/>
        <v>A7</v>
      </c>
      <c r="AG321" s="29" t="str">
        <f t="shared" si="179"/>
        <v>16/07/2024</v>
      </c>
      <c r="AH321" s="30">
        <f t="shared" si="179"/>
        <v>80320</v>
      </c>
      <c r="AI321" s="4" t="str">
        <f t="shared" si="180"/>
        <v>A7</v>
      </c>
      <c r="AJ321" s="5" t="str">
        <f t="shared" si="189"/>
        <v>A7</v>
      </c>
      <c r="AK321">
        <f t="shared" si="190"/>
        <v>79891.5</v>
      </c>
      <c r="AL321" t="str">
        <f t="shared" si="191"/>
        <v>A7</v>
      </c>
      <c r="AM321">
        <f t="shared" si="192"/>
        <v>79891.5</v>
      </c>
      <c r="AN321" s="6">
        <f t="shared" si="193"/>
        <v>230</v>
      </c>
      <c r="AO321">
        <f t="shared" si="194"/>
        <v>78995</v>
      </c>
      <c r="AP321">
        <f t="shared" si="217"/>
        <v>78765</v>
      </c>
      <c r="AQ321" s="33">
        <f t="shared" si="195"/>
        <v>79110</v>
      </c>
      <c r="AR321" s="33">
        <f t="shared" si="196"/>
        <v>78650</v>
      </c>
      <c r="AS321">
        <f t="shared" si="197"/>
        <v>78937.5</v>
      </c>
      <c r="AT321" s="5">
        <f t="shared" si="198"/>
        <v>78822.5</v>
      </c>
      <c r="AU321" s="5">
        <f t="shared" si="199"/>
        <v>79340</v>
      </c>
      <c r="AV321" s="5">
        <f t="shared" si="200"/>
        <v>78420</v>
      </c>
      <c r="AW321" s="5">
        <f t="shared" si="201"/>
        <v>78918.333333333328</v>
      </c>
      <c r="AX321" s="5">
        <f t="shared" si="202"/>
        <v>78841.666666666672</v>
      </c>
      <c r="AY321" s="5">
        <f t="shared" si="203"/>
        <v>79570</v>
      </c>
      <c r="AZ321" s="5">
        <f t="shared" si="204"/>
        <v>78190</v>
      </c>
      <c r="BB321" s="32" t="str">
        <f t="shared" si="181"/>
        <v>16/07/2024</v>
      </c>
      <c r="BC321" s="33">
        <f t="shared" si="181"/>
        <v>80320</v>
      </c>
      <c r="BD321" s="4" t="str">
        <f t="shared" si="181"/>
        <v>A7</v>
      </c>
      <c r="BE321">
        <f t="shared" si="205"/>
        <v>79443.25</v>
      </c>
      <c r="BF321">
        <f t="shared" si="206"/>
        <v>79328.25</v>
      </c>
      <c r="BG321">
        <f t="shared" si="207"/>
        <v>79500.75</v>
      </c>
      <c r="BH321">
        <f t="shared" si="208"/>
        <v>79270.75</v>
      </c>
      <c r="BI321">
        <f t="shared" si="209"/>
        <v>79414.5</v>
      </c>
      <c r="BJ321">
        <f t="shared" si="210"/>
        <v>79357</v>
      </c>
      <c r="BK321">
        <f t="shared" si="211"/>
        <v>79615.75</v>
      </c>
      <c r="BL321">
        <f t="shared" si="212"/>
        <v>79155.75</v>
      </c>
      <c r="BM321">
        <f t="shared" si="213"/>
        <v>79404.916666666657</v>
      </c>
      <c r="BN321">
        <f t="shared" si="214"/>
        <v>79366.583333333343</v>
      </c>
      <c r="BO321" s="38">
        <f t="shared" si="215"/>
        <v>79730.75</v>
      </c>
      <c r="BP321">
        <f t="shared" si="216"/>
        <v>79040.75</v>
      </c>
      <c r="BQ321" s="7">
        <f>BO321</f>
        <v>79730.75</v>
      </c>
      <c r="BS321" s="30">
        <f t="shared" si="182"/>
        <v>80320</v>
      </c>
      <c r="BT321" s="4">
        <f t="shared" si="183"/>
        <v>79730.75</v>
      </c>
      <c r="BU321" s="37">
        <f t="shared" si="184"/>
        <v>589.25</v>
      </c>
      <c r="BV321">
        <f t="shared" si="185"/>
        <v>589.25</v>
      </c>
      <c r="BW321" s="35">
        <f t="shared" si="186"/>
        <v>7.3362798804780874E-3</v>
      </c>
    </row>
    <row r="322" spans="1:75">
      <c r="A322" s="1" t="s">
        <v>323</v>
      </c>
      <c r="B322" s="1">
        <v>81730</v>
      </c>
      <c r="Q322">
        <v>319</v>
      </c>
      <c r="R322" s="27" t="str">
        <f t="shared" si="177"/>
        <v>17/07/2024</v>
      </c>
      <c r="S322" s="27">
        <f t="shared" si="177"/>
        <v>80620</v>
      </c>
      <c r="T322" s="4" t="str">
        <f t="shared" si="178"/>
        <v>A7</v>
      </c>
      <c r="V322">
        <v>319</v>
      </c>
      <c r="W322" s="28" t="str">
        <f t="shared" si="176"/>
        <v>17/07/2024</v>
      </c>
      <c r="X322" s="28">
        <f t="shared" si="176"/>
        <v>80620</v>
      </c>
      <c r="Y322" s="28" t="str">
        <f t="shared" si="176"/>
        <v>A7</v>
      </c>
      <c r="Z322" s="5" t="str">
        <f t="shared" si="187"/>
        <v>A7</v>
      </c>
      <c r="AA322" s="5" t="str">
        <f t="shared" si="188"/>
        <v>A7</v>
      </c>
      <c r="AG322" s="29" t="str">
        <f t="shared" si="179"/>
        <v>17/07/2024</v>
      </c>
      <c r="AH322" s="30">
        <f t="shared" si="179"/>
        <v>80620</v>
      </c>
      <c r="AI322" s="4" t="str">
        <f t="shared" si="180"/>
        <v>A7</v>
      </c>
      <c r="AJ322" s="5" t="str">
        <f t="shared" si="189"/>
        <v>A7</v>
      </c>
      <c r="AK322">
        <f t="shared" si="190"/>
        <v>79891.5</v>
      </c>
      <c r="AL322" t="str">
        <f t="shared" si="191"/>
        <v>A7</v>
      </c>
      <c r="AM322">
        <f t="shared" si="192"/>
        <v>79891.5</v>
      </c>
      <c r="AN322" s="6">
        <f t="shared" si="193"/>
        <v>130</v>
      </c>
      <c r="AO322">
        <f t="shared" si="194"/>
        <v>80385</v>
      </c>
      <c r="AP322">
        <f t="shared" si="217"/>
        <v>80255</v>
      </c>
      <c r="AQ322" s="33">
        <f t="shared" si="195"/>
        <v>80450</v>
      </c>
      <c r="AR322" s="33">
        <f t="shared" si="196"/>
        <v>80190</v>
      </c>
      <c r="AS322">
        <f t="shared" si="197"/>
        <v>80352.5</v>
      </c>
      <c r="AT322" s="5">
        <f t="shared" si="198"/>
        <v>80287.5</v>
      </c>
      <c r="AU322" s="5">
        <f t="shared" si="199"/>
        <v>80580</v>
      </c>
      <c r="AV322" s="5">
        <f t="shared" si="200"/>
        <v>80060</v>
      </c>
      <c r="AW322" s="5">
        <f t="shared" si="201"/>
        <v>80341.666666666672</v>
      </c>
      <c r="AX322" s="5">
        <f t="shared" si="202"/>
        <v>80298.333333333328</v>
      </c>
      <c r="AY322" s="5">
        <f t="shared" si="203"/>
        <v>80710</v>
      </c>
      <c r="AZ322" s="5">
        <f t="shared" si="204"/>
        <v>79930</v>
      </c>
      <c r="BB322" s="32" t="str">
        <f t="shared" si="181"/>
        <v>17/07/2024</v>
      </c>
      <c r="BC322" s="33">
        <f t="shared" si="181"/>
        <v>80620</v>
      </c>
      <c r="BD322" s="4" t="str">
        <f t="shared" si="181"/>
        <v>A7</v>
      </c>
      <c r="BE322">
        <f t="shared" si="205"/>
        <v>80138.25</v>
      </c>
      <c r="BF322">
        <f t="shared" si="206"/>
        <v>80073.25</v>
      </c>
      <c r="BG322">
        <f t="shared" si="207"/>
        <v>80170.75</v>
      </c>
      <c r="BH322">
        <f t="shared" si="208"/>
        <v>80040.75</v>
      </c>
      <c r="BI322">
        <f t="shared" si="209"/>
        <v>80122</v>
      </c>
      <c r="BJ322">
        <f t="shared" si="210"/>
        <v>80089.5</v>
      </c>
      <c r="BK322">
        <f t="shared" si="211"/>
        <v>80235.75</v>
      </c>
      <c r="BL322">
        <f t="shared" si="212"/>
        <v>79975.75</v>
      </c>
      <c r="BM322">
        <f t="shared" si="213"/>
        <v>80116.583333333343</v>
      </c>
      <c r="BN322">
        <f t="shared" si="214"/>
        <v>80094.916666666657</v>
      </c>
      <c r="BO322" s="38">
        <f t="shared" si="215"/>
        <v>80300.75</v>
      </c>
      <c r="BP322">
        <f t="shared" si="216"/>
        <v>79910.75</v>
      </c>
      <c r="BQ322" s="7">
        <f>BO322</f>
        <v>80300.75</v>
      </c>
      <c r="BS322" s="30">
        <f t="shared" si="182"/>
        <v>80620</v>
      </c>
      <c r="BT322" s="4">
        <f t="shared" si="183"/>
        <v>80300.75</v>
      </c>
      <c r="BU322" s="37">
        <f t="shared" si="184"/>
        <v>319.25</v>
      </c>
      <c r="BV322">
        <f t="shared" si="185"/>
        <v>319.25</v>
      </c>
      <c r="BW322" s="35">
        <f t="shared" si="186"/>
        <v>3.9599354998759613E-3</v>
      </c>
    </row>
    <row r="323" spans="1:75">
      <c r="A323" s="1" t="s">
        <v>324</v>
      </c>
      <c r="B323" s="1">
        <v>80540</v>
      </c>
      <c r="Q323">
        <v>320</v>
      </c>
      <c r="R323" s="27" t="str">
        <f t="shared" si="177"/>
        <v>18/07/2024</v>
      </c>
      <c r="S323" s="27">
        <f t="shared" si="177"/>
        <v>81810</v>
      </c>
      <c r="T323" s="4" t="str">
        <f t="shared" si="178"/>
        <v>A7</v>
      </c>
      <c r="V323">
        <v>320</v>
      </c>
      <c r="W323" s="28" t="str">
        <f t="shared" si="176"/>
        <v>18/07/2024</v>
      </c>
      <c r="X323" s="28">
        <f t="shared" si="176"/>
        <v>81810</v>
      </c>
      <c r="Y323" s="28" t="str">
        <f t="shared" si="176"/>
        <v>A7</v>
      </c>
      <c r="Z323" s="5" t="str">
        <f t="shared" si="187"/>
        <v>A7</v>
      </c>
      <c r="AA323" s="5" t="str">
        <f t="shared" si="188"/>
        <v>A7</v>
      </c>
      <c r="AG323" s="29" t="str">
        <f t="shared" si="179"/>
        <v>18/07/2024</v>
      </c>
      <c r="AH323" s="30">
        <f t="shared" si="179"/>
        <v>81810</v>
      </c>
      <c r="AI323" s="4" t="str">
        <f t="shared" si="180"/>
        <v>A7</v>
      </c>
      <c r="AJ323" s="5" t="str">
        <f t="shared" si="189"/>
        <v>A7</v>
      </c>
      <c r="AK323">
        <f t="shared" si="190"/>
        <v>79891.5</v>
      </c>
      <c r="AL323" t="str">
        <f t="shared" si="191"/>
        <v>A7</v>
      </c>
      <c r="AM323">
        <f t="shared" si="192"/>
        <v>79891.5</v>
      </c>
      <c r="AN323" s="6">
        <f t="shared" si="193"/>
        <v>1140</v>
      </c>
      <c r="AO323">
        <f t="shared" si="194"/>
        <v>81190</v>
      </c>
      <c r="AP323">
        <f t="shared" si="217"/>
        <v>80050</v>
      </c>
      <c r="AQ323" s="33">
        <f t="shared" si="195"/>
        <v>81760</v>
      </c>
      <c r="AR323" s="33">
        <f t="shared" si="196"/>
        <v>79480</v>
      </c>
      <c r="AS323">
        <f t="shared" si="197"/>
        <v>80905</v>
      </c>
      <c r="AT323" s="5">
        <f t="shared" si="198"/>
        <v>80335</v>
      </c>
      <c r="AU323" s="5">
        <f t="shared" si="199"/>
        <v>82900</v>
      </c>
      <c r="AV323" s="5">
        <f t="shared" si="200"/>
        <v>78340</v>
      </c>
      <c r="AW323" s="5">
        <f t="shared" si="201"/>
        <v>80810</v>
      </c>
      <c r="AX323" s="5">
        <f t="shared" si="202"/>
        <v>80430</v>
      </c>
      <c r="AY323" s="5">
        <f t="shared" si="203"/>
        <v>84040</v>
      </c>
      <c r="AZ323" s="5">
        <f t="shared" si="204"/>
        <v>77200</v>
      </c>
      <c r="BB323" s="32" t="str">
        <f t="shared" si="181"/>
        <v>18/07/2024</v>
      </c>
      <c r="BC323" s="33">
        <f t="shared" si="181"/>
        <v>81810</v>
      </c>
      <c r="BD323" s="4" t="str">
        <f t="shared" si="181"/>
        <v>A7</v>
      </c>
      <c r="BE323">
        <f t="shared" si="205"/>
        <v>80540.75</v>
      </c>
      <c r="BF323">
        <f t="shared" si="206"/>
        <v>79970.75</v>
      </c>
      <c r="BG323">
        <f t="shared" si="207"/>
        <v>80825.75</v>
      </c>
      <c r="BH323">
        <f t="shared" si="208"/>
        <v>79685.75</v>
      </c>
      <c r="BI323">
        <f t="shared" si="209"/>
        <v>80398.25</v>
      </c>
      <c r="BJ323">
        <f t="shared" si="210"/>
        <v>80113.25</v>
      </c>
      <c r="BK323">
        <f t="shared" si="211"/>
        <v>81395.75</v>
      </c>
      <c r="BL323">
        <f t="shared" si="212"/>
        <v>79115.75</v>
      </c>
      <c r="BM323">
        <f t="shared" si="213"/>
        <v>80350.75</v>
      </c>
      <c r="BN323">
        <f t="shared" si="214"/>
        <v>80160.75</v>
      </c>
      <c r="BO323" s="38">
        <f t="shared" si="215"/>
        <v>81965.75</v>
      </c>
      <c r="BP323">
        <f t="shared" si="216"/>
        <v>78545.75</v>
      </c>
      <c r="BQ323" s="7">
        <f>BO323</f>
        <v>81965.75</v>
      </c>
      <c r="BS323" s="30">
        <f t="shared" si="182"/>
        <v>81810</v>
      </c>
      <c r="BT323" s="4">
        <f t="shared" si="183"/>
        <v>81965.75</v>
      </c>
      <c r="BU323" s="37">
        <f t="shared" si="184"/>
        <v>-155.75</v>
      </c>
      <c r="BV323">
        <f t="shared" si="185"/>
        <v>155.75</v>
      </c>
      <c r="BW323" s="35">
        <f t="shared" si="186"/>
        <v>1.9038014912602372E-3</v>
      </c>
    </row>
    <row r="324" spans="1:75">
      <c r="A324" s="1" t="s">
        <v>325</v>
      </c>
      <c r="B324" s="1">
        <v>80540</v>
      </c>
      <c r="Q324">
        <v>321</v>
      </c>
      <c r="R324" s="27" t="str">
        <f t="shared" si="177"/>
        <v>19/07/2024</v>
      </c>
      <c r="S324" s="27">
        <f t="shared" si="177"/>
        <v>81730</v>
      </c>
      <c r="T324" s="4" t="str">
        <f t="shared" si="178"/>
        <v>A7</v>
      </c>
      <c r="V324">
        <v>321</v>
      </c>
      <c r="W324" s="28" t="str">
        <f t="shared" ref="W324:Y385" si="220">R324</f>
        <v>19/07/2024</v>
      </c>
      <c r="X324" s="28">
        <f t="shared" si="220"/>
        <v>81730</v>
      </c>
      <c r="Y324" s="28" t="str">
        <f t="shared" si="220"/>
        <v>A7</v>
      </c>
      <c r="Z324" s="5" t="str">
        <f t="shared" si="187"/>
        <v>A7</v>
      </c>
      <c r="AA324" s="5" t="str">
        <f t="shared" si="188"/>
        <v>A7</v>
      </c>
      <c r="AG324" s="29" t="str">
        <f t="shared" si="179"/>
        <v>19/07/2024</v>
      </c>
      <c r="AH324" s="30">
        <f t="shared" si="179"/>
        <v>81730</v>
      </c>
      <c r="AI324" s="4" t="str">
        <f t="shared" si="180"/>
        <v>A7</v>
      </c>
      <c r="AJ324" s="5" t="str">
        <f t="shared" si="189"/>
        <v>A7</v>
      </c>
      <c r="AK324">
        <f t="shared" si="190"/>
        <v>79891.5</v>
      </c>
      <c r="AL324" t="str">
        <f t="shared" si="191"/>
        <v>A7</v>
      </c>
      <c r="AM324">
        <f t="shared" si="192"/>
        <v>79891.5</v>
      </c>
      <c r="AN324" s="6">
        <f t="shared" si="193"/>
        <v>890</v>
      </c>
      <c r="AO324">
        <f t="shared" si="194"/>
        <v>82255</v>
      </c>
      <c r="AP324">
        <f t="shared" si="217"/>
        <v>81365</v>
      </c>
      <c r="AQ324" s="33">
        <f t="shared" si="195"/>
        <v>82700</v>
      </c>
      <c r="AR324" s="33">
        <f t="shared" si="196"/>
        <v>80920</v>
      </c>
      <c r="AS324">
        <f t="shared" si="197"/>
        <v>82032.5</v>
      </c>
      <c r="AT324" s="5">
        <f t="shared" si="198"/>
        <v>81587.5</v>
      </c>
      <c r="AU324" s="5">
        <f t="shared" si="199"/>
        <v>83590</v>
      </c>
      <c r="AV324" s="5">
        <f t="shared" si="200"/>
        <v>80030</v>
      </c>
      <c r="AW324" s="5">
        <f t="shared" si="201"/>
        <v>81958.333333333328</v>
      </c>
      <c r="AX324" s="5">
        <f t="shared" si="202"/>
        <v>81661.666666666672</v>
      </c>
      <c r="AY324" s="5">
        <f t="shared" si="203"/>
        <v>84480</v>
      </c>
      <c r="AZ324" s="5">
        <f t="shared" si="204"/>
        <v>79140</v>
      </c>
      <c r="BB324" s="32" t="str">
        <f t="shared" si="181"/>
        <v>19/07/2024</v>
      </c>
      <c r="BC324" s="33">
        <f t="shared" si="181"/>
        <v>81730</v>
      </c>
      <c r="BD324" s="4" t="str">
        <f t="shared" si="181"/>
        <v>A7</v>
      </c>
      <c r="BE324">
        <f t="shared" si="205"/>
        <v>81073.25</v>
      </c>
      <c r="BF324">
        <f t="shared" si="206"/>
        <v>80628.25</v>
      </c>
      <c r="BG324">
        <f t="shared" si="207"/>
        <v>81295.75</v>
      </c>
      <c r="BH324">
        <f t="shared" si="208"/>
        <v>80405.75</v>
      </c>
      <c r="BI324">
        <f t="shared" si="209"/>
        <v>80962</v>
      </c>
      <c r="BJ324">
        <f t="shared" si="210"/>
        <v>80739.5</v>
      </c>
      <c r="BK324" s="38">
        <f t="shared" si="211"/>
        <v>81740.75</v>
      </c>
      <c r="BL324">
        <f t="shared" si="212"/>
        <v>79960.75</v>
      </c>
      <c r="BM324">
        <f t="shared" si="213"/>
        <v>80924.916666666657</v>
      </c>
      <c r="BN324">
        <f t="shared" si="214"/>
        <v>80776.583333333343</v>
      </c>
      <c r="BO324">
        <f t="shared" si="215"/>
        <v>82185.75</v>
      </c>
      <c r="BP324">
        <f t="shared" si="216"/>
        <v>79515.75</v>
      </c>
      <c r="BQ324" s="7">
        <f>BK324</f>
        <v>81740.75</v>
      </c>
      <c r="BS324" s="30">
        <f t="shared" si="182"/>
        <v>81730</v>
      </c>
      <c r="BT324" s="4">
        <f t="shared" si="183"/>
        <v>81740.75</v>
      </c>
      <c r="BU324" s="37">
        <f t="shared" si="184"/>
        <v>-10.75</v>
      </c>
      <c r="BV324">
        <f t="shared" si="185"/>
        <v>10.75</v>
      </c>
      <c r="BW324" s="35">
        <f t="shared" si="186"/>
        <v>1.3153064970023248E-4</v>
      </c>
    </row>
    <row r="325" spans="1:75">
      <c r="A325" s="1" t="s">
        <v>326</v>
      </c>
      <c r="B325" s="1">
        <v>82730</v>
      </c>
      <c r="Q325">
        <v>322</v>
      </c>
      <c r="R325" s="27" t="str">
        <f t="shared" ref="R325:S385" si="221">A323</f>
        <v>20/07/2024</v>
      </c>
      <c r="S325" s="27">
        <f t="shared" si="221"/>
        <v>80540</v>
      </c>
      <c r="T325" s="4" t="str">
        <f t="shared" ref="T325:T386" si="222">VLOOKUP(S325,$N$5:$O$14,2,TRUE)</f>
        <v>A7</v>
      </c>
      <c r="V325">
        <v>322</v>
      </c>
      <c r="W325" s="28" t="str">
        <f t="shared" si="220"/>
        <v>20/07/2024</v>
      </c>
      <c r="X325" s="28">
        <f t="shared" si="220"/>
        <v>80540</v>
      </c>
      <c r="Y325" s="28" t="str">
        <f t="shared" si="220"/>
        <v>A7</v>
      </c>
      <c r="Z325" s="5" t="str">
        <f t="shared" si="187"/>
        <v>A7</v>
      </c>
      <c r="AA325" s="5" t="str">
        <f t="shared" si="188"/>
        <v>A7</v>
      </c>
      <c r="AG325" s="29" t="str">
        <f t="shared" ref="AG325:AH386" si="223">W325</f>
        <v>20/07/2024</v>
      </c>
      <c r="AH325" s="30">
        <f t="shared" si="223"/>
        <v>80540</v>
      </c>
      <c r="AI325" s="4" t="str">
        <f t="shared" ref="AI325:AI386" si="224">VLOOKUP(AH325,$N$5:$O$14,2,TRUE)</f>
        <v>A7</v>
      </c>
      <c r="AJ325" s="5" t="str">
        <f t="shared" si="189"/>
        <v>A7</v>
      </c>
      <c r="AK325">
        <f t="shared" si="190"/>
        <v>79891.5</v>
      </c>
      <c r="AL325" t="str">
        <f t="shared" si="191"/>
        <v>A7</v>
      </c>
      <c r="AM325">
        <f t="shared" si="192"/>
        <v>79891.5</v>
      </c>
      <c r="AN325" s="6">
        <f t="shared" si="193"/>
        <v>1110</v>
      </c>
      <c r="AO325">
        <f t="shared" si="194"/>
        <v>82285</v>
      </c>
      <c r="AP325">
        <f t="shared" si="217"/>
        <v>81175</v>
      </c>
      <c r="AQ325" s="33">
        <f t="shared" si="195"/>
        <v>82840</v>
      </c>
      <c r="AR325" s="33">
        <f t="shared" si="196"/>
        <v>80620</v>
      </c>
      <c r="AS325">
        <f t="shared" si="197"/>
        <v>82007.5</v>
      </c>
      <c r="AT325" s="5">
        <f t="shared" si="198"/>
        <v>81452.5</v>
      </c>
      <c r="AU325" s="5">
        <f t="shared" si="199"/>
        <v>83950</v>
      </c>
      <c r="AV325" s="5">
        <f t="shared" si="200"/>
        <v>79510</v>
      </c>
      <c r="AW325" s="5">
        <f t="shared" si="201"/>
        <v>81915</v>
      </c>
      <c r="AX325" s="5">
        <f t="shared" si="202"/>
        <v>81545</v>
      </c>
      <c r="AY325" s="5">
        <f t="shared" si="203"/>
        <v>85060</v>
      </c>
      <c r="AZ325" s="5">
        <f t="shared" si="204"/>
        <v>78400</v>
      </c>
      <c r="BB325" s="32" t="str">
        <f t="shared" ref="BB325:BD386" si="225">AG325</f>
        <v>20/07/2024</v>
      </c>
      <c r="BC325" s="33">
        <f t="shared" si="225"/>
        <v>80540</v>
      </c>
      <c r="BD325" s="4" t="str">
        <f t="shared" si="225"/>
        <v>A7</v>
      </c>
      <c r="BE325">
        <f t="shared" si="205"/>
        <v>81088.25</v>
      </c>
      <c r="BF325" s="38">
        <f t="shared" si="206"/>
        <v>80533.25</v>
      </c>
      <c r="BG325">
        <f t="shared" si="207"/>
        <v>81365.75</v>
      </c>
      <c r="BH325">
        <f t="shared" si="208"/>
        <v>80255.75</v>
      </c>
      <c r="BI325">
        <f t="shared" si="209"/>
        <v>80949.5</v>
      </c>
      <c r="BJ325">
        <f t="shared" si="210"/>
        <v>80672</v>
      </c>
      <c r="BK325">
        <f t="shared" si="211"/>
        <v>81920.75</v>
      </c>
      <c r="BL325">
        <f t="shared" si="212"/>
        <v>79700.75</v>
      </c>
      <c r="BM325">
        <f t="shared" si="213"/>
        <v>80903.25</v>
      </c>
      <c r="BN325">
        <f t="shared" si="214"/>
        <v>80718.25</v>
      </c>
      <c r="BO325">
        <f t="shared" si="215"/>
        <v>82475.75</v>
      </c>
      <c r="BP325">
        <f t="shared" si="216"/>
        <v>79145.75</v>
      </c>
      <c r="BQ325" s="7">
        <f>BF325</f>
        <v>80533.25</v>
      </c>
      <c r="BS325" s="30">
        <f t="shared" ref="BS325:BS386" si="226">BC325</f>
        <v>80540</v>
      </c>
      <c r="BT325" s="4">
        <f t="shared" ref="BT325:BT386" si="227">BQ325</f>
        <v>80533.25</v>
      </c>
      <c r="BU325" s="37">
        <f t="shared" si="184"/>
        <v>6.75</v>
      </c>
      <c r="BV325">
        <f t="shared" si="185"/>
        <v>6.75</v>
      </c>
      <c r="BW325" s="35">
        <f t="shared" si="186"/>
        <v>8.3809287310653089E-5</v>
      </c>
    </row>
    <row r="326" spans="1:75">
      <c r="A326" s="1" t="s">
        <v>327</v>
      </c>
      <c r="B326" s="1">
        <v>82350</v>
      </c>
      <c r="Q326">
        <v>323</v>
      </c>
      <c r="R326" s="27" t="str">
        <f t="shared" si="221"/>
        <v>21/07/2024</v>
      </c>
      <c r="S326" s="27">
        <f t="shared" si="221"/>
        <v>80540</v>
      </c>
      <c r="T326" s="4" t="str">
        <f t="shared" si="222"/>
        <v>A7</v>
      </c>
      <c r="V326">
        <v>323</v>
      </c>
      <c r="W326" s="28" t="str">
        <f t="shared" si="220"/>
        <v>21/07/2024</v>
      </c>
      <c r="X326" s="28">
        <f t="shared" si="220"/>
        <v>80540</v>
      </c>
      <c r="Y326" s="28" t="str">
        <f t="shared" si="220"/>
        <v>A7</v>
      </c>
      <c r="Z326" s="5" t="str">
        <f t="shared" si="187"/>
        <v>A7</v>
      </c>
      <c r="AA326" s="5" t="str">
        <f t="shared" si="188"/>
        <v>A7</v>
      </c>
      <c r="AG326" s="29" t="str">
        <f t="shared" si="223"/>
        <v>21/07/2024</v>
      </c>
      <c r="AH326" s="30">
        <f t="shared" si="223"/>
        <v>80540</v>
      </c>
      <c r="AI326" s="4" t="str">
        <f t="shared" si="224"/>
        <v>A7</v>
      </c>
      <c r="AJ326" s="5" t="str">
        <f t="shared" si="189"/>
        <v>A7</v>
      </c>
      <c r="AK326">
        <f t="shared" si="190"/>
        <v>79891.5</v>
      </c>
      <c r="AL326" t="str">
        <f t="shared" si="191"/>
        <v>A7</v>
      </c>
      <c r="AM326">
        <f t="shared" si="192"/>
        <v>79891.5</v>
      </c>
      <c r="AN326" s="6">
        <f t="shared" si="193"/>
        <v>1110</v>
      </c>
      <c r="AO326">
        <f t="shared" si="194"/>
        <v>81095</v>
      </c>
      <c r="AP326">
        <f t="shared" si="217"/>
        <v>79985</v>
      </c>
      <c r="AQ326" s="33">
        <f t="shared" si="195"/>
        <v>81650</v>
      </c>
      <c r="AR326" s="33">
        <f t="shared" si="196"/>
        <v>79430</v>
      </c>
      <c r="AS326">
        <f t="shared" si="197"/>
        <v>80817.5</v>
      </c>
      <c r="AT326" s="5">
        <f t="shared" si="198"/>
        <v>80262.5</v>
      </c>
      <c r="AU326" s="5">
        <f t="shared" si="199"/>
        <v>82760</v>
      </c>
      <c r="AV326" s="5">
        <f t="shared" si="200"/>
        <v>78320</v>
      </c>
      <c r="AW326" s="5">
        <f t="shared" si="201"/>
        <v>80725</v>
      </c>
      <c r="AX326" s="5">
        <f t="shared" si="202"/>
        <v>80355</v>
      </c>
      <c r="AY326" s="5">
        <f t="shared" si="203"/>
        <v>83870</v>
      </c>
      <c r="AZ326" s="5">
        <f t="shared" si="204"/>
        <v>77210</v>
      </c>
      <c r="BB326" s="32" t="str">
        <f t="shared" si="225"/>
        <v>21/07/2024</v>
      </c>
      <c r="BC326" s="33">
        <f t="shared" si="225"/>
        <v>80540</v>
      </c>
      <c r="BD326" s="4" t="str">
        <f t="shared" si="225"/>
        <v>A7</v>
      </c>
      <c r="BE326" s="38">
        <f t="shared" si="205"/>
        <v>80493.25</v>
      </c>
      <c r="BF326">
        <f t="shared" si="206"/>
        <v>79938.25</v>
      </c>
      <c r="BG326">
        <f t="shared" si="207"/>
        <v>80770.75</v>
      </c>
      <c r="BH326">
        <f t="shared" si="208"/>
        <v>79660.75</v>
      </c>
      <c r="BI326">
        <f t="shared" si="209"/>
        <v>80354.5</v>
      </c>
      <c r="BJ326">
        <f t="shared" si="210"/>
        <v>80077</v>
      </c>
      <c r="BK326">
        <f t="shared" si="211"/>
        <v>81325.75</v>
      </c>
      <c r="BL326">
        <f t="shared" si="212"/>
        <v>79105.75</v>
      </c>
      <c r="BM326">
        <f t="shared" si="213"/>
        <v>80308.25</v>
      </c>
      <c r="BN326">
        <f t="shared" si="214"/>
        <v>80123.25</v>
      </c>
      <c r="BO326">
        <f t="shared" si="215"/>
        <v>81880.75</v>
      </c>
      <c r="BP326">
        <f t="shared" si="216"/>
        <v>78550.75</v>
      </c>
      <c r="BQ326" s="7">
        <f>BE326</f>
        <v>80493.25</v>
      </c>
      <c r="BS326" s="30">
        <f t="shared" si="226"/>
        <v>80540</v>
      </c>
      <c r="BT326" s="4">
        <f t="shared" si="227"/>
        <v>80493.25</v>
      </c>
      <c r="BU326" s="37">
        <f t="shared" si="184"/>
        <v>46.75</v>
      </c>
      <c r="BV326">
        <f t="shared" si="185"/>
        <v>46.75</v>
      </c>
      <c r="BW326" s="35">
        <f t="shared" si="186"/>
        <v>5.8045691581822695E-4</v>
      </c>
    </row>
    <row r="327" spans="1:75">
      <c r="A327" s="1" t="s">
        <v>328</v>
      </c>
      <c r="B327" s="1">
        <v>82440</v>
      </c>
      <c r="Q327">
        <v>324</v>
      </c>
      <c r="R327" s="27" t="str">
        <f t="shared" si="221"/>
        <v>22/07/2024</v>
      </c>
      <c r="S327" s="27">
        <f t="shared" si="221"/>
        <v>82730</v>
      </c>
      <c r="T327" s="4" t="str">
        <f t="shared" si="222"/>
        <v>A7</v>
      </c>
      <c r="V327">
        <v>324</v>
      </c>
      <c r="W327" s="28" t="str">
        <f t="shared" si="220"/>
        <v>22/07/2024</v>
      </c>
      <c r="X327" s="28">
        <f t="shared" si="220"/>
        <v>82730</v>
      </c>
      <c r="Y327" s="28" t="str">
        <f t="shared" si="220"/>
        <v>A7</v>
      </c>
      <c r="Z327" s="5" t="str">
        <f t="shared" si="187"/>
        <v>A7</v>
      </c>
      <c r="AA327" s="5" t="str">
        <f t="shared" si="188"/>
        <v>A7</v>
      </c>
      <c r="AG327" s="29" t="str">
        <f t="shared" si="223"/>
        <v>22/07/2024</v>
      </c>
      <c r="AH327" s="30">
        <f t="shared" si="223"/>
        <v>82730</v>
      </c>
      <c r="AI327" s="4" t="str">
        <f t="shared" si="224"/>
        <v>A7</v>
      </c>
      <c r="AJ327" s="5" t="str">
        <f t="shared" si="189"/>
        <v>A7</v>
      </c>
      <c r="AK327">
        <f t="shared" si="190"/>
        <v>79891.5</v>
      </c>
      <c r="AL327" t="str">
        <f t="shared" si="191"/>
        <v>A7</v>
      </c>
      <c r="AM327">
        <f t="shared" si="192"/>
        <v>79891.5</v>
      </c>
      <c r="AN327" s="6">
        <f t="shared" si="193"/>
        <v>1190</v>
      </c>
      <c r="AO327">
        <f t="shared" si="194"/>
        <v>81135</v>
      </c>
      <c r="AP327">
        <f t="shared" si="217"/>
        <v>79945</v>
      </c>
      <c r="AQ327" s="33">
        <f t="shared" si="195"/>
        <v>81730</v>
      </c>
      <c r="AR327" s="33">
        <f t="shared" si="196"/>
        <v>79350</v>
      </c>
      <c r="AS327">
        <f t="shared" si="197"/>
        <v>80837.5</v>
      </c>
      <c r="AT327" s="5">
        <f t="shared" si="198"/>
        <v>80242.5</v>
      </c>
      <c r="AU327" s="5">
        <f t="shared" si="199"/>
        <v>82920</v>
      </c>
      <c r="AV327" s="5">
        <f t="shared" si="200"/>
        <v>78160</v>
      </c>
      <c r="AW327" s="5">
        <f t="shared" si="201"/>
        <v>80738.333333333328</v>
      </c>
      <c r="AX327" s="5">
        <f t="shared" si="202"/>
        <v>80341.666666666672</v>
      </c>
      <c r="AY327" s="5">
        <f t="shared" si="203"/>
        <v>84110</v>
      </c>
      <c r="AZ327" s="5">
        <f t="shared" si="204"/>
        <v>76970</v>
      </c>
      <c r="BB327" s="32" t="str">
        <f t="shared" si="225"/>
        <v>22/07/2024</v>
      </c>
      <c r="BC327" s="33">
        <f t="shared" si="225"/>
        <v>82730</v>
      </c>
      <c r="BD327" s="4" t="str">
        <f t="shared" si="225"/>
        <v>A7</v>
      </c>
      <c r="BE327">
        <f t="shared" si="205"/>
        <v>80513.25</v>
      </c>
      <c r="BF327">
        <f t="shared" si="206"/>
        <v>79918.25</v>
      </c>
      <c r="BG327">
        <f t="shared" si="207"/>
        <v>80810.75</v>
      </c>
      <c r="BH327">
        <f t="shared" si="208"/>
        <v>79620.75</v>
      </c>
      <c r="BI327">
        <f t="shared" si="209"/>
        <v>80364.5</v>
      </c>
      <c r="BJ327">
        <f t="shared" si="210"/>
        <v>80067</v>
      </c>
      <c r="BK327">
        <f t="shared" si="211"/>
        <v>81405.75</v>
      </c>
      <c r="BL327">
        <f t="shared" si="212"/>
        <v>79025.75</v>
      </c>
      <c r="BM327">
        <f t="shared" si="213"/>
        <v>80314.916666666657</v>
      </c>
      <c r="BN327">
        <f t="shared" si="214"/>
        <v>80116.583333333343</v>
      </c>
      <c r="BO327" s="38">
        <f t="shared" si="215"/>
        <v>82000.75</v>
      </c>
      <c r="BP327">
        <f t="shared" si="216"/>
        <v>78430.75</v>
      </c>
      <c r="BQ327" s="7">
        <f>BO327</f>
        <v>82000.75</v>
      </c>
      <c r="BS327" s="30">
        <f t="shared" si="226"/>
        <v>82730</v>
      </c>
      <c r="BT327" s="4">
        <f t="shared" si="227"/>
        <v>82000.75</v>
      </c>
      <c r="BU327" s="37">
        <f t="shared" ref="BU327:BU387" si="228">BS327-BT327</f>
        <v>729.25</v>
      </c>
      <c r="BV327">
        <f t="shared" ref="BV327:BV387" si="229">ABS(BU327)</f>
        <v>729.25</v>
      </c>
      <c r="BW327" s="35">
        <f t="shared" ref="BW327:BW387" si="230">BV327/BS327</f>
        <v>8.8148192916717039E-3</v>
      </c>
    </row>
    <row r="328" spans="1:75">
      <c r="A328" s="1" t="s">
        <v>329</v>
      </c>
      <c r="B328" s="1">
        <v>80580</v>
      </c>
      <c r="Q328">
        <v>325</v>
      </c>
      <c r="R328" s="27" t="str">
        <f t="shared" si="221"/>
        <v>23/07/2024</v>
      </c>
      <c r="S328" s="27">
        <f t="shared" si="221"/>
        <v>82350</v>
      </c>
      <c r="T328" s="4" t="str">
        <f t="shared" si="222"/>
        <v>A7</v>
      </c>
      <c r="V328">
        <v>325</v>
      </c>
      <c r="W328" s="28" t="str">
        <f t="shared" si="220"/>
        <v>23/07/2024</v>
      </c>
      <c r="X328" s="28">
        <f t="shared" si="220"/>
        <v>82350</v>
      </c>
      <c r="Y328" s="28" t="str">
        <f t="shared" si="220"/>
        <v>A7</v>
      </c>
      <c r="Z328" s="5" t="str">
        <f t="shared" ref="Z328:Z386" si="231">Y326</f>
        <v>A7</v>
      </c>
      <c r="AA328" s="5" t="str">
        <f t="shared" ref="AA328:AA386" si="232">Y327</f>
        <v>A7</v>
      </c>
      <c r="AG328" s="29" t="str">
        <f t="shared" si="223"/>
        <v>23/07/2024</v>
      </c>
      <c r="AH328" s="30">
        <f t="shared" si="223"/>
        <v>82350</v>
      </c>
      <c r="AI328" s="4" t="str">
        <f t="shared" si="224"/>
        <v>A7</v>
      </c>
      <c r="AJ328" s="5" t="str">
        <f t="shared" ref="AJ328:AJ387" si="233">AI326</f>
        <v>A7</v>
      </c>
      <c r="AK328">
        <f t="shared" ref="AK328:AK387" si="234">VLOOKUP(AJ328,$AC$18:$AD$27,2,FALSE)</f>
        <v>79891.5</v>
      </c>
      <c r="AL328" t="str">
        <f t="shared" ref="AL328:AL387" si="235">AI327</f>
        <v>A7</v>
      </c>
      <c r="AM328">
        <f t="shared" ref="AM328:AM387" si="236">VLOOKUP(AL328,$AC$18:$AD$27,2,FALSE)</f>
        <v>79891.5</v>
      </c>
      <c r="AN328" s="6">
        <f t="shared" ref="AN328:AN386" si="237">ABS(ABS(AH327-AH326)-ABS(AH326-AH325))</f>
        <v>2190</v>
      </c>
      <c r="AO328">
        <f t="shared" ref="AO328:AO387" si="238">AH327+AN328/2</f>
        <v>83825</v>
      </c>
      <c r="AP328">
        <f t="shared" si="217"/>
        <v>81635</v>
      </c>
      <c r="AQ328" s="33">
        <f t="shared" ref="AQ328:AQ387" si="239">AH327+AN328</f>
        <v>84920</v>
      </c>
      <c r="AR328" s="33">
        <f t="shared" ref="AR328:AR387" si="240">AH327-AN328</f>
        <v>80540</v>
      </c>
      <c r="AS328">
        <f t="shared" ref="AS328:AS387" si="241">AH327+AN328/4</f>
        <v>83277.5</v>
      </c>
      <c r="AT328" s="5">
        <f t="shared" ref="AT328:AT387" si="242">AH327-AN328/4</f>
        <v>82182.5</v>
      </c>
      <c r="AU328" s="5">
        <f t="shared" ref="AU328:AU387" si="243">AH327+2*AN328</f>
        <v>87110</v>
      </c>
      <c r="AV328" s="5">
        <f t="shared" ref="AV328:AV387" si="244">AH327-2*AN328</f>
        <v>78350</v>
      </c>
      <c r="AW328" s="5">
        <f t="shared" ref="AW328:AW387" si="245">AH327+AN328/6</f>
        <v>83095</v>
      </c>
      <c r="AX328" s="5">
        <f t="shared" ref="AX328:AX387" si="246">AH327-AN328/6</f>
        <v>82365</v>
      </c>
      <c r="AY328" s="5">
        <f t="shared" ref="AY328:AY387" si="247">AH327+3*AN328</f>
        <v>89300</v>
      </c>
      <c r="AZ328" s="5">
        <f t="shared" ref="AZ328:AZ387" si="248">AH327-3*AN328</f>
        <v>76160</v>
      </c>
      <c r="BB328" s="32" t="str">
        <f t="shared" si="225"/>
        <v>23/07/2024</v>
      </c>
      <c r="BC328" s="33">
        <f t="shared" si="225"/>
        <v>82350</v>
      </c>
      <c r="BD328" s="4" t="str">
        <f t="shared" si="225"/>
        <v>A7</v>
      </c>
      <c r="BE328">
        <f t="shared" ref="BE328:BE386" si="249">(AO328+AM328)/(1+1)</f>
        <v>81858.25</v>
      </c>
      <c r="BF328">
        <f t="shared" ref="BF328:BF386" si="250">(AP328+AM328)/(1+1)</f>
        <v>80763.25</v>
      </c>
      <c r="BG328" s="38">
        <f t="shared" ref="BG328:BG386" si="251">(AQ328+AM328)/(1+1)</f>
        <v>82405.75</v>
      </c>
      <c r="BH328">
        <f t="shared" ref="BH328:BH386" si="252">(AR328+AM328)/(1+1)</f>
        <v>80215.75</v>
      </c>
      <c r="BI328">
        <f t="shared" ref="BI328:BI386" si="253">(AS328+AM328)/(1+1)</f>
        <v>81584.5</v>
      </c>
      <c r="BJ328">
        <f t="shared" ref="BJ328:BJ386" si="254">(AT328+AM328)/(1+1)</f>
        <v>81037</v>
      </c>
      <c r="BK328">
        <f t="shared" ref="BK328:BK386" si="255">(AU328+AM328)/(1+1)</f>
        <v>83500.75</v>
      </c>
      <c r="BL328">
        <f t="shared" ref="BL328:BL386" si="256">(AV328+AM328)/(1+1)</f>
        <v>79120.75</v>
      </c>
      <c r="BM328">
        <f t="shared" ref="BM328:BM386" si="257">(AW328+AM328)/(1+1)</f>
        <v>81493.25</v>
      </c>
      <c r="BN328">
        <f t="shared" ref="BN328:BN386" si="258">(AX328+AM328)/(1+1)</f>
        <v>81128.25</v>
      </c>
      <c r="BO328">
        <f t="shared" ref="BO328:BO386" si="259">(AY328+AM328)/(1+1)</f>
        <v>84595.75</v>
      </c>
      <c r="BP328">
        <f t="shared" ref="BP328:BP386" si="260">(AZ328+AM328)/(1+1)</f>
        <v>78025.75</v>
      </c>
      <c r="BQ328" s="7">
        <f>BG328</f>
        <v>82405.75</v>
      </c>
      <c r="BS328" s="30">
        <f t="shared" si="226"/>
        <v>82350</v>
      </c>
      <c r="BT328" s="4">
        <f t="shared" si="227"/>
        <v>82405.75</v>
      </c>
      <c r="BU328" s="37">
        <f t="shared" si="228"/>
        <v>-55.75</v>
      </c>
      <c r="BV328">
        <f t="shared" si="229"/>
        <v>55.75</v>
      </c>
      <c r="BW328" s="35">
        <f t="shared" si="230"/>
        <v>6.7698846387370974E-4</v>
      </c>
    </row>
    <row r="329" spans="1:75">
      <c r="A329" s="1" t="s">
        <v>330</v>
      </c>
      <c r="B329" s="1">
        <v>81100</v>
      </c>
      <c r="Q329">
        <v>326</v>
      </c>
      <c r="R329" s="27" t="str">
        <f t="shared" si="221"/>
        <v>24/07/2024</v>
      </c>
      <c r="S329" s="27">
        <f t="shared" si="221"/>
        <v>82440</v>
      </c>
      <c r="T329" s="4" t="str">
        <f t="shared" si="222"/>
        <v>A7</v>
      </c>
      <c r="V329">
        <v>326</v>
      </c>
      <c r="W329" s="28" t="str">
        <f t="shared" si="220"/>
        <v>24/07/2024</v>
      </c>
      <c r="X329" s="28">
        <f t="shared" si="220"/>
        <v>82440</v>
      </c>
      <c r="Y329" s="28" t="str">
        <f t="shared" si="220"/>
        <v>A7</v>
      </c>
      <c r="Z329" s="5" t="str">
        <f t="shared" si="231"/>
        <v>A7</v>
      </c>
      <c r="AA329" s="5" t="str">
        <f t="shared" si="232"/>
        <v>A7</v>
      </c>
      <c r="AG329" s="29" t="str">
        <f t="shared" si="223"/>
        <v>24/07/2024</v>
      </c>
      <c r="AH329" s="30">
        <f t="shared" si="223"/>
        <v>82440</v>
      </c>
      <c r="AI329" s="4" t="str">
        <f t="shared" si="224"/>
        <v>A7</v>
      </c>
      <c r="AJ329" s="5" t="str">
        <f t="shared" si="233"/>
        <v>A7</v>
      </c>
      <c r="AK329">
        <f t="shared" si="234"/>
        <v>79891.5</v>
      </c>
      <c r="AL329" t="str">
        <f t="shared" si="235"/>
        <v>A7</v>
      </c>
      <c r="AM329">
        <f t="shared" si="236"/>
        <v>79891.5</v>
      </c>
      <c r="AN329" s="6">
        <f t="shared" si="237"/>
        <v>1810</v>
      </c>
      <c r="AO329">
        <f t="shared" si="238"/>
        <v>83255</v>
      </c>
      <c r="AP329">
        <f t="shared" si="217"/>
        <v>81445</v>
      </c>
      <c r="AQ329" s="33">
        <f t="shared" si="239"/>
        <v>84160</v>
      </c>
      <c r="AR329" s="33">
        <f t="shared" si="240"/>
        <v>80540</v>
      </c>
      <c r="AS329">
        <f t="shared" si="241"/>
        <v>82802.5</v>
      </c>
      <c r="AT329" s="5">
        <f t="shared" si="242"/>
        <v>81897.5</v>
      </c>
      <c r="AU329" s="5">
        <f t="shared" si="243"/>
        <v>85970</v>
      </c>
      <c r="AV329" s="5">
        <f t="shared" si="244"/>
        <v>78730</v>
      </c>
      <c r="AW329" s="5">
        <f t="shared" si="245"/>
        <v>82651.666666666672</v>
      </c>
      <c r="AX329" s="5">
        <f t="shared" si="246"/>
        <v>82048.333333333328</v>
      </c>
      <c r="AY329" s="5">
        <f t="shared" si="247"/>
        <v>87780</v>
      </c>
      <c r="AZ329" s="5">
        <f t="shared" si="248"/>
        <v>76920</v>
      </c>
      <c r="BB329" s="32" t="str">
        <f t="shared" si="225"/>
        <v>24/07/2024</v>
      </c>
      <c r="BC329" s="33">
        <f t="shared" si="225"/>
        <v>82440</v>
      </c>
      <c r="BD329" s="4" t="str">
        <f t="shared" si="225"/>
        <v>A7</v>
      </c>
      <c r="BE329">
        <f t="shared" si="249"/>
        <v>81573.25</v>
      </c>
      <c r="BF329">
        <f t="shared" si="250"/>
        <v>80668.25</v>
      </c>
      <c r="BG329" s="38">
        <f t="shared" si="251"/>
        <v>82025.75</v>
      </c>
      <c r="BH329">
        <f t="shared" si="252"/>
        <v>80215.75</v>
      </c>
      <c r="BI329">
        <f t="shared" si="253"/>
        <v>81347</v>
      </c>
      <c r="BJ329">
        <f t="shared" si="254"/>
        <v>80894.5</v>
      </c>
      <c r="BK329">
        <f t="shared" si="255"/>
        <v>82930.75</v>
      </c>
      <c r="BL329">
        <f t="shared" si="256"/>
        <v>79310.75</v>
      </c>
      <c r="BM329">
        <f t="shared" si="257"/>
        <v>81271.583333333343</v>
      </c>
      <c r="BN329">
        <f t="shared" si="258"/>
        <v>80969.916666666657</v>
      </c>
      <c r="BO329">
        <f t="shared" si="259"/>
        <v>83835.75</v>
      </c>
      <c r="BP329">
        <f t="shared" si="260"/>
        <v>78405.75</v>
      </c>
      <c r="BQ329" s="7">
        <f>BG329</f>
        <v>82025.75</v>
      </c>
      <c r="BS329" s="30">
        <f t="shared" si="226"/>
        <v>82440</v>
      </c>
      <c r="BT329" s="4">
        <f t="shared" si="227"/>
        <v>82025.75</v>
      </c>
      <c r="BU329" s="37">
        <f t="shared" si="228"/>
        <v>414.25</v>
      </c>
      <c r="BV329">
        <f t="shared" si="229"/>
        <v>414.25</v>
      </c>
      <c r="BW329" s="35">
        <f t="shared" si="230"/>
        <v>5.0248665696263949E-3</v>
      </c>
    </row>
    <row r="330" spans="1:75">
      <c r="A330" s="1" t="s">
        <v>331</v>
      </c>
      <c r="B330" s="1">
        <v>80800</v>
      </c>
      <c r="Q330">
        <v>327</v>
      </c>
      <c r="R330" s="27" t="str">
        <f t="shared" si="221"/>
        <v>25/07/2024</v>
      </c>
      <c r="S330" s="27">
        <f t="shared" si="221"/>
        <v>80580</v>
      </c>
      <c r="T330" s="4" t="str">
        <f t="shared" si="222"/>
        <v>A7</v>
      </c>
      <c r="V330">
        <v>327</v>
      </c>
      <c r="W330" s="28" t="str">
        <f t="shared" si="220"/>
        <v>25/07/2024</v>
      </c>
      <c r="X330" s="28">
        <f t="shared" si="220"/>
        <v>80580</v>
      </c>
      <c r="Y330" s="28" t="str">
        <f t="shared" si="220"/>
        <v>A7</v>
      </c>
      <c r="Z330" s="5" t="str">
        <f t="shared" si="231"/>
        <v>A7</v>
      </c>
      <c r="AA330" s="5" t="str">
        <f t="shared" si="232"/>
        <v>A7</v>
      </c>
      <c r="AG330" s="29" t="str">
        <f t="shared" si="223"/>
        <v>25/07/2024</v>
      </c>
      <c r="AH330" s="30">
        <f t="shared" si="223"/>
        <v>80580</v>
      </c>
      <c r="AI330" s="4" t="str">
        <f t="shared" si="224"/>
        <v>A7</v>
      </c>
      <c r="AJ330" s="5" t="str">
        <f t="shared" si="233"/>
        <v>A7</v>
      </c>
      <c r="AK330">
        <f t="shared" si="234"/>
        <v>79891.5</v>
      </c>
      <c r="AL330" t="str">
        <f t="shared" si="235"/>
        <v>A7</v>
      </c>
      <c r="AM330">
        <f t="shared" si="236"/>
        <v>79891.5</v>
      </c>
      <c r="AN330" s="6">
        <f t="shared" si="237"/>
        <v>290</v>
      </c>
      <c r="AO330">
        <f t="shared" si="238"/>
        <v>82585</v>
      </c>
      <c r="AP330">
        <f t="shared" si="217"/>
        <v>82295</v>
      </c>
      <c r="AQ330" s="33">
        <f t="shared" si="239"/>
        <v>82730</v>
      </c>
      <c r="AR330" s="33">
        <f t="shared" si="240"/>
        <v>82150</v>
      </c>
      <c r="AS330">
        <f t="shared" si="241"/>
        <v>82512.5</v>
      </c>
      <c r="AT330" s="5">
        <f t="shared" si="242"/>
        <v>82367.5</v>
      </c>
      <c r="AU330" s="5">
        <f t="shared" si="243"/>
        <v>83020</v>
      </c>
      <c r="AV330" s="5">
        <f t="shared" si="244"/>
        <v>81860</v>
      </c>
      <c r="AW330" s="5">
        <f t="shared" si="245"/>
        <v>82488.333333333328</v>
      </c>
      <c r="AX330" s="5">
        <f t="shared" si="246"/>
        <v>82391.666666666672</v>
      </c>
      <c r="AY330" s="5">
        <f t="shared" si="247"/>
        <v>83310</v>
      </c>
      <c r="AZ330" s="5">
        <f t="shared" si="248"/>
        <v>81570</v>
      </c>
      <c r="BB330" s="32" t="str">
        <f t="shared" si="225"/>
        <v>25/07/2024</v>
      </c>
      <c r="BC330" s="33">
        <f t="shared" si="225"/>
        <v>80580</v>
      </c>
      <c r="BD330" s="4" t="str">
        <f t="shared" si="225"/>
        <v>A7</v>
      </c>
      <c r="BE330">
        <f t="shared" si="249"/>
        <v>81238.25</v>
      </c>
      <c r="BF330">
        <f t="shared" si="250"/>
        <v>81093.25</v>
      </c>
      <c r="BG330">
        <f t="shared" si="251"/>
        <v>81310.75</v>
      </c>
      <c r="BH330">
        <f t="shared" si="252"/>
        <v>81020.75</v>
      </c>
      <c r="BI330">
        <f t="shared" si="253"/>
        <v>81202</v>
      </c>
      <c r="BJ330">
        <f t="shared" si="254"/>
        <v>81129.5</v>
      </c>
      <c r="BK330">
        <f t="shared" si="255"/>
        <v>81455.75</v>
      </c>
      <c r="BL330">
        <f t="shared" si="256"/>
        <v>80875.75</v>
      </c>
      <c r="BM330">
        <f t="shared" si="257"/>
        <v>81189.916666666657</v>
      </c>
      <c r="BN330">
        <f t="shared" si="258"/>
        <v>81141.583333333343</v>
      </c>
      <c r="BO330">
        <f t="shared" si="259"/>
        <v>81600.75</v>
      </c>
      <c r="BP330" s="38">
        <f t="shared" si="260"/>
        <v>80730.75</v>
      </c>
      <c r="BQ330" s="7">
        <f>BP330</f>
        <v>80730.75</v>
      </c>
      <c r="BS330" s="30">
        <f t="shared" si="226"/>
        <v>80580</v>
      </c>
      <c r="BT330" s="4">
        <f t="shared" si="227"/>
        <v>80730.75</v>
      </c>
      <c r="BU330" s="37">
        <f t="shared" si="228"/>
        <v>-150.75</v>
      </c>
      <c r="BV330">
        <f t="shared" si="229"/>
        <v>150.75</v>
      </c>
      <c r="BW330" s="35">
        <f t="shared" si="230"/>
        <v>1.8708116157855547E-3</v>
      </c>
    </row>
    <row r="331" spans="1:75">
      <c r="A331" s="1" t="s">
        <v>332</v>
      </c>
      <c r="B331" s="1">
        <v>81060</v>
      </c>
      <c r="Q331">
        <v>328</v>
      </c>
      <c r="R331" s="27" t="str">
        <f t="shared" si="221"/>
        <v>26/07/2024</v>
      </c>
      <c r="S331" s="27">
        <f t="shared" si="221"/>
        <v>81100</v>
      </c>
      <c r="T331" s="4" t="str">
        <f t="shared" si="222"/>
        <v>A7</v>
      </c>
      <c r="V331">
        <v>328</v>
      </c>
      <c r="W331" s="28" t="str">
        <f t="shared" si="220"/>
        <v>26/07/2024</v>
      </c>
      <c r="X331" s="28">
        <f t="shared" si="220"/>
        <v>81100</v>
      </c>
      <c r="Y331" s="28" t="str">
        <f t="shared" si="220"/>
        <v>A7</v>
      </c>
      <c r="Z331" s="5" t="str">
        <f t="shared" si="231"/>
        <v>A7</v>
      </c>
      <c r="AA331" s="5" t="str">
        <f t="shared" si="232"/>
        <v>A7</v>
      </c>
      <c r="AG331" s="29" t="str">
        <f t="shared" si="223"/>
        <v>26/07/2024</v>
      </c>
      <c r="AH331" s="30">
        <f t="shared" si="223"/>
        <v>81100</v>
      </c>
      <c r="AI331" s="4" t="str">
        <f t="shared" si="224"/>
        <v>A7</v>
      </c>
      <c r="AJ331" s="5" t="str">
        <f t="shared" si="233"/>
        <v>A7</v>
      </c>
      <c r="AK331">
        <f t="shared" si="234"/>
        <v>79891.5</v>
      </c>
      <c r="AL331" t="str">
        <f t="shared" si="235"/>
        <v>A7</v>
      </c>
      <c r="AM331">
        <f t="shared" si="236"/>
        <v>79891.5</v>
      </c>
      <c r="AN331" s="6">
        <f t="shared" si="237"/>
        <v>1770</v>
      </c>
      <c r="AO331">
        <f t="shared" si="238"/>
        <v>81465</v>
      </c>
      <c r="AP331">
        <f t="shared" si="217"/>
        <v>79695</v>
      </c>
      <c r="AQ331" s="33">
        <f t="shared" si="239"/>
        <v>82350</v>
      </c>
      <c r="AR331" s="33">
        <f t="shared" si="240"/>
        <v>78810</v>
      </c>
      <c r="AS331">
        <f t="shared" si="241"/>
        <v>81022.5</v>
      </c>
      <c r="AT331" s="5">
        <f t="shared" si="242"/>
        <v>80137.5</v>
      </c>
      <c r="AU331" s="5">
        <f t="shared" si="243"/>
        <v>84120</v>
      </c>
      <c r="AV331" s="5">
        <f t="shared" si="244"/>
        <v>77040</v>
      </c>
      <c r="AW331" s="5">
        <f t="shared" si="245"/>
        <v>80875</v>
      </c>
      <c r="AX331" s="5">
        <f t="shared" si="246"/>
        <v>80285</v>
      </c>
      <c r="AY331" s="5">
        <f t="shared" si="247"/>
        <v>85890</v>
      </c>
      <c r="AZ331" s="5">
        <f t="shared" si="248"/>
        <v>75270</v>
      </c>
      <c r="BB331" s="32" t="str">
        <f t="shared" si="225"/>
        <v>26/07/2024</v>
      </c>
      <c r="BC331" s="33">
        <f t="shared" si="225"/>
        <v>81100</v>
      </c>
      <c r="BD331" s="4" t="str">
        <f t="shared" si="225"/>
        <v>A7</v>
      </c>
      <c r="BE331">
        <f t="shared" si="249"/>
        <v>80678.25</v>
      </c>
      <c r="BF331">
        <f t="shared" si="250"/>
        <v>79793.25</v>
      </c>
      <c r="BG331" s="38">
        <f t="shared" si="251"/>
        <v>81120.75</v>
      </c>
      <c r="BH331">
        <f t="shared" si="252"/>
        <v>79350.75</v>
      </c>
      <c r="BI331">
        <f t="shared" si="253"/>
        <v>80457</v>
      </c>
      <c r="BJ331">
        <f t="shared" si="254"/>
        <v>80014.5</v>
      </c>
      <c r="BK331">
        <f t="shared" si="255"/>
        <v>82005.75</v>
      </c>
      <c r="BL331">
        <f t="shared" si="256"/>
        <v>78465.75</v>
      </c>
      <c r="BM331">
        <f t="shared" si="257"/>
        <v>80383.25</v>
      </c>
      <c r="BN331">
        <f t="shared" si="258"/>
        <v>80088.25</v>
      </c>
      <c r="BO331">
        <f t="shared" si="259"/>
        <v>82890.75</v>
      </c>
      <c r="BP331">
        <f t="shared" si="260"/>
        <v>77580.75</v>
      </c>
      <c r="BQ331" s="7">
        <f>BG331</f>
        <v>81120.75</v>
      </c>
      <c r="BS331" s="30">
        <f t="shared" si="226"/>
        <v>81100</v>
      </c>
      <c r="BT331" s="4">
        <f t="shared" si="227"/>
        <v>81120.75</v>
      </c>
      <c r="BU331" s="37">
        <f t="shared" si="228"/>
        <v>-20.75</v>
      </c>
      <c r="BV331">
        <f t="shared" si="229"/>
        <v>20.75</v>
      </c>
      <c r="BW331" s="35">
        <f t="shared" si="230"/>
        <v>2.558569667077682E-4</v>
      </c>
    </row>
    <row r="332" spans="1:75">
      <c r="A332" s="1" t="s">
        <v>333</v>
      </c>
      <c r="B332" s="1">
        <v>80620</v>
      </c>
      <c r="Q332">
        <v>329</v>
      </c>
      <c r="R332" s="27" t="str">
        <f t="shared" si="221"/>
        <v>27/07/2024</v>
      </c>
      <c r="S332" s="27">
        <f t="shared" si="221"/>
        <v>80800</v>
      </c>
      <c r="T332" s="4" t="str">
        <f t="shared" si="222"/>
        <v>A7</v>
      </c>
      <c r="V332">
        <v>329</v>
      </c>
      <c r="W332" s="28" t="str">
        <f t="shared" si="220"/>
        <v>27/07/2024</v>
      </c>
      <c r="X332" s="28">
        <f t="shared" si="220"/>
        <v>80800</v>
      </c>
      <c r="Y332" s="28" t="str">
        <f t="shared" si="220"/>
        <v>A7</v>
      </c>
      <c r="Z332" s="5" t="str">
        <f t="shared" si="231"/>
        <v>A7</v>
      </c>
      <c r="AA332" s="5" t="str">
        <f t="shared" si="232"/>
        <v>A7</v>
      </c>
      <c r="AG332" s="29" t="str">
        <f t="shared" si="223"/>
        <v>27/07/2024</v>
      </c>
      <c r="AH332" s="30">
        <f t="shared" si="223"/>
        <v>80800</v>
      </c>
      <c r="AI332" s="4" t="str">
        <f t="shared" si="224"/>
        <v>A7</v>
      </c>
      <c r="AJ332" s="5" t="str">
        <f t="shared" si="233"/>
        <v>A7</v>
      </c>
      <c r="AK332">
        <f t="shared" si="234"/>
        <v>79891.5</v>
      </c>
      <c r="AL332" t="str">
        <f t="shared" si="235"/>
        <v>A7</v>
      </c>
      <c r="AM332">
        <f t="shared" si="236"/>
        <v>79891.5</v>
      </c>
      <c r="AN332" s="6">
        <f t="shared" si="237"/>
        <v>1340</v>
      </c>
      <c r="AO332">
        <f t="shared" si="238"/>
        <v>81770</v>
      </c>
      <c r="AP332">
        <f t="shared" ref="AP332:AP387" si="261">AH331-AN332/2</f>
        <v>80430</v>
      </c>
      <c r="AQ332" s="33">
        <f t="shared" si="239"/>
        <v>82440</v>
      </c>
      <c r="AR332" s="33">
        <f t="shared" si="240"/>
        <v>79760</v>
      </c>
      <c r="AS332">
        <f t="shared" si="241"/>
        <v>81435</v>
      </c>
      <c r="AT332" s="5">
        <f t="shared" si="242"/>
        <v>80765</v>
      </c>
      <c r="AU332" s="5">
        <f t="shared" si="243"/>
        <v>83780</v>
      </c>
      <c r="AV332" s="5">
        <f t="shared" si="244"/>
        <v>78420</v>
      </c>
      <c r="AW332" s="5">
        <f t="shared" si="245"/>
        <v>81323.333333333328</v>
      </c>
      <c r="AX332" s="5">
        <f t="shared" si="246"/>
        <v>80876.666666666672</v>
      </c>
      <c r="AY332" s="5">
        <f t="shared" si="247"/>
        <v>85120</v>
      </c>
      <c r="AZ332" s="5">
        <f t="shared" si="248"/>
        <v>77080</v>
      </c>
      <c r="BB332" s="32" t="str">
        <f t="shared" si="225"/>
        <v>27/07/2024</v>
      </c>
      <c r="BC332" s="33">
        <f t="shared" si="225"/>
        <v>80800</v>
      </c>
      <c r="BD332" s="4" t="str">
        <f t="shared" si="225"/>
        <v>A7</v>
      </c>
      <c r="BE332" s="38">
        <f t="shared" si="249"/>
        <v>80830.75</v>
      </c>
      <c r="BF332">
        <f t="shared" si="250"/>
        <v>80160.75</v>
      </c>
      <c r="BG332">
        <f t="shared" si="251"/>
        <v>81165.75</v>
      </c>
      <c r="BH332">
        <f t="shared" si="252"/>
        <v>79825.75</v>
      </c>
      <c r="BI332">
        <f t="shared" si="253"/>
        <v>80663.25</v>
      </c>
      <c r="BJ332">
        <f t="shared" si="254"/>
        <v>80328.25</v>
      </c>
      <c r="BK332">
        <f t="shared" si="255"/>
        <v>81835.75</v>
      </c>
      <c r="BL332">
        <f t="shared" si="256"/>
        <v>79155.75</v>
      </c>
      <c r="BM332">
        <f t="shared" si="257"/>
        <v>80607.416666666657</v>
      </c>
      <c r="BN332">
        <f t="shared" si="258"/>
        <v>80384.083333333343</v>
      </c>
      <c r="BO332">
        <f t="shared" si="259"/>
        <v>82505.75</v>
      </c>
      <c r="BP332">
        <f t="shared" si="260"/>
        <v>78485.75</v>
      </c>
      <c r="BQ332" s="7">
        <f>BE332</f>
        <v>80830.75</v>
      </c>
      <c r="BS332" s="30">
        <f t="shared" si="226"/>
        <v>80800</v>
      </c>
      <c r="BT332" s="4">
        <f t="shared" si="227"/>
        <v>80830.75</v>
      </c>
      <c r="BU332" s="37">
        <f t="shared" si="228"/>
        <v>-30.75</v>
      </c>
      <c r="BV332">
        <f t="shared" si="229"/>
        <v>30.75</v>
      </c>
      <c r="BW332" s="35">
        <f t="shared" si="230"/>
        <v>3.8056930693069308E-4</v>
      </c>
    </row>
    <row r="333" spans="1:75">
      <c r="A333" s="1" t="s">
        <v>334</v>
      </c>
      <c r="B333" s="1">
        <v>80750</v>
      </c>
      <c r="Q333">
        <v>330</v>
      </c>
      <c r="R333" s="27" t="str">
        <f t="shared" si="221"/>
        <v>28/07/2024</v>
      </c>
      <c r="S333" s="27">
        <f t="shared" si="221"/>
        <v>81060</v>
      </c>
      <c r="T333" s="4" t="str">
        <f t="shared" si="222"/>
        <v>A7</v>
      </c>
      <c r="V333">
        <v>330</v>
      </c>
      <c r="W333" s="28" t="str">
        <f t="shared" si="220"/>
        <v>28/07/2024</v>
      </c>
      <c r="X333" s="28">
        <f t="shared" si="220"/>
        <v>81060</v>
      </c>
      <c r="Y333" s="28" t="str">
        <f t="shared" si="220"/>
        <v>A7</v>
      </c>
      <c r="Z333" s="5" t="str">
        <f t="shared" si="231"/>
        <v>A7</v>
      </c>
      <c r="AA333" s="5" t="str">
        <f t="shared" si="232"/>
        <v>A7</v>
      </c>
      <c r="AG333" s="29" t="str">
        <f t="shared" si="223"/>
        <v>28/07/2024</v>
      </c>
      <c r="AH333" s="30">
        <f t="shared" si="223"/>
        <v>81060</v>
      </c>
      <c r="AI333" s="4" t="str">
        <f t="shared" si="224"/>
        <v>A7</v>
      </c>
      <c r="AJ333" s="5" t="str">
        <f t="shared" si="233"/>
        <v>A7</v>
      </c>
      <c r="AK333">
        <f t="shared" si="234"/>
        <v>79891.5</v>
      </c>
      <c r="AL333" t="str">
        <f t="shared" si="235"/>
        <v>A7</v>
      </c>
      <c r="AM333">
        <f t="shared" si="236"/>
        <v>79891.5</v>
      </c>
      <c r="AN333" s="6">
        <f t="shared" si="237"/>
        <v>220</v>
      </c>
      <c r="AO333">
        <f t="shared" si="238"/>
        <v>80910</v>
      </c>
      <c r="AP333">
        <f t="shared" si="261"/>
        <v>80690</v>
      </c>
      <c r="AQ333" s="33">
        <f t="shared" si="239"/>
        <v>81020</v>
      </c>
      <c r="AR333" s="33">
        <f t="shared" si="240"/>
        <v>80580</v>
      </c>
      <c r="AS333">
        <f t="shared" si="241"/>
        <v>80855</v>
      </c>
      <c r="AT333" s="5">
        <f t="shared" si="242"/>
        <v>80745</v>
      </c>
      <c r="AU333" s="5">
        <f t="shared" si="243"/>
        <v>81240</v>
      </c>
      <c r="AV333" s="5">
        <f t="shared" si="244"/>
        <v>80360</v>
      </c>
      <c r="AW333" s="5">
        <f t="shared" si="245"/>
        <v>80836.666666666672</v>
      </c>
      <c r="AX333" s="5">
        <f t="shared" si="246"/>
        <v>80763.333333333328</v>
      </c>
      <c r="AY333" s="5">
        <f t="shared" si="247"/>
        <v>81460</v>
      </c>
      <c r="AZ333" s="5">
        <f t="shared" si="248"/>
        <v>80140</v>
      </c>
      <c r="BB333" s="32" t="str">
        <f t="shared" si="225"/>
        <v>28/07/2024</v>
      </c>
      <c r="BC333" s="33">
        <f t="shared" si="225"/>
        <v>81060</v>
      </c>
      <c r="BD333" s="4" t="str">
        <f t="shared" si="225"/>
        <v>A7</v>
      </c>
      <c r="BE333">
        <f t="shared" si="249"/>
        <v>80400.75</v>
      </c>
      <c r="BF333">
        <f t="shared" si="250"/>
        <v>80290.75</v>
      </c>
      <c r="BG333">
        <f t="shared" si="251"/>
        <v>80455.75</v>
      </c>
      <c r="BH333">
        <f t="shared" si="252"/>
        <v>80235.75</v>
      </c>
      <c r="BI333">
        <f t="shared" si="253"/>
        <v>80373.25</v>
      </c>
      <c r="BJ333">
        <f t="shared" si="254"/>
        <v>80318.25</v>
      </c>
      <c r="BK333">
        <f t="shared" si="255"/>
        <v>80565.75</v>
      </c>
      <c r="BL333">
        <f t="shared" si="256"/>
        <v>80125.75</v>
      </c>
      <c r="BM333">
        <f t="shared" si="257"/>
        <v>80364.083333333343</v>
      </c>
      <c r="BN333">
        <f t="shared" si="258"/>
        <v>80327.416666666657</v>
      </c>
      <c r="BO333" s="38">
        <f t="shared" si="259"/>
        <v>80675.75</v>
      </c>
      <c r="BP333">
        <f t="shared" si="260"/>
        <v>80015.75</v>
      </c>
      <c r="BQ333" s="7">
        <f>BO333</f>
        <v>80675.75</v>
      </c>
      <c r="BS333" s="30">
        <f t="shared" si="226"/>
        <v>81060</v>
      </c>
      <c r="BT333" s="4">
        <f t="shared" si="227"/>
        <v>80675.75</v>
      </c>
      <c r="BU333" s="37">
        <f t="shared" si="228"/>
        <v>384.25</v>
      </c>
      <c r="BV333">
        <f t="shared" si="229"/>
        <v>384.25</v>
      </c>
      <c r="BW333" s="35">
        <f t="shared" si="230"/>
        <v>4.7403158154453494E-3</v>
      </c>
    </row>
    <row r="334" spans="1:75">
      <c r="A334" s="1" t="s">
        <v>335</v>
      </c>
      <c r="B334" s="1">
        <v>81000</v>
      </c>
      <c r="Q334">
        <v>331</v>
      </c>
      <c r="R334" s="27" t="str">
        <f t="shared" si="221"/>
        <v>29/07/2024</v>
      </c>
      <c r="S334" s="27">
        <f t="shared" si="221"/>
        <v>80620</v>
      </c>
      <c r="T334" s="4" t="str">
        <f t="shared" si="222"/>
        <v>A7</v>
      </c>
      <c r="V334">
        <v>331</v>
      </c>
      <c r="W334" s="28" t="str">
        <f t="shared" si="220"/>
        <v>29/07/2024</v>
      </c>
      <c r="X334" s="28">
        <f t="shared" si="220"/>
        <v>80620</v>
      </c>
      <c r="Y334" s="28" t="str">
        <f t="shared" si="220"/>
        <v>A7</v>
      </c>
      <c r="Z334" s="5" t="str">
        <f t="shared" si="231"/>
        <v>A7</v>
      </c>
      <c r="AA334" s="5" t="str">
        <f t="shared" si="232"/>
        <v>A7</v>
      </c>
      <c r="AG334" s="29" t="str">
        <f t="shared" si="223"/>
        <v>29/07/2024</v>
      </c>
      <c r="AH334" s="30">
        <f t="shared" si="223"/>
        <v>80620</v>
      </c>
      <c r="AI334" s="4" t="str">
        <f t="shared" si="224"/>
        <v>A7</v>
      </c>
      <c r="AJ334" s="5" t="str">
        <f t="shared" si="233"/>
        <v>A7</v>
      </c>
      <c r="AK334">
        <f t="shared" si="234"/>
        <v>79891.5</v>
      </c>
      <c r="AL334" t="str">
        <f t="shared" si="235"/>
        <v>A7</v>
      </c>
      <c r="AM334">
        <f t="shared" si="236"/>
        <v>79891.5</v>
      </c>
      <c r="AN334" s="6">
        <f t="shared" si="237"/>
        <v>40</v>
      </c>
      <c r="AO334">
        <f t="shared" si="238"/>
        <v>81080</v>
      </c>
      <c r="AP334">
        <f t="shared" si="261"/>
        <v>81040</v>
      </c>
      <c r="AQ334" s="33">
        <f t="shared" si="239"/>
        <v>81100</v>
      </c>
      <c r="AR334" s="33">
        <f t="shared" si="240"/>
        <v>81020</v>
      </c>
      <c r="AS334">
        <f t="shared" si="241"/>
        <v>81070</v>
      </c>
      <c r="AT334" s="5">
        <f t="shared" si="242"/>
        <v>81050</v>
      </c>
      <c r="AU334" s="5">
        <f t="shared" si="243"/>
        <v>81140</v>
      </c>
      <c r="AV334" s="5">
        <f t="shared" si="244"/>
        <v>80980</v>
      </c>
      <c r="AW334" s="5">
        <f t="shared" si="245"/>
        <v>81066.666666666672</v>
      </c>
      <c r="AX334" s="5">
        <f t="shared" si="246"/>
        <v>81053.333333333328</v>
      </c>
      <c r="AY334" s="5">
        <f t="shared" si="247"/>
        <v>81180</v>
      </c>
      <c r="AZ334" s="5">
        <f t="shared" si="248"/>
        <v>80940</v>
      </c>
      <c r="BB334" s="32" t="str">
        <f t="shared" si="225"/>
        <v>29/07/2024</v>
      </c>
      <c r="BC334" s="33">
        <f t="shared" si="225"/>
        <v>80620</v>
      </c>
      <c r="BD334" s="4" t="str">
        <f t="shared" si="225"/>
        <v>A7</v>
      </c>
      <c r="BE334">
        <f t="shared" si="249"/>
        <v>80485.75</v>
      </c>
      <c r="BF334">
        <f t="shared" si="250"/>
        <v>80465.75</v>
      </c>
      <c r="BG334">
        <f t="shared" si="251"/>
        <v>80495.75</v>
      </c>
      <c r="BH334">
        <f t="shared" si="252"/>
        <v>80455.75</v>
      </c>
      <c r="BI334">
        <f t="shared" si="253"/>
        <v>80480.75</v>
      </c>
      <c r="BJ334">
        <f t="shared" si="254"/>
        <v>80470.75</v>
      </c>
      <c r="BK334">
        <f t="shared" si="255"/>
        <v>80515.75</v>
      </c>
      <c r="BL334">
        <f t="shared" si="256"/>
        <v>80435.75</v>
      </c>
      <c r="BM334">
        <f t="shared" si="257"/>
        <v>80479.083333333343</v>
      </c>
      <c r="BN334">
        <f t="shared" si="258"/>
        <v>80472.416666666657</v>
      </c>
      <c r="BO334" s="38">
        <f t="shared" si="259"/>
        <v>80535.75</v>
      </c>
      <c r="BP334">
        <f t="shared" si="260"/>
        <v>80415.75</v>
      </c>
      <c r="BQ334" s="7">
        <f t="shared" ref="BQ334:BQ340" si="262">BO334</f>
        <v>80535.75</v>
      </c>
      <c r="BS334" s="30">
        <f t="shared" si="226"/>
        <v>80620</v>
      </c>
      <c r="BT334" s="4">
        <f t="shared" si="227"/>
        <v>80535.75</v>
      </c>
      <c r="BU334" s="37">
        <f t="shared" si="228"/>
        <v>84.25</v>
      </c>
      <c r="BV334">
        <f t="shared" si="229"/>
        <v>84.25</v>
      </c>
      <c r="BW334" s="35">
        <f t="shared" si="230"/>
        <v>1.0450260481270157E-3</v>
      </c>
    </row>
    <row r="335" spans="1:75">
      <c r="A335" s="1" t="s">
        <v>336</v>
      </c>
      <c r="B335" s="1">
        <v>80940</v>
      </c>
      <c r="Q335">
        <v>332</v>
      </c>
      <c r="R335" s="27" t="str">
        <f t="shared" si="221"/>
        <v>30/07/2024</v>
      </c>
      <c r="S335" s="27">
        <f t="shared" si="221"/>
        <v>80750</v>
      </c>
      <c r="T335" s="4" t="str">
        <f t="shared" si="222"/>
        <v>A7</v>
      </c>
      <c r="V335">
        <v>332</v>
      </c>
      <c r="W335" s="28" t="str">
        <f t="shared" si="220"/>
        <v>30/07/2024</v>
      </c>
      <c r="X335" s="28">
        <f t="shared" si="220"/>
        <v>80750</v>
      </c>
      <c r="Y335" s="28" t="str">
        <f t="shared" si="220"/>
        <v>A7</v>
      </c>
      <c r="Z335" s="5" t="str">
        <f t="shared" si="231"/>
        <v>A7</v>
      </c>
      <c r="AA335" s="5" t="str">
        <f t="shared" si="232"/>
        <v>A7</v>
      </c>
      <c r="AG335" s="29" t="str">
        <f t="shared" si="223"/>
        <v>30/07/2024</v>
      </c>
      <c r="AH335" s="30">
        <f t="shared" si="223"/>
        <v>80750</v>
      </c>
      <c r="AI335" s="4" t="str">
        <f t="shared" si="224"/>
        <v>A7</v>
      </c>
      <c r="AJ335" s="5" t="str">
        <f t="shared" si="233"/>
        <v>A7</v>
      </c>
      <c r="AK335">
        <f t="shared" si="234"/>
        <v>79891.5</v>
      </c>
      <c r="AL335" t="str">
        <f t="shared" si="235"/>
        <v>A7</v>
      </c>
      <c r="AM335">
        <f t="shared" si="236"/>
        <v>79891.5</v>
      </c>
      <c r="AN335" s="6">
        <f t="shared" si="237"/>
        <v>180</v>
      </c>
      <c r="AO335">
        <f t="shared" si="238"/>
        <v>80710</v>
      </c>
      <c r="AP335">
        <f t="shared" si="261"/>
        <v>80530</v>
      </c>
      <c r="AQ335" s="33">
        <f t="shared" si="239"/>
        <v>80800</v>
      </c>
      <c r="AR335" s="33">
        <f t="shared" si="240"/>
        <v>80440</v>
      </c>
      <c r="AS335">
        <f t="shared" si="241"/>
        <v>80665</v>
      </c>
      <c r="AT335" s="5">
        <f t="shared" si="242"/>
        <v>80575</v>
      </c>
      <c r="AU335" s="5">
        <f t="shared" si="243"/>
        <v>80980</v>
      </c>
      <c r="AV335" s="5">
        <f t="shared" si="244"/>
        <v>80260</v>
      </c>
      <c r="AW335" s="5">
        <f t="shared" si="245"/>
        <v>80650</v>
      </c>
      <c r="AX335" s="5">
        <f t="shared" si="246"/>
        <v>80590</v>
      </c>
      <c r="AY335" s="5">
        <f t="shared" si="247"/>
        <v>81160</v>
      </c>
      <c r="AZ335" s="5">
        <f t="shared" si="248"/>
        <v>80080</v>
      </c>
      <c r="BB335" s="32" t="str">
        <f t="shared" si="225"/>
        <v>30/07/2024</v>
      </c>
      <c r="BC335" s="33">
        <f t="shared" si="225"/>
        <v>80750</v>
      </c>
      <c r="BD335" s="4" t="str">
        <f t="shared" si="225"/>
        <v>A7</v>
      </c>
      <c r="BE335">
        <f t="shared" si="249"/>
        <v>80300.75</v>
      </c>
      <c r="BF335">
        <f t="shared" si="250"/>
        <v>80210.75</v>
      </c>
      <c r="BG335">
        <f t="shared" si="251"/>
        <v>80345.75</v>
      </c>
      <c r="BH335">
        <f t="shared" si="252"/>
        <v>80165.75</v>
      </c>
      <c r="BI335">
        <f t="shared" si="253"/>
        <v>80278.25</v>
      </c>
      <c r="BJ335">
        <f t="shared" si="254"/>
        <v>80233.25</v>
      </c>
      <c r="BK335">
        <f t="shared" si="255"/>
        <v>80435.75</v>
      </c>
      <c r="BL335">
        <f t="shared" si="256"/>
        <v>80075.75</v>
      </c>
      <c r="BM335">
        <f t="shared" si="257"/>
        <v>80270.75</v>
      </c>
      <c r="BN335">
        <f t="shared" si="258"/>
        <v>80240.75</v>
      </c>
      <c r="BO335" s="38">
        <f t="shared" si="259"/>
        <v>80525.75</v>
      </c>
      <c r="BP335">
        <f t="shared" si="260"/>
        <v>79985.75</v>
      </c>
      <c r="BQ335" s="7">
        <f t="shared" si="262"/>
        <v>80525.75</v>
      </c>
      <c r="BS335" s="30">
        <f t="shared" si="226"/>
        <v>80750</v>
      </c>
      <c r="BT335" s="4">
        <f t="shared" si="227"/>
        <v>80525.75</v>
      </c>
      <c r="BU335" s="37">
        <f t="shared" si="228"/>
        <v>224.25</v>
      </c>
      <c r="BV335">
        <f t="shared" si="229"/>
        <v>224.25</v>
      </c>
      <c r="BW335" s="35">
        <f t="shared" si="230"/>
        <v>2.7770897832817337E-3</v>
      </c>
    </row>
    <row r="336" spans="1:75">
      <c r="A336" s="1" t="s">
        <v>337</v>
      </c>
      <c r="B336" s="1">
        <v>81720</v>
      </c>
      <c r="Q336">
        <v>333</v>
      </c>
      <c r="R336" s="27" t="str">
        <f t="shared" si="221"/>
        <v>31/07/2024</v>
      </c>
      <c r="S336" s="27">
        <f t="shared" si="221"/>
        <v>81000</v>
      </c>
      <c r="T336" s="4" t="str">
        <f t="shared" si="222"/>
        <v>A7</v>
      </c>
      <c r="V336">
        <v>333</v>
      </c>
      <c r="W336" s="28" t="str">
        <f t="shared" si="220"/>
        <v>31/07/2024</v>
      </c>
      <c r="X336" s="28">
        <f t="shared" si="220"/>
        <v>81000</v>
      </c>
      <c r="Y336" s="28" t="str">
        <f t="shared" si="220"/>
        <v>A7</v>
      </c>
      <c r="Z336" s="5" t="str">
        <f t="shared" si="231"/>
        <v>A7</v>
      </c>
      <c r="AA336" s="5" t="str">
        <f t="shared" si="232"/>
        <v>A7</v>
      </c>
      <c r="AG336" s="29" t="str">
        <f t="shared" si="223"/>
        <v>31/07/2024</v>
      </c>
      <c r="AH336" s="30">
        <f t="shared" si="223"/>
        <v>81000</v>
      </c>
      <c r="AI336" s="4" t="str">
        <f t="shared" si="224"/>
        <v>A7</v>
      </c>
      <c r="AJ336" s="5" t="str">
        <f t="shared" si="233"/>
        <v>A7</v>
      </c>
      <c r="AK336">
        <f t="shared" si="234"/>
        <v>79891.5</v>
      </c>
      <c r="AL336" t="str">
        <f t="shared" si="235"/>
        <v>A7</v>
      </c>
      <c r="AM336">
        <f t="shared" si="236"/>
        <v>79891.5</v>
      </c>
      <c r="AN336" s="6">
        <f t="shared" si="237"/>
        <v>310</v>
      </c>
      <c r="AO336">
        <f t="shared" si="238"/>
        <v>80905</v>
      </c>
      <c r="AP336">
        <f t="shared" si="261"/>
        <v>80595</v>
      </c>
      <c r="AQ336" s="33">
        <f t="shared" si="239"/>
        <v>81060</v>
      </c>
      <c r="AR336" s="33">
        <f t="shared" si="240"/>
        <v>80440</v>
      </c>
      <c r="AS336">
        <f t="shared" si="241"/>
        <v>80827.5</v>
      </c>
      <c r="AT336" s="5">
        <f t="shared" si="242"/>
        <v>80672.5</v>
      </c>
      <c r="AU336" s="5">
        <f t="shared" si="243"/>
        <v>81370</v>
      </c>
      <c r="AV336" s="5">
        <f t="shared" si="244"/>
        <v>80130</v>
      </c>
      <c r="AW336" s="5">
        <f t="shared" si="245"/>
        <v>80801.666666666672</v>
      </c>
      <c r="AX336" s="5">
        <f t="shared" si="246"/>
        <v>80698.333333333328</v>
      </c>
      <c r="AY336" s="5">
        <f t="shared" si="247"/>
        <v>81680</v>
      </c>
      <c r="AZ336" s="5">
        <f t="shared" si="248"/>
        <v>79820</v>
      </c>
      <c r="BB336" s="32" t="str">
        <f t="shared" si="225"/>
        <v>31/07/2024</v>
      </c>
      <c r="BC336" s="33">
        <f t="shared" si="225"/>
        <v>81000</v>
      </c>
      <c r="BD336" s="4" t="str">
        <f t="shared" si="225"/>
        <v>A7</v>
      </c>
      <c r="BE336">
        <f t="shared" si="249"/>
        <v>80398.25</v>
      </c>
      <c r="BF336">
        <f t="shared" si="250"/>
        <v>80243.25</v>
      </c>
      <c r="BG336">
        <f t="shared" si="251"/>
        <v>80475.75</v>
      </c>
      <c r="BH336">
        <f t="shared" si="252"/>
        <v>80165.75</v>
      </c>
      <c r="BI336">
        <f t="shared" si="253"/>
        <v>80359.5</v>
      </c>
      <c r="BJ336">
        <f t="shared" si="254"/>
        <v>80282</v>
      </c>
      <c r="BK336">
        <f t="shared" si="255"/>
        <v>80630.75</v>
      </c>
      <c r="BL336">
        <f t="shared" si="256"/>
        <v>80010.75</v>
      </c>
      <c r="BM336">
        <f t="shared" si="257"/>
        <v>80346.583333333343</v>
      </c>
      <c r="BN336">
        <f t="shared" si="258"/>
        <v>80294.916666666657</v>
      </c>
      <c r="BO336" s="38">
        <f t="shared" si="259"/>
        <v>80785.75</v>
      </c>
      <c r="BP336">
        <f t="shared" si="260"/>
        <v>79855.75</v>
      </c>
      <c r="BQ336" s="7">
        <f t="shared" si="262"/>
        <v>80785.75</v>
      </c>
      <c r="BS336" s="30">
        <f t="shared" si="226"/>
        <v>81000</v>
      </c>
      <c r="BT336" s="4">
        <f t="shared" si="227"/>
        <v>80785.75</v>
      </c>
      <c r="BU336" s="37">
        <f t="shared" si="228"/>
        <v>214.25</v>
      </c>
      <c r="BV336">
        <f t="shared" si="229"/>
        <v>214.25</v>
      </c>
      <c r="BW336" s="35">
        <f t="shared" si="230"/>
        <v>2.6450617283950619E-3</v>
      </c>
    </row>
    <row r="337" spans="1:75">
      <c r="A337" s="1" t="s">
        <v>338</v>
      </c>
      <c r="B337" s="1">
        <v>82240</v>
      </c>
      <c r="Q337">
        <v>334</v>
      </c>
      <c r="R337" s="27" t="str">
        <f t="shared" si="221"/>
        <v>01/08/2024</v>
      </c>
      <c r="S337" s="27">
        <f t="shared" si="221"/>
        <v>80940</v>
      </c>
      <c r="T337" s="4" t="str">
        <f t="shared" si="222"/>
        <v>A7</v>
      </c>
      <c r="V337">
        <v>334</v>
      </c>
      <c r="W337" s="28" t="str">
        <f t="shared" si="220"/>
        <v>01/08/2024</v>
      </c>
      <c r="X337" s="28">
        <f t="shared" si="220"/>
        <v>80940</v>
      </c>
      <c r="Y337" s="28" t="str">
        <f t="shared" si="220"/>
        <v>A7</v>
      </c>
      <c r="Z337" s="5" t="str">
        <f t="shared" si="231"/>
        <v>A7</v>
      </c>
      <c r="AA337" s="5" t="str">
        <f t="shared" si="232"/>
        <v>A7</v>
      </c>
      <c r="AG337" s="29" t="str">
        <f t="shared" si="223"/>
        <v>01/08/2024</v>
      </c>
      <c r="AH337" s="30">
        <f t="shared" si="223"/>
        <v>80940</v>
      </c>
      <c r="AI337" s="4" t="str">
        <f t="shared" si="224"/>
        <v>A7</v>
      </c>
      <c r="AJ337" s="5" t="str">
        <f t="shared" si="233"/>
        <v>A7</v>
      </c>
      <c r="AK337">
        <f t="shared" si="234"/>
        <v>79891.5</v>
      </c>
      <c r="AL337" t="str">
        <f t="shared" si="235"/>
        <v>A7</v>
      </c>
      <c r="AM337">
        <f t="shared" si="236"/>
        <v>79891.5</v>
      </c>
      <c r="AN337" s="6">
        <f t="shared" si="237"/>
        <v>120</v>
      </c>
      <c r="AO337">
        <f t="shared" si="238"/>
        <v>81060</v>
      </c>
      <c r="AP337">
        <f t="shared" si="261"/>
        <v>80940</v>
      </c>
      <c r="AQ337" s="33">
        <f t="shared" si="239"/>
        <v>81120</v>
      </c>
      <c r="AR337" s="33">
        <f t="shared" si="240"/>
        <v>80880</v>
      </c>
      <c r="AS337">
        <f t="shared" si="241"/>
        <v>81030</v>
      </c>
      <c r="AT337" s="5">
        <f t="shared" si="242"/>
        <v>80970</v>
      </c>
      <c r="AU337" s="5">
        <f t="shared" si="243"/>
        <v>81240</v>
      </c>
      <c r="AV337" s="5">
        <f t="shared" si="244"/>
        <v>80760</v>
      </c>
      <c r="AW337" s="5">
        <f t="shared" si="245"/>
        <v>81020</v>
      </c>
      <c r="AX337" s="5">
        <f t="shared" si="246"/>
        <v>80980</v>
      </c>
      <c r="AY337" s="5">
        <f t="shared" si="247"/>
        <v>81360</v>
      </c>
      <c r="AZ337" s="5">
        <f t="shared" si="248"/>
        <v>80640</v>
      </c>
      <c r="BB337" s="32" t="str">
        <f t="shared" si="225"/>
        <v>01/08/2024</v>
      </c>
      <c r="BC337" s="33">
        <f t="shared" si="225"/>
        <v>80940</v>
      </c>
      <c r="BD337" s="4" t="str">
        <f t="shared" si="225"/>
        <v>A7</v>
      </c>
      <c r="BE337">
        <f t="shared" si="249"/>
        <v>80475.75</v>
      </c>
      <c r="BF337">
        <f t="shared" si="250"/>
        <v>80415.75</v>
      </c>
      <c r="BG337">
        <f t="shared" si="251"/>
        <v>80505.75</v>
      </c>
      <c r="BH337">
        <f t="shared" si="252"/>
        <v>80385.75</v>
      </c>
      <c r="BI337">
        <f t="shared" si="253"/>
        <v>80460.75</v>
      </c>
      <c r="BJ337">
        <f t="shared" si="254"/>
        <v>80430.75</v>
      </c>
      <c r="BK337">
        <f t="shared" si="255"/>
        <v>80565.75</v>
      </c>
      <c r="BL337">
        <f t="shared" si="256"/>
        <v>80325.75</v>
      </c>
      <c r="BM337">
        <f t="shared" si="257"/>
        <v>80455.75</v>
      </c>
      <c r="BN337">
        <f t="shared" si="258"/>
        <v>80435.75</v>
      </c>
      <c r="BO337" s="38">
        <f t="shared" si="259"/>
        <v>80625.75</v>
      </c>
      <c r="BP337">
        <f t="shared" si="260"/>
        <v>80265.75</v>
      </c>
      <c r="BQ337" s="7">
        <f t="shared" si="262"/>
        <v>80625.75</v>
      </c>
      <c r="BS337" s="30">
        <f t="shared" si="226"/>
        <v>80940</v>
      </c>
      <c r="BT337" s="4">
        <f t="shared" si="227"/>
        <v>80625.75</v>
      </c>
      <c r="BU337" s="37">
        <f t="shared" si="228"/>
        <v>314.25</v>
      </c>
      <c r="BV337">
        <f t="shared" si="229"/>
        <v>314.25</v>
      </c>
      <c r="BW337" s="35">
        <f t="shared" si="230"/>
        <v>3.8825055596738325E-3</v>
      </c>
    </row>
    <row r="338" spans="1:75">
      <c r="A338" s="1" t="s">
        <v>339</v>
      </c>
      <c r="B338" s="1">
        <v>83340</v>
      </c>
      <c r="Q338">
        <v>335</v>
      </c>
      <c r="R338" s="27" t="str">
        <f t="shared" si="221"/>
        <v>02/08/2024</v>
      </c>
      <c r="S338" s="27">
        <f t="shared" si="221"/>
        <v>81720</v>
      </c>
      <c r="T338" s="4" t="str">
        <f t="shared" si="222"/>
        <v>A7</v>
      </c>
      <c r="V338">
        <v>335</v>
      </c>
      <c r="W338" s="28" t="str">
        <f t="shared" si="220"/>
        <v>02/08/2024</v>
      </c>
      <c r="X338" s="28">
        <f t="shared" si="220"/>
        <v>81720</v>
      </c>
      <c r="Y338" s="28" t="str">
        <f t="shared" si="220"/>
        <v>A7</v>
      </c>
      <c r="Z338" s="5" t="str">
        <f t="shared" si="231"/>
        <v>A7</v>
      </c>
      <c r="AA338" s="5" t="str">
        <f t="shared" si="232"/>
        <v>A7</v>
      </c>
      <c r="AG338" s="29" t="str">
        <f t="shared" si="223"/>
        <v>02/08/2024</v>
      </c>
      <c r="AH338" s="30">
        <f t="shared" si="223"/>
        <v>81720</v>
      </c>
      <c r="AI338" s="4" t="str">
        <f t="shared" si="224"/>
        <v>A7</v>
      </c>
      <c r="AJ338" s="5" t="str">
        <f t="shared" si="233"/>
        <v>A7</v>
      </c>
      <c r="AK338">
        <f t="shared" si="234"/>
        <v>79891.5</v>
      </c>
      <c r="AL338" t="str">
        <f t="shared" si="235"/>
        <v>A7</v>
      </c>
      <c r="AM338">
        <f t="shared" si="236"/>
        <v>79891.5</v>
      </c>
      <c r="AN338" s="6">
        <f t="shared" si="237"/>
        <v>190</v>
      </c>
      <c r="AO338">
        <f t="shared" si="238"/>
        <v>81035</v>
      </c>
      <c r="AP338">
        <f t="shared" si="261"/>
        <v>80845</v>
      </c>
      <c r="AQ338" s="33">
        <f t="shared" si="239"/>
        <v>81130</v>
      </c>
      <c r="AR338" s="33">
        <f t="shared" si="240"/>
        <v>80750</v>
      </c>
      <c r="AS338">
        <f t="shared" si="241"/>
        <v>80987.5</v>
      </c>
      <c r="AT338" s="5">
        <f t="shared" si="242"/>
        <v>80892.5</v>
      </c>
      <c r="AU338" s="5">
        <f t="shared" si="243"/>
        <v>81320</v>
      </c>
      <c r="AV338" s="5">
        <f t="shared" si="244"/>
        <v>80560</v>
      </c>
      <c r="AW338" s="5">
        <f t="shared" si="245"/>
        <v>80971.666666666672</v>
      </c>
      <c r="AX338" s="5">
        <f t="shared" si="246"/>
        <v>80908.333333333328</v>
      </c>
      <c r="AY338" s="5">
        <f t="shared" si="247"/>
        <v>81510</v>
      </c>
      <c r="AZ338" s="5">
        <f t="shared" si="248"/>
        <v>80370</v>
      </c>
      <c r="BB338" s="32" t="str">
        <f t="shared" si="225"/>
        <v>02/08/2024</v>
      </c>
      <c r="BC338" s="33">
        <f t="shared" si="225"/>
        <v>81720</v>
      </c>
      <c r="BD338" s="4" t="str">
        <f t="shared" si="225"/>
        <v>A7</v>
      </c>
      <c r="BE338">
        <f t="shared" si="249"/>
        <v>80463.25</v>
      </c>
      <c r="BF338">
        <f t="shared" si="250"/>
        <v>80368.25</v>
      </c>
      <c r="BG338">
        <f t="shared" si="251"/>
        <v>80510.75</v>
      </c>
      <c r="BH338">
        <f t="shared" si="252"/>
        <v>80320.75</v>
      </c>
      <c r="BI338">
        <f t="shared" si="253"/>
        <v>80439.5</v>
      </c>
      <c r="BJ338">
        <f t="shared" si="254"/>
        <v>80392</v>
      </c>
      <c r="BK338">
        <f t="shared" si="255"/>
        <v>80605.75</v>
      </c>
      <c r="BL338">
        <f t="shared" si="256"/>
        <v>80225.75</v>
      </c>
      <c r="BM338">
        <f t="shared" si="257"/>
        <v>80431.583333333343</v>
      </c>
      <c r="BN338">
        <f t="shared" si="258"/>
        <v>80399.916666666657</v>
      </c>
      <c r="BO338" s="38">
        <f t="shared" si="259"/>
        <v>80700.75</v>
      </c>
      <c r="BP338">
        <f t="shared" si="260"/>
        <v>80130.75</v>
      </c>
      <c r="BQ338" s="7">
        <f t="shared" si="262"/>
        <v>80700.75</v>
      </c>
      <c r="BS338" s="30">
        <f t="shared" si="226"/>
        <v>81720</v>
      </c>
      <c r="BT338" s="4">
        <f t="shared" si="227"/>
        <v>80700.75</v>
      </c>
      <c r="BU338" s="37">
        <f t="shared" si="228"/>
        <v>1019.25</v>
      </c>
      <c r="BV338">
        <f t="shared" si="229"/>
        <v>1019.25</v>
      </c>
      <c r="BW338" s="35">
        <f t="shared" si="230"/>
        <v>1.2472466960352422E-2</v>
      </c>
    </row>
    <row r="339" spans="1:75">
      <c r="A339" s="1" t="s">
        <v>340</v>
      </c>
      <c r="B339" s="1">
        <v>83610</v>
      </c>
      <c r="Q339">
        <v>336</v>
      </c>
      <c r="R339" s="27" t="str">
        <f t="shared" si="221"/>
        <v>03/08/2024</v>
      </c>
      <c r="S339" s="27">
        <f t="shared" si="221"/>
        <v>82240</v>
      </c>
      <c r="T339" s="4" t="str">
        <f t="shared" si="222"/>
        <v>A7</v>
      </c>
      <c r="V339">
        <v>336</v>
      </c>
      <c r="W339" s="28" t="str">
        <f t="shared" si="220"/>
        <v>03/08/2024</v>
      </c>
      <c r="X339" s="28">
        <f t="shared" si="220"/>
        <v>82240</v>
      </c>
      <c r="Y339" s="28" t="str">
        <f t="shared" si="220"/>
        <v>A7</v>
      </c>
      <c r="Z339" s="5" t="str">
        <f t="shared" si="231"/>
        <v>A7</v>
      </c>
      <c r="AA339" s="5" t="str">
        <f t="shared" si="232"/>
        <v>A7</v>
      </c>
      <c r="AG339" s="29" t="str">
        <f t="shared" si="223"/>
        <v>03/08/2024</v>
      </c>
      <c r="AH339" s="30">
        <f t="shared" si="223"/>
        <v>82240</v>
      </c>
      <c r="AI339" s="4" t="str">
        <f t="shared" si="224"/>
        <v>A7</v>
      </c>
      <c r="AJ339" s="5" t="str">
        <f t="shared" si="233"/>
        <v>A7</v>
      </c>
      <c r="AK339">
        <f t="shared" si="234"/>
        <v>79891.5</v>
      </c>
      <c r="AL339" t="str">
        <f t="shared" si="235"/>
        <v>A7</v>
      </c>
      <c r="AM339">
        <f t="shared" si="236"/>
        <v>79891.5</v>
      </c>
      <c r="AN339" s="6">
        <f t="shared" si="237"/>
        <v>720</v>
      </c>
      <c r="AO339">
        <f t="shared" si="238"/>
        <v>82080</v>
      </c>
      <c r="AP339">
        <f t="shared" si="261"/>
        <v>81360</v>
      </c>
      <c r="AQ339" s="33">
        <f t="shared" si="239"/>
        <v>82440</v>
      </c>
      <c r="AR339" s="33">
        <f t="shared" si="240"/>
        <v>81000</v>
      </c>
      <c r="AS339">
        <f t="shared" si="241"/>
        <v>81900</v>
      </c>
      <c r="AT339" s="5">
        <f t="shared" si="242"/>
        <v>81540</v>
      </c>
      <c r="AU339" s="5">
        <f t="shared" si="243"/>
        <v>83160</v>
      </c>
      <c r="AV339" s="5">
        <f t="shared" si="244"/>
        <v>80280</v>
      </c>
      <c r="AW339" s="5">
        <f t="shared" si="245"/>
        <v>81840</v>
      </c>
      <c r="AX339" s="5">
        <f t="shared" si="246"/>
        <v>81600</v>
      </c>
      <c r="AY339" s="5">
        <f t="shared" si="247"/>
        <v>83880</v>
      </c>
      <c r="AZ339" s="5">
        <f t="shared" si="248"/>
        <v>79560</v>
      </c>
      <c r="BB339" s="32" t="str">
        <f t="shared" si="225"/>
        <v>03/08/2024</v>
      </c>
      <c r="BC339" s="33">
        <f t="shared" si="225"/>
        <v>82240</v>
      </c>
      <c r="BD339" s="4" t="str">
        <f t="shared" si="225"/>
        <v>A7</v>
      </c>
      <c r="BE339">
        <f t="shared" si="249"/>
        <v>80985.75</v>
      </c>
      <c r="BF339">
        <f t="shared" si="250"/>
        <v>80625.75</v>
      </c>
      <c r="BG339">
        <f t="shared" si="251"/>
        <v>81165.75</v>
      </c>
      <c r="BH339">
        <f t="shared" si="252"/>
        <v>80445.75</v>
      </c>
      <c r="BI339">
        <f t="shared" si="253"/>
        <v>80895.75</v>
      </c>
      <c r="BJ339">
        <f t="shared" si="254"/>
        <v>80715.75</v>
      </c>
      <c r="BK339">
        <f t="shared" si="255"/>
        <v>81525.75</v>
      </c>
      <c r="BL339">
        <f t="shared" si="256"/>
        <v>80085.75</v>
      </c>
      <c r="BM339">
        <f t="shared" si="257"/>
        <v>80865.75</v>
      </c>
      <c r="BN339">
        <f t="shared" si="258"/>
        <v>80745.75</v>
      </c>
      <c r="BO339" s="38">
        <f t="shared" si="259"/>
        <v>81885.75</v>
      </c>
      <c r="BP339">
        <f t="shared" si="260"/>
        <v>79725.75</v>
      </c>
      <c r="BQ339" s="7">
        <f t="shared" si="262"/>
        <v>81885.75</v>
      </c>
      <c r="BS339" s="30">
        <f t="shared" si="226"/>
        <v>82240</v>
      </c>
      <c r="BT339" s="4">
        <f t="shared" si="227"/>
        <v>81885.75</v>
      </c>
      <c r="BU339" s="37">
        <f t="shared" si="228"/>
        <v>354.25</v>
      </c>
      <c r="BV339">
        <f t="shared" si="229"/>
        <v>354.25</v>
      </c>
      <c r="BW339" s="35">
        <f t="shared" si="230"/>
        <v>4.307514591439689E-3</v>
      </c>
    </row>
    <row r="340" spans="1:75">
      <c r="A340" s="1" t="s">
        <v>341</v>
      </c>
      <c r="B340" s="1">
        <v>84940</v>
      </c>
      <c r="Q340">
        <v>337</v>
      </c>
      <c r="R340" s="27" t="str">
        <f t="shared" si="221"/>
        <v>04/08/2024</v>
      </c>
      <c r="S340" s="27">
        <f t="shared" si="221"/>
        <v>83340</v>
      </c>
      <c r="T340" s="4" t="str">
        <f t="shared" si="222"/>
        <v>A8</v>
      </c>
      <c r="V340">
        <v>337</v>
      </c>
      <c r="W340" s="28" t="str">
        <f t="shared" si="220"/>
        <v>04/08/2024</v>
      </c>
      <c r="X340" s="28">
        <f t="shared" si="220"/>
        <v>83340</v>
      </c>
      <c r="Y340" s="28" t="str">
        <f t="shared" si="220"/>
        <v>A8</v>
      </c>
      <c r="Z340" s="5" t="str">
        <f t="shared" si="231"/>
        <v>A7</v>
      </c>
      <c r="AA340" s="5" t="str">
        <f t="shared" si="232"/>
        <v>A7</v>
      </c>
      <c r="AG340" s="29" t="str">
        <f t="shared" si="223"/>
        <v>04/08/2024</v>
      </c>
      <c r="AH340" s="30">
        <f t="shared" si="223"/>
        <v>83340</v>
      </c>
      <c r="AI340" s="4" t="str">
        <f t="shared" si="224"/>
        <v>A8</v>
      </c>
      <c r="AJ340" s="5" t="str">
        <f t="shared" si="233"/>
        <v>A7</v>
      </c>
      <c r="AK340">
        <f t="shared" si="234"/>
        <v>79891.5</v>
      </c>
      <c r="AL340" t="str">
        <f t="shared" si="235"/>
        <v>A7</v>
      </c>
      <c r="AM340">
        <f t="shared" si="236"/>
        <v>79891.5</v>
      </c>
      <c r="AN340" s="6">
        <f t="shared" si="237"/>
        <v>260</v>
      </c>
      <c r="AO340">
        <f t="shared" si="238"/>
        <v>82370</v>
      </c>
      <c r="AP340">
        <f t="shared" si="261"/>
        <v>82110</v>
      </c>
      <c r="AQ340" s="33">
        <f t="shared" si="239"/>
        <v>82500</v>
      </c>
      <c r="AR340" s="33">
        <f t="shared" si="240"/>
        <v>81980</v>
      </c>
      <c r="AS340">
        <f t="shared" si="241"/>
        <v>82305</v>
      </c>
      <c r="AT340" s="5">
        <f t="shared" si="242"/>
        <v>82175</v>
      </c>
      <c r="AU340" s="5">
        <f t="shared" si="243"/>
        <v>82760</v>
      </c>
      <c r="AV340" s="5">
        <f t="shared" si="244"/>
        <v>81720</v>
      </c>
      <c r="AW340" s="5">
        <f t="shared" si="245"/>
        <v>82283.333333333328</v>
      </c>
      <c r="AX340" s="5">
        <f t="shared" si="246"/>
        <v>82196.666666666672</v>
      </c>
      <c r="AY340" s="5">
        <f t="shared" si="247"/>
        <v>83020</v>
      </c>
      <c r="AZ340" s="5">
        <f t="shared" si="248"/>
        <v>81460</v>
      </c>
      <c r="BB340" s="32" t="str">
        <f t="shared" si="225"/>
        <v>04/08/2024</v>
      </c>
      <c r="BC340" s="33">
        <f t="shared" si="225"/>
        <v>83340</v>
      </c>
      <c r="BD340" s="4" t="str">
        <f t="shared" si="225"/>
        <v>A8</v>
      </c>
      <c r="BE340">
        <f t="shared" si="249"/>
        <v>81130.75</v>
      </c>
      <c r="BF340">
        <f t="shared" si="250"/>
        <v>81000.75</v>
      </c>
      <c r="BG340">
        <f t="shared" si="251"/>
        <v>81195.75</v>
      </c>
      <c r="BH340">
        <f t="shared" si="252"/>
        <v>80935.75</v>
      </c>
      <c r="BI340">
        <f t="shared" si="253"/>
        <v>81098.25</v>
      </c>
      <c r="BJ340">
        <f t="shared" si="254"/>
        <v>81033.25</v>
      </c>
      <c r="BK340">
        <f t="shared" si="255"/>
        <v>81325.75</v>
      </c>
      <c r="BL340">
        <f t="shared" si="256"/>
        <v>80805.75</v>
      </c>
      <c r="BM340">
        <f t="shared" si="257"/>
        <v>81087.416666666657</v>
      </c>
      <c r="BN340">
        <f t="shared" si="258"/>
        <v>81044.083333333343</v>
      </c>
      <c r="BO340" s="38">
        <f t="shared" si="259"/>
        <v>81455.75</v>
      </c>
      <c r="BP340">
        <f t="shared" si="260"/>
        <v>80675.75</v>
      </c>
      <c r="BQ340" s="7">
        <f t="shared" si="262"/>
        <v>81455.75</v>
      </c>
      <c r="BS340" s="30">
        <f t="shared" si="226"/>
        <v>83340</v>
      </c>
      <c r="BT340" s="4">
        <f t="shared" si="227"/>
        <v>81455.75</v>
      </c>
      <c r="BU340" s="37">
        <f t="shared" si="228"/>
        <v>1884.25</v>
      </c>
      <c r="BV340">
        <f t="shared" si="229"/>
        <v>1884.25</v>
      </c>
      <c r="BW340" s="35">
        <f t="shared" si="230"/>
        <v>2.2609191264698823E-2</v>
      </c>
    </row>
    <row r="341" spans="1:75">
      <c r="A341" s="1" t="s">
        <v>342</v>
      </c>
      <c r="B341" s="1">
        <v>84570</v>
      </c>
      <c r="Q341">
        <v>338</v>
      </c>
      <c r="R341" s="27" t="str">
        <f t="shared" si="221"/>
        <v>05/08/2024</v>
      </c>
      <c r="S341" s="27">
        <f t="shared" si="221"/>
        <v>83610</v>
      </c>
      <c r="T341" s="4" t="str">
        <f t="shared" si="222"/>
        <v>A8</v>
      </c>
      <c r="V341">
        <v>338</v>
      </c>
      <c r="W341" s="28" t="str">
        <f t="shared" si="220"/>
        <v>05/08/2024</v>
      </c>
      <c r="X341" s="28">
        <f t="shared" si="220"/>
        <v>83610</v>
      </c>
      <c r="Y341" s="28" t="str">
        <f t="shared" si="220"/>
        <v>A8</v>
      </c>
      <c r="Z341" s="5" t="str">
        <f t="shared" si="231"/>
        <v>A7</v>
      </c>
      <c r="AA341" s="5" t="str">
        <f t="shared" si="232"/>
        <v>A8</v>
      </c>
      <c r="AG341" s="29" t="str">
        <f t="shared" si="223"/>
        <v>05/08/2024</v>
      </c>
      <c r="AH341" s="30">
        <f t="shared" si="223"/>
        <v>83610</v>
      </c>
      <c r="AI341" s="4" t="str">
        <f t="shared" si="224"/>
        <v>A8</v>
      </c>
      <c r="AJ341" s="5" t="str">
        <f t="shared" si="233"/>
        <v>A7</v>
      </c>
      <c r="AK341">
        <f t="shared" si="234"/>
        <v>79891.5</v>
      </c>
      <c r="AL341" t="str">
        <f t="shared" si="235"/>
        <v>A8</v>
      </c>
      <c r="AM341">
        <f t="shared" si="236"/>
        <v>85922.5</v>
      </c>
      <c r="AN341" s="6">
        <f t="shared" si="237"/>
        <v>580</v>
      </c>
      <c r="AO341">
        <f t="shared" si="238"/>
        <v>83630</v>
      </c>
      <c r="AP341">
        <f t="shared" si="261"/>
        <v>83050</v>
      </c>
      <c r="AQ341" s="33">
        <f t="shared" si="239"/>
        <v>83920</v>
      </c>
      <c r="AR341" s="33">
        <f t="shared" si="240"/>
        <v>82760</v>
      </c>
      <c r="AS341">
        <f t="shared" si="241"/>
        <v>83485</v>
      </c>
      <c r="AT341" s="5">
        <f t="shared" si="242"/>
        <v>83195</v>
      </c>
      <c r="AU341" s="5">
        <f t="shared" si="243"/>
        <v>84500</v>
      </c>
      <c r="AV341" s="5">
        <f t="shared" si="244"/>
        <v>82180</v>
      </c>
      <c r="AW341" s="5">
        <f t="shared" si="245"/>
        <v>83436.666666666672</v>
      </c>
      <c r="AX341" s="5">
        <f t="shared" si="246"/>
        <v>83243.333333333328</v>
      </c>
      <c r="AY341" s="5">
        <f t="shared" si="247"/>
        <v>85080</v>
      </c>
      <c r="AZ341" s="5">
        <f t="shared" si="248"/>
        <v>81600</v>
      </c>
      <c r="BB341" s="32" t="str">
        <f t="shared" si="225"/>
        <v>05/08/2024</v>
      </c>
      <c r="BC341" s="33">
        <f t="shared" si="225"/>
        <v>83610</v>
      </c>
      <c r="BD341" s="4" t="str">
        <f t="shared" si="225"/>
        <v>A8</v>
      </c>
      <c r="BE341">
        <f t="shared" si="249"/>
        <v>84776.25</v>
      </c>
      <c r="BF341">
        <f t="shared" si="250"/>
        <v>84486.25</v>
      </c>
      <c r="BG341">
        <f t="shared" si="251"/>
        <v>84921.25</v>
      </c>
      <c r="BH341">
        <f t="shared" si="252"/>
        <v>84341.25</v>
      </c>
      <c r="BI341">
        <f t="shared" si="253"/>
        <v>84703.75</v>
      </c>
      <c r="BJ341">
        <f t="shared" si="254"/>
        <v>84558.75</v>
      </c>
      <c r="BK341">
        <f t="shared" si="255"/>
        <v>85211.25</v>
      </c>
      <c r="BL341">
        <f t="shared" si="256"/>
        <v>84051.25</v>
      </c>
      <c r="BM341">
        <f t="shared" si="257"/>
        <v>84679.583333333343</v>
      </c>
      <c r="BN341">
        <f t="shared" si="258"/>
        <v>84582.916666666657</v>
      </c>
      <c r="BO341">
        <f t="shared" si="259"/>
        <v>85501.25</v>
      </c>
      <c r="BP341" s="38">
        <f t="shared" si="260"/>
        <v>83761.25</v>
      </c>
      <c r="BQ341" s="7">
        <f>BP341</f>
        <v>83761.25</v>
      </c>
      <c r="BS341" s="30">
        <f t="shared" si="226"/>
        <v>83610</v>
      </c>
      <c r="BT341" s="4">
        <f t="shared" si="227"/>
        <v>83761.25</v>
      </c>
      <c r="BU341" s="37">
        <f t="shared" si="228"/>
        <v>-151.25</v>
      </c>
      <c r="BV341">
        <f t="shared" si="229"/>
        <v>151.25</v>
      </c>
      <c r="BW341" s="35">
        <f t="shared" si="230"/>
        <v>1.8089941394570028E-3</v>
      </c>
    </row>
    <row r="342" spans="1:75">
      <c r="A342" s="1" t="s">
        <v>343</v>
      </c>
      <c r="B342" s="1">
        <v>84320</v>
      </c>
      <c r="Q342">
        <v>339</v>
      </c>
      <c r="R342" s="27" t="str">
        <f t="shared" si="221"/>
        <v>06/08/2024</v>
      </c>
      <c r="S342" s="27">
        <f t="shared" si="221"/>
        <v>84940</v>
      </c>
      <c r="T342" s="4" t="str">
        <f t="shared" si="222"/>
        <v>A8</v>
      </c>
      <c r="V342">
        <v>339</v>
      </c>
      <c r="W342" s="28" t="str">
        <f t="shared" si="220"/>
        <v>06/08/2024</v>
      </c>
      <c r="X342" s="28">
        <f t="shared" si="220"/>
        <v>84940</v>
      </c>
      <c r="Y342" s="28" t="str">
        <f t="shared" si="220"/>
        <v>A8</v>
      </c>
      <c r="Z342" s="5" t="str">
        <f t="shared" si="231"/>
        <v>A8</v>
      </c>
      <c r="AA342" s="5" t="str">
        <f t="shared" si="232"/>
        <v>A8</v>
      </c>
      <c r="AG342" s="29" t="str">
        <f t="shared" si="223"/>
        <v>06/08/2024</v>
      </c>
      <c r="AH342" s="30">
        <f t="shared" si="223"/>
        <v>84940</v>
      </c>
      <c r="AI342" s="4" t="str">
        <f t="shared" si="224"/>
        <v>A8</v>
      </c>
      <c r="AJ342" s="5" t="str">
        <f t="shared" si="233"/>
        <v>A8</v>
      </c>
      <c r="AK342">
        <f t="shared" si="234"/>
        <v>85922.5</v>
      </c>
      <c r="AL342" t="str">
        <f t="shared" si="235"/>
        <v>A8</v>
      </c>
      <c r="AM342">
        <f t="shared" si="236"/>
        <v>85922.5</v>
      </c>
      <c r="AN342" s="6">
        <f t="shared" si="237"/>
        <v>830</v>
      </c>
      <c r="AO342">
        <f t="shared" si="238"/>
        <v>84025</v>
      </c>
      <c r="AP342">
        <f t="shared" si="261"/>
        <v>83195</v>
      </c>
      <c r="AQ342" s="33">
        <f t="shared" si="239"/>
        <v>84440</v>
      </c>
      <c r="AR342" s="33">
        <f t="shared" si="240"/>
        <v>82780</v>
      </c>
      <c r="AS342">
        <f t="shared" si="241"/>
        <v>83817.5</v>
      </c>
      <c r="AT342" s="5">
        <f t="shared" si="242"/>
        <v>83402.5</v>
      </c>
      <c r="AU342" s="5">
        <f t="shared" si="243"/>
        <v>85270</v>
      </c>
      <c r="AV342" s="5">
        <f t="shared" si="244"/>
        <v>81950</v>
      </c>
      <c r="AW342" s="5">
        <f t="shared" si="245"/>
        <v>83748.333333333328</v>
      </c>
      <c r="AX342" s="5">
        <f t="shared" si="246"/>
        <v>83471.666666666672</v>
      </c>
      <c r="AY342" s="5">
        <f t="shared" si="247"/>
        <v>86100</v>
      </c>
      <c r="AZ342" s="5">
        <f t="shared" si="248"/>
        <v>81120</v>
      </c>
      <c r="BB342" s="32" t="str">
        <f t="shared" si="225"/>
        <v>06/08/2024</v>
      </c>
      <c r="BC342" s="33">
        <f t="shared" si="225"/>
        <v>84940</v>
      </c>
      <c r="BD342" s="4" t="str">
        <f t="shared" si="225"/>
        <v>A8</v>
      </c>
      <c r="BE342" s="38">
        <f t="shared" si="249"/>
        <v>84973.75</v>
      </c>
      <c r="BF342">
        <f t="shared" si="250"/>
        <v>84558.75</v>
      </c>
      <c r="BG342">
        <f t="shared" si="251"/>
        <v>85181.25</v>
      </c>
      <c r="BH342">
        <f t="shared" si="252"/>
        <v>84351.25</v>
      </c>
      <c r="BI342">
        <f t="shared" si="253"/>
        <v>84870</v>
      </c>
      <c r="BJ342">
        <f t="shared" si="254"/>
        <v>84662.5</v>
      </c>
      <c r="BK342">
        <f t="shared" si="255"/>
        <v>85596.25</v>
      </c>
      <c r="BL342">
        <f t="shared" si="256"/>
        <v>83936.25</v>
      </c>
      <c r="BM342">
        <f t="shared" si="257"/>
        <v>84835.416666666657</v>
      </c>
      <c r="BN342">
        <f t="shared" si="258"/>
        <v>84697.083333333343</v>
      </c>
      <c r="BO342">
        <f t="shared" si="259"/>
        <v>86011.25</v>
      </c>
      <c r="BP342">
        <f t="shared" si="260"/>
        <v>83521.25</v>
      </c>
      <c r="BQ342" s="7">
        <f>BE342</f>
        <v>84973.75</v>
      </c>
      <c r="BS342" s="30">
        <f t="shared" si="226"/>
        <v>84940</v>
      </c>
      <c r="BT342" s="4">
        <f t="shared" si="227"/>
        <v>84973.75</v>
      </c>
      <c r="BU342" s="37">
        <f t="shared" si="228"/>
        <v>-33.75</v>
      </c>
      <c r="BV342">
        <f t="shared" si="229"/>
        <v>33.75</v>
      </c>
      <c r="BW342" s="35">
        <f t="shared" si="230"/>
        <v>3.9733929832823172E-4</v>
      </c>
    </row>
    <row r="343" spans="1:75">
      <c r="A343" s="1" t="s">
        <v>344</v>
      </c>
      <c r="B343" s="1">
        <v>88010</v>
      </c>
      <c r="Q343">
        <v>340</v>
      </c>
      <c r="R343" s="27" t="str">
        <f t="shared" si="221"/>
        <v>07/08/2024</v>
      </c>
      <c r="S343" s="27">
        <f t="shared" si="221"/>
        <v>84570</v>
      </c>
      <c r="T343" s="4" t="str">
        <f t="shared" si="222"/>
        <v>A8</v>
      </c>
      <c r="V343">
        <v>340</v>
      </c>
      <c r="W343" s="28" t="str">
        <f t="shared" si="220"/>
        <v>07/08/2024</v>
      </c>
      <c r="X343" s="28">
        <f t="shared" si="220"/>
        <v>84570</v>
      </c>
      <c r="Y343" s="28" t="str">
        <f t="shared" si="220"/>
        <v>A8</v>
      </c>
      <c r="Z343" s="5" t="str">
        <f t="shared" si="231"/>
        <v>A8</v>
      </c>
      <c r="AA343" s="5" t="str">
        <f t="shared" si="232"/>
        <v>A8</v>
      </c>
      <c r="AG343" s="29" t="str">
        <f t="shared" si="223"/>
        <v>07/08/2024</v>
      </c>
      <c r="AH343" s="30">
        <f t="shared" si="223"/>
        <v>84570</v>
      </c>
      <c r="AI343" s="4" t="str">
        <f t="shared" si="224"/>
        <v>A8</v>
      </c>
      <c r="AJ343" s="5" t="str">
        <f t="shared" si="233"/>
        <v>A8</v>
      </c>
      <c r="AK343">
        <f t="shared" si="234"/>
        <v>85922.5</v>
      </c>
      <c r="AL343" t="str">
        <f t="shared" si="235"/>
        <v>A8</v>
      </c>
      <c r="AM343">
        <f t="shared" si="236"/>
        <v>85922.5</v>
      </c>
      <c r="AN343" s="6">
        <f t="shared" si="237"/>
        <v>1060</v>
      </c>
      <c r="AO343">
        <f t="shared" si="238"/>
        <v>85470</v>
      </c>
      <c r="AP343">
        <f t="shared" si="261"/>
        <v>84410</v>
      </c>
      <c r="AQ343" s="33">
        <f t="shared" si="239"/>
        <v>86000</v>
      </c>
      <c r="AR343" s="33">
        <f t="shared" si="240"/>
        <v>83880</v>
      </c>
      <c r="AS343">
        <f t="shared" si="241"/>
        <v>85205</v>
      </c>
      <c r="AT343" s="5">
        <f t="shared" si="242"/>
        <v>84675</v>
      </c>
      <c r="AU343" s="5">
        <f t="shared" si="243"/>
        <v>87060</v>
      </c>
      <c r="AV343" s="5">
        <f t="shared" si="244"/>
        <v>82820</v>
      </c>
      <c r="AW343" s="5">
        <f t="shared" si="245"/>
        <v>85116.666666666672</v>
      </c>
      <c r="AX343" s="5">
        <f t="shared" si="246"/>
        <v>84763.333333333328</v>
      </c>
      <c r="AY343" s="5">
        <f t="shared" si="247"/>
        <v>88120</v>
      </c>
      <c r="AZ343" s="5">
        <f t="shared" si="248"/>
        <v>81760</v>
      </c>
      <c r="BB343" s="32" t="str">
        <f t="shared" si="225"/>
        <v>07/08/2024</v>
      </c>
      <c r="BC343" s="33">
        <f t="shared" si="225"/>
        <v>84570</v>
      </c>
      <c r="BD343" s="4" t="str">
        <f t="shared" si="225"/>
        <v>A8</v>
      </c>
      <c r="BE343">
        <f t="shared" si="249"/>
        <v>85696.25</v>
      </c>
      <c r="BF343">
        <f t="shared" si="250"/>
        <v>85166.25</v>
      </c>
      <c r="BG343">
        <f t="shared" si="251"/>
        <v>85961.25</v>
      </c>
      <c r="BH343">
        <f t="shared" si="252"/>
        <v>84901.25</v>
      </c>
      <c r="BI343">
        <f t="shared" si="253"/>
        <v>85563.75</v>
      </c>
      <c r="BJ343">
        <f t="shared" si="254"/>
        <v>85298.75</v>
      </c>
      <c r="BK343">
        <f t="shared" si="255"/>
        <v>86491.25</v>
      </c>
      <c r="BL343" s="38">
        <f t="shared" si="256"/>
        <v>84371.25</v>
      </c>
      <c r="BM343">
        <f t="shared" si="257"/>
        <v>85519.583333333343</v>
      </c>
      <c r="BN343">
        <f t="shared" si="258"/>
        <v>85342.916666666657</v>
      </c>
      <c r="BO343">
        <f t="shared" si="259"/>
        <v>87021.25</v>
      </c>
      <c r="BP343">
        <f t="shared" si="260"/>
        <v>83841.25</v>
      </c>
      <c r="BQ343" s="7">
        <f>BL343</f>
        <v>84371.25</v>
      </c>
      <c r="BS343" s="30">
        <f t="shared" si="226"/>
        <v>84570</v>
      </c>
      <c r="BT343" s="4">
        <f t="shared" si="227"/>
        <v>84371.25</v>
      </c>
      <c r="BU343" s="37">
        <f t="shared" si="228"/>
        <v>198.75</v>
      </c>
      <c r="BV343">
        <f t="shared" si="229"/>
        <v>198.75</v>
      </c>
      <c r="BW343" s="35">
        <f t="shared" si="230"/>
        <v>2.3501241575026605E-3</v>
      </c>
    </row>
    <row r="344" spans="1:75">
      <c r="A344" s="1" t="s">
        <v>345</v>
      </c>
      <c r="B344" s="1">
        <v>87760</v>
      </c>
      <c r="Q344">
        <v>341</v>
      </c>
      <c r="R344" s="27" t="str">
        <f t="shared" si="221"/>
        <v>08/08/2024</v>
      </c>
      <c r="S344" s="27">
        <f t="shared" si="221"/>
        <v>84320</v>
      </c>
      <c r="T344" s="4" t="str">
        <f t="shared" si="222"/>
        <v>A8</v>
      </c>
      <c r="V344">
        <v>341</v>
      </c>
      <c r="W344" s="28" t="str">
        <f t="shared" si="220"/>
        <v>08/08/2024</v>
      </c>
      <c r="X344" s="28">
        <f t="shared" si="220"/>
        <v>84320</v>
      </c>
      <c r="Y344" s="28" t="str">
        <f t="shared" si="220"/>
        <v>A8</v>
      </c>
      <c r="Z344" s="5" t="str">
        <f t="shared" si="231"/>
        <v>A8</v>
      </c>
      <c r="AA344" s="5" t="str">
        <f t="shared" si="232"/>
        <v>A8</v>
      </c>
      <c r="AG344" s="29" t="str">
        <f t="shared" si="223"/>
        <v>08/08/2024</v>
      </c>
      <c r="AH344" s="30">
        <f t="shared" si="223"/>
        <v>84320</v>
      </c>
      <c r="AI344" s="4" t="str">
        <f t="shared" si="224"/>
        <v>A8</v>
      </c>
      <c r="AJ344" s="5" t="str">
        <f t="shared" si="233"/>
        <v>A8</v>
      </c>
      <c r="AK344">
        <f t="shared" si="234"/>
        <v>85922.5</v>
      </c>
      <c r="AL344" t="str">
        <f t="shared" si="235"/>
        <v>A8</v>
      </c>
      <c r="AM344">
        <f t="shared" si="236"/>
        <v>85922.5</v>
      </c>
      <c r="AN344" s="6">
        <f t="shared" si="237"/>
        <v>960</v>
      </c>
      <c r="AO344">
        <f t="shared" si="238"/>
        <v>85050</v>
      </c>
      <c r="AP344">
        <f t="shared" si="261"/>
        <v>84090</v>
      </c>
      <c r="AQ344" s="33">
        <f t="shared" si="239"/>
        <v>85530</v>
      </c>
      <c r="AR344" s="33">
        <f t="shared" si="240"/>
        <v>83610</v>
      </c>
      <c r="AS344">
        <f t="shared" si="241"/>
        <v>84810</v>
      </c>
      <c r="AT344" s="5">
        <f t="shared" si="242"/>
        <v>84330</v>
      </c>
      <c r="AU344" s="5">
        <f t="shared" si="243"/>
        <v>86490</v>
      </c>
      <c r="AV344" s="5">
        <f t="shared" si="244"/>
        <v>82650</v>
      </c>
      <c r="AW344" s="5">
        <f t="shared" si="245"/>
        <v>84730</v>
      </c>
      <c r="AX344" s="5">
        <f t="shared" si="246"/>
        <v>84410</v>
      </c>
      <c r="AY344" s="5">
        <f t="shared" si="247"/>
        <v>87450</v>
      </c>
      <c r="AZ344" s="5">
        <f t="shared" si="248"/>
        <v>81690</v>
      </c>
      <c r="BB344" s="32" t="str">
        <f t="shared" si="225"/>
        <v>08/08/2024</v>
      </c>
      <c r="BC344" s="33">
        <f t="shared" si="225"/>
        <v>84320</v>
      </c>
      <c r="BD344" s="4" t="str">
        <f t="shared" si="225"/>
        <v>A8</v>
      </c>
      <c r="BE344">
        <f t="shared" si="249"/>
        <v>85486.25</v>
      </c>
      <c r="BF344">
        <f t="shared" si="250"/>
        <v>85006.25</v>
      </c>
      <c r="BG344">
        <f t="shared" si="251"/>
        <v>85726.25</v>
      </c>
      <c r="BH344">
        <f t="shared" si="252"/>
        <v>84766.25</v>
      </c>
      <c r="BI344">
        <f t="shared" si="253"/>
        <v>85366.25</v>
      </c>
      <c r="BJ344">
        <f t="shared" si="254"/>
        <v>85126.25</v>
      </c>
      <c r="BK344">
        <f t="shared" si="255"/>
        <v>86206.25</v>
      </c>
      <c r="BL344" s="38">
        <f t="shared" si="256"/>
        <v>84286.25</v>
      </c>
      <c r="BM344">
        <f t="shared" si="257"/>
        <v>85326.25</v>
      </c>
      <c r="BN344">
        <f t="shared" si="258"/>
        <v>85166.25</v>
      </c>
      <c r="BO344">
        <f t="shared" si="259"/>
        <v>86686.25</v>
      </c>
      <c r="BP344">
        <f t="shared" si="260"/>
        <v>83806.25</v>
      </c>
      <c r="BQ344" s="7">
        <f>BL344</f>
        <v>84286.25</v>
      </c>
      <c r="BS344" s="30">
        <f t="shared" si="226"/>
        <v>84320</v>
      </c>
      <c r="BT344" s="4">
        <f t="shared" si="227"/>
        <v>84286.25</v>
      </c>
      <c r="BU344" s="37">
        <f t="shared" si="228"/>
        <v>33.75</v>
      </c>
      <c r="BV344">
        <f t="shared" si="229"/>
        <v>33.75</v>
      </c>
      <c r="BW344" s="35">
        <f t="shared" si="230"/>
        <v>4.0026091081593926E-4</v>
      </c>
    </row>
    <row r="345" spans="1:75">
      <c r="A345" s="1" t="s">
        <v>346</v>
      </c>
      <c r="B345" s="1">
        <v>86610</v>
      </c>
      <c r="Q345">
        <v>342</v>
      </c>
      <c r="R345" s="27" t="str">
        <f t="shared" si="221"/>
        <v>09/08/2024</v>
      </c>
      <c r="S345" s="27">
        <f t="shared" si="221"/>
        <v>88010</v>
      </c>
      <c r="T345" s="4" t="str">
        <f t="shared" si="222"/>
        <v>A8</v>
      </c>
      <c r="V345">
        <v>342</v>
      </c>
      <c r="W345" s="28" t="str">
        <f t="shared" si="220"/>
        <v>09/08/2024</v>
      </c>
      <c r="X345" s="28">
        <f t="shared" si="220"/>
        <v>88010</v>
      </c>
      <c r="Y345" s="28" t="str">
        <f t="shared" si="220"/>
        <v>A8</v>
      </c>
      <c r="Z345" s="5" t="str">
        <f t="shared" si="231"/>
        <v>A8</v>
      </c>
      <c r="AA345" s="5" t="str">
        <f t="shared" si="232"/>
        <v>A8</v>
      </c>
      <c r="AG345" s="29" t="str">
        <f t="shared" si="223"/>
        <v>09/08/2024</v>
      </c>
      <c r="AH345" s="30">
        <f t="shared" si="223"/>
        <v>88010</v>
      </c>
      <c r="AI345" s="4" t="str">
        <f t="shared" si="224"/>
        <v>A8</v>
      </c>
      <c r="AJ345" s="5" t="str">
        <f t="shared" si="233"/>
        <v>A8</v>
      </c>
      <c r="AK345">
        <f t="shared" si="234"/>
        <v>85922.5</v>
      </c>
      <c r="AL345" t="str">
        <f t="shared" si="235"/>
        <v>A8</v>
      </c>
      <c r="AM345">
        <f t="shared" si="236"/>
        <v>85922.5</v>
      </c>
      <c r="AN345" s="6">
        <f t="shared" si="237"/>
        <v>120</v>
      </c>
      <c r="AO345">
        <f t="shared" si="238"/>
        <v>84380</v>
      </c>
      <c r="AP345">
        <f t="shared" si="261"/>
        <v>84260</v>
      </c>
      <c r="AQ345" s="33">
        <f t="shared" si="239"/>
        <v>84440</v>
      </c>
      <c r="AR345" s="33">
        <f t="shared" si="240"/>
        <v>84200</v>
      </c>
      <c r="AS345">
        <f t="shared" si="241"/>
        <v>84350</v>
      </c>
      <c r="AT345" s="5">
        <f t="shared" si="242"/>
        <v>84290</v>
      </c>
      <c r="AU345" s="5">
        <f t="shared" si="243"/>
        <v>84560</v>
      </c>
      <c r="AV345" s="5">
        <f t="shared" si="244"/>
        <v>84080</v>
      </c>
      <c r="AW345" s="5">
        <f t="shared" si="245"/>
        <v>84340</v>
      </c>
      <c r="AX345" s="5">
        <f t="shared" si="246"/>
        <v>84300</v>
      </c>
      <c r="AY345" s="5">
        <f t="shared" si="247"/>
        <v>84680</v>
      </c>
      <c r="AZ345" s="5">
        <f t="shared" si="248"/>
        <v>83960</v>
      </c>
      <c r="BB345" s="32" t="str">
        <f t="shared" si="225"/>
        <v>09/08/2024</v>
      </c>
      <c r="BC345" s="33">
        <f t="shared" si="225"/>
        <v>88010</v>
      </c>
      <c r="BD345" s="4" t="str">
        <f t="shared" si="225"/>
        <v>A8</v>
      </c>
      <c r="BE345">
        <f t="shared" si="249"/>
        <v>85151.25</v>
      </c>
      <c r="BF345">
        <f t="shared" si="250"/>
        <v>85091.25</v>
      </c>
      <c r="BG345">
        <f t="shared" si="251"/>
        <v>85181.25</v>
      </c>
      <c r="BH345">
        <f t="shared" si="252"/>
        <v>85061.25</v>
      </c>
      <c r="BI345">
        <f t="shared" si="253"/>
        <v>85136.25</v>
      </c>
      <c r="BJ345">
        <f t="shared" si="254"/>
        <v>85106.25</v>
      </c>
      <c r="BK345">
        <f t="shared" si="255"/>
        <v>85241.25</v>
      </c>
      <c r="BL345">
        <f t="shared" si="256"/>
        <v>85001.25</v>
      </c>
      <c r="BM345">
        <f t="shared" si="257"/>
        <v>85131.25</v>
      </c>
      <c r="BN345">
        <f t="shared" si="258"/>
        <v>85111.25</v>
      </c>
      <c r="BO345" s="38">
        <f t="shared" si="259"/>
        <v>85301.25</v>
      </c>
      <c r="BP345">
        <f t="shared" si="260"/>
        <v>84941.25</v>
      </c>
      <c r="BQ345" s="7">
        <f>BO345</f>
        <v>85301.25</v>
      </c>
      <c r="BS345" s="30">
        <f t="shared" si="226"/>
        <v>88010</v>
      </c>
      <c r="BT345" s="4">
        <f t="shared" si="227"/>
        <v>85301.25</v>
      </c>
      <c r="BU345" s="37">
        <f t="shared" si="228"/>
        <v>2708.75</v>
      </c>
      <c r="BV345">
        <f t="shared" si="229"/>
        <v>2708.75</v>
      </c>
      <c r="BW345" s="35">
        <f t="shared" si="230"/>
        <v>3.0777752528121805E-2</v>
      </c>
    </row>
    <row r="346" spans="1:75">
      <c r="A346" s="1" t="s">
        <v>347</v>
      </c>
      <c r="B346" s="1">
        <v>88410</v>
      </c>
      <c r="Q346">
        <v>343</v>
      </c>
      <c r="R346" s="27" t="str">
        <f t="shared" si="221"/>
        <v>10/08/2024</v>
      </c>
      <c r="S346" s="27">
        <f t="shared" si="221"/>
        <v>87760</v>
      </c>
      <c r="T346" s="4" t="str">
        <f t="shared" si="222"/>
        <v>A8</v>
      </c>
      <c r="V346">
        <v>343</v>
      </c>
      <c r="W346" s="28" t="str">
        <f t="shared" si="220"/>
        <v>10/08/2024</v>
      </c>
      <c r="X346" s="28">
        <f t="shared" si="220"/>
        <v>87760</v>
      </c>
      <c r="Y346" s="28" t="str">
        <f t="shared" si="220"/>
        <v>A8</v>
      </c>
      <c r="Z346" s="5" t="str">
        <f t="shared" si="231"/>
        <v>A8</v>
      </c>
      <c r="AA346" s="5" t="str">
        <f t="shared" si="232"/>
        <v>A8</v>
      </c>
      <c r="AG346" s="29" t="str">
        <f t="shared" si="223"/>
        <v>10/08/2024</v>
      </c>
      <c r="AH346" s="30">
        <f t="shared" si="223"/>
        <v>87760</v>
      </c>
      <c r="AI346" s="4" t="str">
        <f t="shared" si="224"/>
        <v>A8</v>
      </c>
      <c r="AJ346" s="5" t="str">
        <f t="shared" si="233"/>
        <v>A8</v>
      </c>
      <c r="AK346">
        <f t="shared" si="234"/>
        <v>85922.5</v>
      </c>
      <c r="AL346" t="str">
        <f t="shared" si="235"/>
        <v>A8</v>
      </c>
      <c r="AM346">
        <f t="shared" si="236"/>
        <v>85922.5</v>
      </c>
      <c r="AN346" s="6">
        <f t="shared" si="237"/>
        <v>3440</v>
      </c>
      <c r="AO346">
        <f t="shared" si="238"/>
        <v>89730</v>
      </c>
      <c r="AP346">
        <f t="shared" si="261"/>
        <v>86290</v>
      </c>
      <c r="AQ346" s="33">
        <f t="shared" si="239"/>
        <v>91450</v>
      </c>
      <c r="AR346" s="33">
        <f t="shared" si="240"/>
        <v>84570</v>
      </c>
      <c r="AS346">
        <f t="shared" si="241"/>
        <v>88870</v>
      </c>
      <c r="AT346" s="5">
        <f t="shared" si="242"/>
        <v>87150</v>
      </c>
      <c r="AU346" s="5">
        <f t="shared" si="243"/>
        <v>94890</v>
      </c>
      <c r="AV346" s="5">
        <f t="shared" si="244"/>
        <v>81130</v>
      </c>
      <c r="AW346" s="5">
        <f t="shared" si="245"/>
        <v>88583.333333333328</v>
      </c>
      <c r="AX346" s="5">
        <f t="shared" si="246"/>
        <v>87436.666666666672</v>
      </c>
      <c r="AY346" s="5">
        <f t="shared" si="247"/>
        <v>98330</v>
      </c>
      <c r="AZ346" s="5">
        <f t="shared" si="248"/>
        <v>77690</v>
      </c>
      <c r="BB346" s="32" t="str">
        <f t="shared" si="225"/>
        <v>10/08/2024</v>
      </c>
      <c r="BC346" s="33">
        <f t="shared" si="225"/>
        <v>87760</v>
      </c>
      <c r="BD346" s="4" t="str">
        <f t="shared" si="225"/>
        <v>A8</v>
      </c>
      <c r="BE346" s="38">
        <f t="shared" si="249"/>
        <v>87826.25</v>
      </c>
      <c r="BF346">
        <f t="shared" si="250"/>
        <v>86106.25</v>
      </c>
      <c r="BG346">
        <f t="shared" si="251"/>
        <v>88686.25</v>
      </c>
      <c r="BH346">
        <f t="shared" si="252"/>
        <v>85246.25</v>
      </c>
      <c r="BI346">
        <f t="shared" si="253"/>
        <v>87396.25</v>
      </c>
      <c r="BJ346">
        <f t="shared" si="254"/>
        <v>86536.25</v>
      </c>
      <c r="BK346">
        <f t="shared" si="255"/>
        <v>90406.25</v>
      </c>
      <c r="BL346">
        <f t="shared" si="256"/>
        <v>83526.25</v>
      </c>
      <c r="BM346">
        <f t="shared" si="257"/>
        <v>87252.916666666657</v>
      </c>
      <c r="BN346">
        <f t="shared" si="258"/>
        <v>86679.583333333343</v>
      </c>
      <c r="BO346">
        <f t="shared" si="259"/>
        <v>92126.25</v>
      </c>
      <c r="BP346">
        <f t="shared" si="260"/>
        <v>81806.25</v>
      </c>
      <c r="BQ346" s="7">
        <f>BE346</f>
        <v>87826.25</v>
      </c>
      <c r="BS346" s="30">
        <f t="shared" si="226"/>
        <v>87760</v>
      </c>
      <c r="BT346" s="4">
        <f t="shared" si="227"/>
        <v>87826.25</v>
      </c>
      <c r="BU346" s="37">
        <f t="shared" si="228"/>
        <v>-66.25</v>
      </c>
      <c r="BV346">
        <f t="shared" si="229"/>
        <v>66.25</v>
      </c>
      <c r="BW346" s="35">
        <f t="shared" si="230"/>
        <v>7.5489972652689156E-4</v>
      </c>
    </row>
    <row r="347" spans="1:75">
      <c r="A347" s="1" t="s">
        <v>348</v>
      </c>
      <c r="B347" s="1">
        <v>89030</v>
      </c>
      <c r="Q347">
        <v>344</v>
      </c>
      <c r="R347" s="27" t="str">
        <f t="shared" si="221"/>
        <v>11/08/2024</v>
      </c>
      <c r="S347" s="27">
        <f t="shared" si="221"/>
        <v>86610</v>
      </c>
      <c r="T347" s="4" t="str">
        <f t="shared" si="222"/>
        <v>A8</v>
      </c>
      <c r="V347">
        <v>344</v>
      </c>
      <c r="W347" s="28" t="str">
        <f t="shared" si="220"/>
        <v>11/08/2024</v>
      </c>
      <c r="X347" s="28">
        <f t="shared" si="220"/>
        <v>86610</v>
      </c>
      <c r="Y347" s="28" t="str">
        <f t="shared" si="220"/>
        <v>A8</v>
      </c>
      <c r="Z347" s="5" t="str">
        <f t="shared" si="231"/>
        <v>A8</v>
      </c>
      <c r="AA347" s="5" t="str">
        <f t="shared" si="232"/>
        <v>A8</v>
      </c>
      <c r="AG347" s="29" t="str">
        <f t="shared" si="223"/>
        <v>11/08/2024</v>
      </c>
      <c r="AH347" s="30">
        <f t="shared" si="223"/>
        <v>86610</v>
      </c>
      <c r="AI347" s="4" t="str">
        <f t="shared" si="224"/>
        <v>A8</v>
      </c>
      <c r="AJ347" s="5" t="str">
        <f t="shared" si="233"/>
        <v>A8</v>
      </c>
      <c r="AK347">
        <f t="shared" si="234"/>
        <v>85922.5</v>
      </c>
      <c r="AL347" t="str">
        <f t="shared" si="235"/>
        <v>A8</v>
      </c>
      <c r="AM347">
        <f t="shared" si="236"/>
        <v>85922.5</v>
      </c>
      <c r="AN347" s="6">
        <f t="shared" si="237"/>
        <v>3440</v>
      </c>
      <c r="AO347">
        <f t="shared" si="238"/>
        <v>89480</v>
      </c>
      <c r="AP347">
        <f t="shared" si="261"/>
        <v>86040</v>
      </c>
      <c r="AQ347" s="33">
        <f t="shared" si="239"/>
        <v>91200</v>
      </c>
      <c r="AR347" s="33">
        <f t="shared" si="240"/>
        <v>84320</v>
      </c>
      <c r="AS347">
        <f t="shared" si="241"/>
        <v>88620</v>
      </c>
      <c r="AT347" s="5">
        <f t="shared" si="242"/>
        <v>86900</v>
      </c>
      <c r="AU347" s="5">
        <f t="shared" si="243"/>
        <v>94640</v>
      </c>
      <c r="AV347" s="5">
        <f t="shared" si="244"/>
        <v>80880</v>
      </c>
      <c r="AW347" s="5">
        <f t="shared" si="245"/>
        <v>88333.333333333328</v>
      </c>
      <c r="AX347" s="5">
        <f t="shared" si="246"/>
        <v>87186.666666666672</v>
      </c>
      <c r="AY347" s="5">
        <f t="shared" si="247"/>
        <v>98080</v>
      </c>
      <c r="AZ347" s="5">
        <f t="shared" si="248"/>
        <v>77440</v>
      </c>
      <c r="BB347" s="32" t="str">
        <f t="shared" si="225"/>
        <v>11/08/2024</v>
      </c>
      <c r="BC347" s="33">
        <f t="shared" si="225"/>
        <v>86610</v>
      </c>
      <c r="BD347" s="4" t="str">
        <f t="shared" si="225"/>
        <v>A8</v>
      </c>
      <c r="BE347">
        <f t="shared" si="249"/>
        <v>87701.25</v>
      </c>
      <c r="BF347">
        <f t="shared" si="250"/>
        <v>85981.25</v>
      </c>
      <c r="BG347">
        <f t="shared" si="251"/>
        <v>88561.25</v>
      </c>
      <c r="BH347">
        <f t="shared" si="252"/>
        <v>85121.25</v>
      </c>
      <c r="BI347">
        <f t="shared" si="253"/>
        <v>87271.25</v>
      </c>
      <c r="BJ347">
        <f t="shared" si="254"/>
        <v>86411.25</v>
      </c>
      <c r="BK347">
        <f t="shared" si="255"/>
        <v>90281.25</v>
      </c>
      <c r="BL347">
        <f t="shared" si="256"/>
        <v>83401.25</v>
      </c>
      <c r="BM347">
        <f t="shared" si="257"/>
        <v>87127.916666666657</v>
      </c>
      <c r="BN347" s="38">
        <f t="shared" si="258"/>
        <v>86554.583333333343</v>
      </c>
      <c r="BO347">
        <f t="shared" si="259"/>
        <v>92001.25</v>
      </c>
      <c r="BP347">
        <f t="shared" si="260"/>
        <v>81681.25</v>
      </c>
      <c r="BQ347" s="7">
        <f>BN347</f>
        <v>86554.583333333343</v>
      </c>
      <c r="BS347" s="30">
        <f t="shared" si="226"/>
        <v>86610</v>
      </c>
      <c r="BT347" s="4">
        <f t="shared" si="227"/>
        <v>86554.583333333343</v>
      </c>
      <c r="BU347" s="37">
        <f t="shared" si="228"/>
        <v>55.416666666656965</v>
      </c>
      <c r="BV347">
        <f t="shared" si="229"/>
        <v>55.416666666656965</v>
      </c>
      <c r="BW347" s="35">
        <f t="shared" si="230"/>
        <v>6.3984143478416997E-4</v>
      </c>
    </row>
    <row r="348" spans="1:75">
      <c r="A348" s="1" t="s">
        <v>349</v>
      </c>
      <c r="B348" s="1">
        <v>88660</v>
      </c>
      <c r="Q348">
        <v>345</v>
      </c>
      <c r="R348" s="27" t="str">
        <f t="shared" si="221"/>
        <v>12/08/2024</v>
      </c>
      <c r="S348" s="27">
        <f t="shared" si="221"/>
        <v>88410</v>
      </c>
      <c r="T348" s="4" t="str">
        <f t="shared" si="222"/>
        <v>A8</v>
      </c>
      <c r="V348">
        <v>345</v>
      </c>
      <c r="W348" s="28" t="str">
        <f t="shared" si="220"/>
        <v>12/08/2024</v>
      </c>
      <c r="X348" s="28">
        <f t="shared" si="220"/>
        <v>88410</v>
      </c>
      <c r="Y348" s="28" t="str">
        <f t="shared" si="220"/>
        <v>A8</v>
      </c>
      <c r="Z348" s="5" t="str">
        <f t="shared" si="231"/>
        <v>A8</v>
      </c>
      <c r="AA348" s="5" t="str">
        <f t="shared" si="232"/>
        <v>A8</v>
      </c>
      <c r="AG348" s="29" t="str">
        <f t="shared" si="223"/>
        <v>12/08/2024</v>
      </c>
      <c r="AH348" s="30">
        <f t="shared" si="223"/>
        <v>88410</v>
      </c>
      <c r="AI348" s="4" t="str">
        <f t="shared" si="224"/>
        <v>A8</v>
      </c>
      <c r="AJ348" s="5" t="str">
        <f t="shared" si="233"/>
        <v>A8</v>
      </c>
      <c r="AK348">
        <f t="shared" si="234"/>
        <v>85922.5</v>
      </c>
      <c r="AL348" t="str">
        <f t="shared" si="235"/>
        <v>A8</v>
      </c>
      <c r="AM348">
        <f t="shared" si="236"/>
        <v>85922.5</v>
      </c>
      <c r="AN348" s="6">
        <f t="shared" si="237"/>
        <v>900</v>
      </c>
      <c r="AO348">
        <f t="shared" si="238"/>
        <v>87060</v>
      </c>
      <c r="AP348">
        <f t="shared" si="261"/>
        <v>86160</v>
      </c>
      <c r="AQ348" s="33">
        <f t="shared" si="239"/>
        <v>87510</v>
      </c>
      <c r="AR348" s="33">
        <f t="shared" si="240"/>
        <v>85710</v>
      </c>
      <c r="AS348">
        <f t="shared" si="241"/>
        <v>86835</v>
      </c>
      <c r="AT348" s="5">
        <f t="shared" si="242"/>
        <v>86385</v>
      </c>
      <c r="AU348" s="5">
        <f t="shared" si="243"/>
        <v>88410</v>
      </c>
      <c r="AV348" s="5">
        <f t="shared" si="244"/>
        <v>84810</v>
      </c>
      <c r="AW348" s="5">
        <f t="shared" si="245"/>
        <v>86760</v>
      </c>
      <c r="AX348" s="5">
        <f t="shared" si="246"/>
        <v>86460</v>
      </c>
      <c r="AY348" s="5">
        <f t="shared" si="247"/>
        <v>89310</v>
      </c>
      <c r="AZ348" s="5">
        <f t="shared" si="248"/>
        <v>83910</v>
      </c>
      <c r="BB348" s="32" t="str">
        <f t="shared" si="225"/>
        <v>12/08/2024</v>
      </c>
      <c r="BC348" s="33">
        <f t="shared" si="225"/>
        <v>88410</v>
      </c>
      <c r="BD348" s="4" t="str">
        <f t="shared" si="225"/>
        <v>A8</v>
      </c>
      <c r="BE348">
        <f t="shared" si="249"/>
        <v>86491.25</v>
      </c>
      <c r="BF348">
        <f t="shared" si="250"/>
        <v>86041.25</v>
      </c>
      <c r="BG348">
        <f t="shared" si="251"/>
        <v>86716.25</v>
      </c>
      <c r="BH348">
        <f t="shared" si="252"/>
        <v>85816.25</v>
      </c>
      <c r="BI348">
        <f t="shared" si="253"/>
        <v>86378.75</v>
      </c>
      <c r="BJ348">
        <f t="shared" si="254"/>
        <v>86153.75</v>
      </c>
      <c r="BK348">
        <f t="shared" si="255"/>
        <v>87166.25</v>
      </c>
      <c r="BL348">
        <f t="shared" si="256"/>
        <v>85366.25</v>
      </c>
      <c r="BM348">
        <f t="shared" si="257"/>
        <v>86341.25</v>
      </c>
      <c r="BN348">
        <f t="shared" si="258"/>
        <v>86191.25</v>
      </c>
      <c r="BO348" s="38">
        <f t="shared" si="259"/>
        <v>87616.25</v>
      </c>
      <c r="BP348">
        <f t="shared" si="260"/>
        <v>84916.25</v>
      </c>
      <c r="BQ348" s="7">
        <f>BO348</f>
        <v>87616.25</v>
      </c>
      <c r="BS348" s="30">
        <f t="shared" si="226"/>
        <v>88410</v>
      </c>
      <c r="BT348" s="4">
        <f t="shared" si="227"/>
        <v>87616.25</v>
      </c>
      <c r="BU348" s="37">
        <f t="shared" si="228"/>
        <v>793.75</v>
      </c>
      <c r="BV348">
        <f t="shared" si="229"/>
        <v>793.75</v>
      </c>
      <c r="BW348" s="35">
        <f t="shared" si="230"/>
        <v>8.9780567809071374E-3</v>
      </c>
    </row>
    <row r="349" spans="1:75">
      <c r="A349" s="1" t="s">
        <v>350</v>
      </c>
      <c r="B349" s="1">
        <v>88380</v>
      </c>
      <c r="Q349">
        <v>346</v>
      </c>
      <c r="R349" s="27" t="str">
        <f t="shared" si="221"/>
        <v>13/08/2024</v>
      </c>
      <c r="S349" s="27">
        <f t="shared" si="221"/>
        <v>89030</v>
      </c>
      <c r="T349" s="4" t="str">
        <f t="shared" si="222"/>
        <v>A9</v>
      </c>
      <c r="V349">
        <v>346</v>
      </c>
      <c r="W349" s="28" t="str">
        <f t="shared" si="220"/>
        <v>13/08/2024</v>
      </c>
      <c r="X349" s="28">
        <f t="shared" si="220"/>
        <v>89030</v>
      </c>
      <c r="Y349" s="28" t="str">
        <f t="shared" si="220"/>
        <v>A9</v>
      </c>
      <c r="Z349" s="5" t="str">
        <f t="shared" si="231"/>
        <v>A8</v>
      </c>
      <c r="AA349" s="5" t="str">
        <f t="shared" si="232"/>
        <v>A8</v>
      </c>
      <c r="AG349" s="29" t="str">
        <f t="shared" si="223"/>
        <v>13/08/2024</v>
      </c>
      <c r="AH349" s="30">
        <f t="shared" si="223"/>
        <v>89030</v>
      </c>
      <c r="AI349" s="4" t="str">
        <f t="shared" si="224"/>
        <v>A9</v>
      </c>
      <c r="AJ349" s="5" t="str">
        <f t="shared" si="233"/>
        <v>A8</v>
      </c>
      <c r="AK349">
        <f t="shared" si="234"/>
        <v>85922.5</v>
      </c>
      <c r="AL349" t="str">
        <f t="shared" si="235"/>
        <v>A8</v>
      </c>
      <c r="AM349">
        <f t="shared" si="236"/>
        <v>85922.5</v>
      </c>
      <c r="AN349" s="6">
        <f t="shared" si="237"/>
        <v>650</v>
      </c>
      <c r="AO349">
        <f t="shared" si="238"/>
        <v>88735</v>
      </c>
      <c r="AP349">
        <f t="shared" si="261"/>
        <v>88085</v>
      </c>
      <c r="AQ349" s="33">
        <f t="shared" si="239"/>
        <v>89060</v>
      </c>
      <c r="AR349" s="33">
        <f t="shared" si="240"/>
        <v>87760</v>
      </c>
      <c r="AS349">
        <f t="shared" si="241"/>
        <v>88572.5</v>
      </c>
      <c r="AT349" s="5">
        <f t="shared" si="242"/>
        <v>88247.5</v>
      </c>
      <c r="AU349" s="5">
        <f t="shared" si="243"/>
        <v>89710</v>
      </c>
      <c r="AV349" s="5">
        <f t="shared" si="244"/>
        <v>87110</v>
      </c>
      <c r="AW349" s="5">
        <f t="shared" si="245"/>
        <v>88518.333333333328</v>
      </c>
      <c r="AX349" s="5">
        <f t="shared" si="246"/>
        <v>88301.666666666672</v>
      </c>
      <c r="AY349" s="5">
        <f t="shared" si="247"/>
        <v>90360</v>
      </c>
      <c r="AZ349" s="5">
        <f t="shared" si="248"/>
        <v>86460</v>
      </c>
      <c r="BB349" s="32" t="str">
        <f t="shared" si="225"/>
        <v>13/08/2024</v>
      </c>
      <c r="BC349" s="33">
        <f t="shared" si="225"/>
        <v>89030</v>
      </c>
      <c r="BD349" s="4" t="str">
        <f t="shared" si="225"/>
        <v>A9</v>
      </c>
      <c r="BE349">
        <f t="shared" si="249"/>
        <v>87328.75</v>
      </c>
      <c r="BF349">
        <f t="shared" si="250"/>
        <v>87003.75</v>
      </c>
      <c r="BG349">
        <f t="shared" si="251"/>
        <v>87491.25</v>
      </c>
      <c r="BH349">
        <f t="shared" si="252"/>
        <v>86841.25</v>
      </c>
      <c r="BI349">
        <f t="shared" si="253"/>
        <v>87247.5</v>
      </c>
      <c r="BJ349">
        <f t="shared" si="254"/>
        <v>87085</v>
      </c>
      <c r="BK349">
        <f t="shared" si="255"/>
        <v>87816.25</v>
      </c>
      <c r="BL349">
        <f t="shared" si="256"/>
        <v>86516.25</v>
      </c>
      <c r="BM349">
        <f t="shared" si="257"/>
        <v>87220.416666666657</v>
      </c>
      <c r="BN349">
        <f t="shared" si="258"/>
        <v>87112.083333333343</v>
      </c>
      <c r="BO349" s="38">
        <f t="shared" si="259"/>
        <v>88141.25</v>
      </c>
      <c r="BP349">
        <f t="shared" si="260"/>
        <v>86191.25</v>
      </c>
      <c r="BQ349" s="7">
        <f>BO349</f>
        <v>88141.25</v>
      </c>
      <c r="BS349" s="30">
        <f t="shared" si="226"/>
        <v>89030</v>
      </c>
      <c r="BT349" s="4">
        <f t="shared" si="227"/>
        <v>88141.25</v>
      </c>
      <c r="BU349" s="37">
        <f t="shared" si="228"/>
        <v>888.75</v>
      </c>
      <c r="BV349">
        <f t="shared" si="229"/>
        <v>888.75</v>
      </c>
      <c r="BW349" s="35">
        <f t="shared" si="230"/>
        <v>9.9825901381556774E-3</v>
      </c>
    </row>
    <row r="350" spans="1:75">
      <c r="A350" s="1" t="s">
        <v>351</v>
      </c>
      <c r="B350" s="1">
        <v>87100</v>
      </c>
      <c r="Q350">
        <v>347</v>
      </c>
      <c r="R350" s="27" t="str">
        <f t="shared" si="221"/>
        <v>14/08/2024</v>
      </c>
      <c r="S350" s="27">
        <f t="shared" si="221"/>
        <v>88660</v>
      </c>
      <c r="T350" s="4" t="str">
        <f t="shared" si="222"/>
        <v>A8</v>
      </c>
      <c r="V350">
        <v>347</v>
      </c>
      <c r="W350" s="28" t="str">
        <f t="shared" si="220"/>
        <v>14/08/2024</v>
      </c>
      <c r="X350" s="28">
        <f t="shared" si="220"/>
        <v>88660</v>
      </c>
      <c r="Y350" s="28" t="str">
        <f t="shared" si="220"/>
        <v>A8</v>
      </c>
      <c r="Z350" s="5" t="str">
        <f t="shared" si="231"/>
        <v>A8</v>
      </c>
      <c r="AA350" s="5" t="str">
        <f t="shared" si="232"/>
        <v>A9</v>
      </c>
      <c r="AG350" s="29" t="str">
        <f t="shared" si="223"/>
        <v>14/08/2024</v>
      </c>
      <c r="AH350" s="30">
        <f t="shared" si="223"/>
        <v>88660</v>
      </c>
      <c r="AI350" s="4" t="str">
        <f t="shared" si="224"/>
        <v>A8</v>
      </c>
      <c r="AJ350" s="5" t="str">
        <f t="shared" si="233"/>
        <v>A8</v>
      </c>
      <c r="AK350">
        <f t="shared" si="234"/>
        <v>85922.5</v>
      </c>
      <c r="AL350" t="str">
        <f t="shared" si="235"/>
        <v>A9</v>
      </c>
      <c r="AM350">
        <f t="shared" si="236"/>
        <v>91953.5</v>
      </c>
      <c r="AN350" s="6">
        <f t="shared" si="237"/>
        <v>1180</v>
      </c>
      <c r="AO350">
        <f t="shared" si="238"/>
        <v>89620</v>
      </c>
      <c r="AP350">
        <f t="shared" si="261"/>
        <v>88440</v>
      </c>
      <c r="AQ350" s="33">
        <f t="shared" si="239"/>
        <v>90210</v>
      </c>
      <c r="AR350" s="33">
        <f t="shared" si="240"/>
        <v>87850</v>
      </c>
      <c r="AS350">
        <f t="shared" si="241"/>
        <v>89325</v>
      </c>
      <c r="AT350" s="5">
        <f t="shared" si="242"/>
        <v>88735</v>
      </c>
      <c r="AU350" s="5">
        <f t="shared" si="243"/>
        <v>91390</v>
      </c>
      <c r="AV350" s="5">
        <f t="shared" si="244"/>
        <v>86670</v>
      </c>
      <c r="AW350" s="5">
        <f t="shared" si="245"/>
        <v>89226.666666666672</v>
      </c>
      <c r="AX350" s="5">
        <f t="shared" si="246"/>
        <v>88833.333333333328</v>
      </c>
      <c r="AY350" s="5">
        <f t="shared" si="247"/>
        <v>92570</v>
      </c>
      <c r="AZ350" s="5">
        <f t="shared" si="248"/>
        <v>85490</v>
      </c>
      <c r="BB350" s="32" t="str">
        <f t="shared" si="225"/>
        <v>14/08/2024</v>
      </c>
      <c r="BC350" s="33">
        <f t="shared" si="225"/>
        <v>88660</v>
      </c>
      <c r="BD350" s="4" t="str">
        <f t="shared" si="225"/>
        <v>A8</v>
      </c>
      <c r="BE350">
        <f t="shared" si="249"/>
        <v>90786.75</v>
      </c>
      <c r="BF350">
        <f t="shared" si="250"/>
        <v>90196.75</v>
      </c>
      <c r="BG350">
        <f t="shared" si="251"/>
        <v>91081.75</v>
      </c>
      <c r="BH350">
        <f t="shared" si="252"/>
        <v>89901.75</v>
      </c>
      <c r="BI350">
        <f t="shared" si="253"/>
        <v>90639.25</v>
      </c>
      <c r="BJ350">
        <f t="shared" si="254"/>
        <v>90344.25</v>
      </c>
      <c r="BK350">
        <f t="shared" si="255"/>
        <v>91671.75</v>
      </c>
      <c r="BL350">
        <f t="shared" si="256"/>
        <v>89311.75</v>
      </c>
      <c r="BM350">
        <f t="shared" si="257"/>
        <v>90590.083333333343</v>
      </c>
      <c r="BN350">
        <f t="shared" si="258"/>
        <v>90393.416666666657</v>
      </c>
      <c r="BO350">
        <f t="shared" si="259"/>
        <v>92261.75</v>
      </c>
      <c r="BP350" s="38">
        <f t="shared" si="260"/>
        <v>88721.75</v>
      </c>
      <c r="BQ350" s="7">
        <f>BP350</f>
        <v>88721.75</v>
      </c>
      <c r="BS350" s="30">
        <f t="shared" si="226"/>
        <v>88660</v>
      </c>
      <c r="BT350" s="4">
        <f t="shared" si="227"/>
        <v>88721.75</v>
      </c>
      <c r="BU350" s="37">
        <f t="shared" si="228"/>
        <v>-61.75</v>
      </c>
      <c r="BV350">
        <f t="shared" si="229"/>
        <v>61.75</v>
      </c>
      <c r="BW350" s="35">
        <f t="shared" si="230"/>
        <v>6.9648093841642234E-4</v>
      </c>
    </row>
    <row r="351" spans="1:75">
      <c r="A351" s="1" t="s">
        <v>352</v>
      </c>
      <c r="B351" s="1">
        <v>86610</v>
      </c>
      <c r="Q351">
        <v>348</v>
      </c>
      <c r="R351" s="27" t="str">
        <f t="shared" si="221"/>
        <v>15/08/2024</v>
      </c>
      <c r="S351" s="27">
        <f t="shared" si="221"/>
        <v>88380</v>
      </c>
      <c r="T351" s="4" t="str">
        <f t="shared" si="222"/>
        <v>A8</v>
      </c>
      <c r="V351">
        <v>348</v>
      </c>
      <c r="W351" s="28" t="str">
        <f t="shared" si="220"/>
        <v>15/08/2024</v>
      </c>
      <c r="X351" s="28">
        <f t="shared" si="220"/>
        <v>88380</v>
      </c>
      <c r="Y351" s="28" t="str">
        <f t="shared" si="220"/>
        <v>A8</v>
      </c>
      <c r="Z351" s="5" t="str">
        <f t="shared" si="231"/>
        <v>A9</v>
      </c>
      <c r="AA351" s="5" t="str">
        <f t="shared" si="232"/>
        <v>A8</v>
      </c>
      <c r="AG351" s="29" t="str">
        <f t="shared" si="223"/>
        <v>15/08/2024</v>
      </c>
      <c r="AH351" s="30">
        <f t="shared" si="223"/>
        <v>88380</v>
      </c>
      <c r="AI351" s="4" t="str">
        <f t="shared" si="224"/>
        <v>A8</v>
      </c>
      <c r="AJ351" s="5" t="str">
        <f t="shared" si="233"/>
        <v>A9</v>
      </c>
      <c r="AK351">
        <f t="shared" si="234"/>
        <v>91953.5</v>
      </c>
      <c r="AL351" t="str">
        <f t="shared" si="235"/>
        <v>A8</v>
      </c>
      <c r="AM351">
        <f t="shared" si="236"/>
        <v>85922.5</v>
      </c>
      <c r="AN351" s="6">
        <f t="shared" si="237"/>
        <v>250</v>
      </c>
      <c r="AO351">
        <f t="shared" si="238"/>
        <v>88785</v>
      </c>
      <c r="AP351">
        <f t="shared" si="261"/>
        <v>88535</v>
      </c>
      <c r="AQ351" s="33">
        <f t="shared" si="239"/>
        <v>88910</v>
      </c>
      <c r="AR351" s="33">
        <f t="shared" si="240"/>
        <v>88410</v>
      </c>
      <c r="AS351">
        <f t="shared" si="241"/>
        <v>88722.5</v>
      </c>
      <c r="AT351" s="5">
        <f t="shared" si="242"/>
        <v>88597.5</v>
      </c>
      <c r="AU351" s="5">
        <f t="shared" si="243"/>
        <v>89160</v>
      </c>
      <c r="AV351" s="5">
        <f t="shared" si="244"/>
        <v>88160</v>
      </c>
      <c r="AW351" s="5">
        <f t="shared" si="245"/>
        <v>88701.666666666672</v>
      </c>
      <c r="AX351" s="5">
        <f t="shared" si="246"/>
        <v>88618.333333333328</v>
      </c>
      <c r="AY351" s="5">
        <f t="shared" si="247"/>
        <v>89410</v>
      </c>
      <c r="AZ351" s="5">
        <f t="shared" si="248"/>
        <v>87910</v>
      </c>
      <c r="BB351" s="32" t="str">
        <f t="shared" si="225"/>
        <v>15/08/2024</v>
      </c>
      <c r="BC351" s="33">
        <f t="shared" si="225"/>
        <v>88380</v>
      </c>
      <c r="BD351" s="4" t="str">
        <f t="shared" si="225"/>
        <v>A8</v>
      </c>
      <c r="BE351">
        <f t="shared" si="249"/>
        <v>87353.75</v>
      </c>
      <c r="BF351">
        <f t="shared" si="250"/>
        <v>87228.75</v>
      </c>
      <c r="BG351">
        <f t="shared" si="251"/>
        <v>87416.25</v>
      </c>
      <c r="BH351">
        <f t="shared" si="252"/>
        <v>87166.25</v>
      </c>
      <c r="BI351">
        <f t="shared" si="253"/>
        <v>87322.5</v>
      </c>
      <c r="BJ351">
        <f t="shared" si="254"/>
        <v>87260</v>
      </c>
      <c r="BK351">
        <f t="shared" si="255"/>
        <v>87541.25</v>
      </c>
      <c r="BL351">
        <f t="shared" si="256"/>
        <v>87041.25</v>
      </c>
      <c r="BM351">
        <f t="shared" si="257"/>
        <v>87312.083333333343</v>
      </c>
      <c r="BN351">
        <f t="shared" si="258"/>
        <v>87270.416666666657</v>
      </c>
      <c r="BO351" s="38">
        <f t="shared" si="259"/>
        <v>87666.25</v>
      </c>
      <c r="BP351">
        <f t="shared" si="260"/>
        <v>86916.25</v>
      </c>
      <c r="BQ351" s="7">
        <f>BO351</f>
        <v>87666.25</v>
      </c>
      <c r="BS351" s="30">
        <f t="shared" si="226"/>
        <v>88380</v>
      </c>
      <c r="BT351" s="4">
        <f t="shared" si="227"/>
        <v>87666.25</v>
      </c>
      <c r="BU351" s="37">
        <f t="shared" si="228"/>
        <v>713.75</v>
      </c>
      <c r="BV351">
        <f t="shared" si="229"/>
        <v>713.75</v>
      </c>
      <c r="BW351" s="35">
        <f t="shared" si="230"/>
        <v>8.0759221543335591E-3</v>
      </c>
    </row>
    <row r="352" spans="1:75">
      <c r="A352" s="1" t="s">
        <v>353</v>
      </c>
      <c r="B352" s="1">
        <v>85160</v>
      </c>
      <c r="Q352">
        <v>349</v>
      </c>
      <c r="R352" s="27" t="str">
        <f t="shared" si="221"/>
        <v>16/08/2024</v>
      </c>
      <c r="S352" s="27">
        <f t="shared" si="221"/>
        <v>87100</v>
      </c>
      <c r="T352" s="4" t="str">
        <f t="shared" si="222"/>
        <v>A8</v>
      </c>
      <c r="V352">
        <v>349</v>
      </c>
      <c r="W352" s="28" t="str">
        <f t="shared" si="220"/>
        <v>16/08/2024</v>
      </c>
      <c r="X352" s="28">
        <f t="shared" si="220"/>
        <v>87100</v>
      </c>
      <c r="Y352" s="28" t="str">
        <f t="shared" si="220"/>
        <v>A8</v>
      </c>
      <c r="Z352" s="5" t="str">
        <f t="shared" si="231"/>
        <v>A8</v>
      </c>
      <c r="AA352" s="5" t="str">
        <f t="shared" si="232"/>
        <v>A8</v>
      </c>
      <c r="AG352" s="29" t="str">
        <f t="shared" si="223"/>
        <v>16/08/2024</v>
      </c>
      <c r="AH352" s="30">
        <f t="shared" si="223"/>
        <v>87100</v>
      </c>
      <c r="AI352" s="4" t="str">
        <f t="shared" si="224"/>
        <v>A8</v>
      </c>
      <c r="AJ352" s="5" t="str">
        <f t="shared" si="233"/>
        <v>A8</v>
      </c>
      <c r="AK352">
        <f t="shared" si="234"/>
        <v>85922.5</v>
      </c>
      <c r="AL352" t="str">
        <f t="shared" si="235"/>
        <v>A8</v>
      </c>
      <c r="AM352">
        <f t="shared" si="236"/>
        <v>85922.5</v>
      </c>
      <c r="AN352" s="6">
        <f t="shared" si="237"/>
        <v>90</v>
      </c>
      <c r="AO352">
        <f t="shared" si="238"/>
        <v>88425</v>
      </c>
      <c r="AP352">
        <f t="shared" si="261"/>
        <v>88335</v>
      </c>
      <c r="AQ352" s="33">
        <f t="shared" si="239"/>
        <v>88470</v>
      </c>
      <c r="AR352" s="33">
        <f t="shared" si="240"/>
        <v>88290</v>
      </c>
      <c r="AS352">
        <f t="shared" si="241"/>
        <v>88402.5</v>
      </c>
      <c r="AT352" s="5">
        <f t="shared" si="242"/>
        <v>88357.5</v>
      </c>
      <c r="AU352" s="5">
        <f t="shared" si="243"/>
        <v>88560</v>
      </c>
      <c r="AV352" s="5">
        <f t="shared" si="244"/>
        <v>88200</v>
      </c>
      <c r="AW352" s="5">
        <f t="shared" si="245"/>
        <v>88395</v>
      </c>
      <c r="AX352" s="5">
        <f t="shared" si="246"/>
        <v>88365</v>
      </c>
      <c r="AY352" s="5">
        <f t="shared" si="247"/>
        <v>88650</v>
      </c>
      <c r="AZ352" s="5">
        <f t="shared" si="248"/>
        <v>88110</v>
      </c>
      <c r="BB352" s="32" t="str">
        <f t="shared" si="225"/>
        <v>16/08/2024</v>
      </c>
      <c r="BC352" s="33">
        <f t="shared" si="225"/>
        <v>87100</v>
      </c>
      <c r="BD352" s="4" t="str">
        <f t="shared" si="225"/>
        <v>A8</v>
      </c>
      <c r="BE352">
        <f t="shared" si="249"/>
        <v>87173.75</v>
      </c>
      <c r="BF352">
        <f t="shared" si="250"/>
        <v>87128.75</v>
      </c>
      <c r="BG352">
        <f t="shared" si="251"/>
        <v>87196.25</v>
      </c>
      <c r="BH352" s="38">
        <f t="shared" si="252"/>
        <v>87106.25</v>
      </c>
      <c r="BI352">
        <f t="shared" si="253"/>
        <v>87162.5</v>
      </c>
      <c r="BJ352">
        <f t="shared" si="254"/>
        <v>87140</v>
      </c>
      <c r="BK352">
        <f t="shared" si="255"/>
        <v>87241.25</v>
      </c>
      <c r="BL352">
        <f t="shared" si="256"/>
        <v>87061.25</v>
      </c>
      <c r="BM352">
        <f t="shared" si="257"/>
        <v>87158.75</v>
      </c>
      <c r="BN352">
        <f t="shared" si="258"/>
        <v>87143.75</v>
      </c>
      <c r="BO352">
        <f t="shared" si="259"/>
        <v>87286.25</v>
      </c>
      <c r="BP352">
        <f t="shared" si="260"/>
        <v>87016.25</v>
      </c>
      <c r="BQ352" s="7">
        <f>BH352</f>
        <v>87106.25</v>
      </c>
      <c r="BS352" s="30">
        <f t="shared" si="226"/>
        <v>87100</v>
      </c>
      <c r="BT352" s="4">
        <f t="shared" si="227"/>
        <v>87106.25</v>
      </c>
      <c r="BU352" s="37">
        <f t="shared" si="228"/>
        <v>-6.25</v>
      </c>
      <c r="BV352">
        <f t="shared" si="229"/>
        <v>6.25</v>
      </c>
      <c r="BW352" s="35">
        <f t="shared" si="230"/>
        <v>7.1756601607347878E-5</v>
      </c>
    </row>
    <row r="353" spans="1:75">
      <c r="A353" s="1" t="s">
        <v>354</v>
      </c>
      <c r="B353" s="1">
        <v>85330</v>
      </c>
      <c r="Q353">
        <v>350</v>
      </c>
      <c r="R353" s="27" t="str">
        <f t="shared" si="221"/>
        <v>17/08/2024</v>
      </c>
      <c r="S353" s="27">
        <f t="shared" si="221"/>
        <v>86610</v>
      </c>
      <c r="T353" s="4" t="str">
        <f t="shared" si="222"/>
        <v>A8</v>
      </c>
      <c r="V353">
        <v>350</v>
      </c>
      <c r="W353" s="28" t="str">
        <f t="shared" si="220"/>
        <v>17/08/2024</v>
      </c>
      <c r="X353" s="28">
        <f t="shared" si="220"/>
        <v>86610</v>
      </c>
      <c r="Y353" s="28" t="str">
        <f t="shared" si="220"/>
        <v>A8</v>
      </c>
      <c r="Z353" s="5" t="str">
        <f t="shared" si="231"/>
        <v>A8</v>
      </c>
      <c r="AA353" s="5" t="str">
        <f t="shared" si="232"/>
        <v>A8</v>
      </c>
      <c r="AG353" s="29" t="str">
        <f t="shared" si="223"/>
        <v>17/08/2024</v>
      </c>
      <c r="AH353" s="30">
        <f t="shared" si="223"/>
        <v>86610</v>
      </c>
      <c r="AI353" s="4" t="str">
        <f t="shared" si="224"/>
        <v>A8</v>
      </c>
      <c r="AJ353" s="5" t="str">
        <f t="shared" si="233"/>
        <v>A8</v>
      </c>
      <c r="AK353">
        <f t="shared" si="234"/>
        <v>85922.5</v>
      </c>
      <c r="AL353" t="str">
        <f t="shared" si="235"/>
        <v>A8</v>
      </c>
      <c r="AM353">
        <f t="shared" si="236"/>
        <v>85922.5</v>
      </c>
      <c r="AN353" s="6">
        <f t="shared" si="237"/>
        <v>1000</v>
      </c>
      <c r="AO353">
        <f t="shared" si="238"/>
        <v>87600</v>
      </c>
      <c r="AP353">
        <f t="shared" si="261"/>
        <v>86600</v>
      </c>
      <c r="AQ353" s="33">
        <f t="shared" si="239"/>
        <v>88100</v>
      </c>
      <c r="AR353" s="33">
        <f t="shared" si="240"/>
        <v>86100</v>
      </c>
      <c r="AS353">
        <f t="shared" si="241"/>
        <v>87350</v>
      </c>
      <c r="AT353" s="5">
        <f t="shared" si="242"/>
        <v>86850</v>
      </c>
      <c r="AU353" s="5">
        <f t="shared" si="243"/>
        <v>89100</v>
      </c>
      <c r="AV353" s="5">
        <f t="shared" si="244"/>
        <v>85100</v>
      </c>
      <c r="AW353" s="5">
        <f t="shared" si="245"/>
        <v>87266.666666666672</v>
      </c>
      <c r="AX353" s="5">
        <f t="shared" si="246"/>
        <v>86933.333333333328</v>
      </c>
      <c r="AY353" s="5">
        <f t="shared" si="247"/>
        <v>90100</v>
      </c>
      <c r="AZ353" s="5">
        <f t="shared" si="248"/>
        <v>84100</v>
      </c>
      <c r="BB353" s="32" t="str">
        <f t="shared" si="225"/>
        <v>17/08/2024</v>
      </c>
      <c r="BC353" s="33">
        <f t="shared" si="225"/>
        <v>86610</v>
      </c>
      <c r="BD353" s="4" t="str">
        <f t="shared" si="225"/>
        <v>A8</v>
      </c>
      <c r="BE353">
        <f t="shared" si="249"/>
        <v>86761.25</v>
      </c>
      <c r="BF353">
        <f t="shared" si="250"/>
        <v>86261.25</v>
      </c>
      <c r="BG353">
        <f t="shared" si="251"/>
        <v>87011.25</v>
      </c>
      <c r="BH353">
        <f t="shared" si="252"/>
        <v>86011.25</v>
      </c>
      <c r="BI353">
        <f t="shared" si="253"/>
        <v>86636.25</v>
      </c>
      <c r="BJ353">
        <f t="shared" si="254"/>
        <v>86386.25</v>
      </c>
      <c r="BK353">
        <f t="shared" si="255"/>
        <v>87511.25</v>
      </c>
      <c r="BL353">
        <f t="shared" si="256"/>
        <v>85511.25</v>
      </c>
      <c r="BM353" s="38">
        <f t="shared" si="257"/>
        <v>86594.583333333343</v>
      </c>
      <c r="BN353">
        <f t="shared" si="258"/>
        <v>86427.916666666657</v>
      </c>
      <c r="BO353">
        <f t="shared" si="259"/>
        <v>88011.25</v>
      </c>
      <c r="BP353">
        <f t="shared" si="260"/>
        <v>85011.25</v>
      </c>
      <c r="BQ353" s="7">
        <f>BM353</f>
        <v>86594.583333333343</v>
      </c>
      <c r="BS353" s="30">
        <f t="shared" si="226"/>
        <v>86610</v>
      </c>
      <c r="BT353" s="4">
        <f t="shared" si="227"/>
        <v>86594.583333333343</v>
      </c>
      <c r="BU353" s="37">
        <f t="shared" si="228"/>
        <v>15.416666666656965</v>
      </c>
      <c r="BV353">
        <f t="shared" si="229"/>
        <v>15.416666666656965</v>
      </c>
      <c r="BW353" s="35">
        <f t="shared" si="230"/>
        <v>1.7800100065416192E-4</v>
      </c>
    </row>
    <row r="354" spans="1:75">
      <c r="A354" s="1" t="s">
        <v>355</v>
      </c>
      <c r="B354" s="1">
        <v>84060</v>
      </c>
      <c r="Q354">
        <v>351</v>
      </c>
      <c r="R354" s="27" t="str">
        <f t="shared" si="221"/>
        <v>18/08/2024</v>
      </c>
      <c r="S354" s="27">
        <f t="shared" si="221"/>
        <v>85160</v>
      </c>
      <c r="T354" s="4" t="str">
        <f t="shared" si="222"/>
        <v>A8</v>
      </c>
      <c r="V354">
        <v>351</v>
      </c>
      <c r="W354" s="28" t="str">
        <f t="shared" si="220"/>
        <v>18/08/2024</v>
      </c>
      <c r="X354" s="28">
        <f t="shared" si="220"/>
        <v>85160</v>
      </c>
      <c r="Y354" s="28" t="str">
        <f t="shared" si="220"/>
        <v>A8</v>
      </c>
      <c r="Z354" s="5" t="str">
        <f t="shared" si="231"/>
        <v>A8</v>
      </c>
      <c r="AA354" s="5" t="str">
        <f t="shared" si="232"/>
        <v>A8</v>
      </c>
      <c r="AG354" s="29" t="str">
        <f t="shared" si="223"/>
        <v>18/08/2024</v>
      </c>
      <c r="AH354" s="30">
        <f t="shared" si="223"/>
        <v>85160</v>
      </c>
      <c r="AI354" s="4" t="str">
        <f t="shared" si="224"/>
        <v>A8</v>
      </c>
      <c r="AJ354" s="5" t="str">
        <f t="shared" si="233"/>
        <v>A8</v>
      </c>
      <c r="AK354">
        <f t="shared" si="234"/>
        <v>85922.5</v>
      </c>
      <c r="AL354" t="str">
        <f t="shared" si="235"/>
        <v>A8</v>
      </c>
      <c r="AM354">
        <f t="shared" si="236"/>
        <v>85922.5</v>
      </c>
      <c r="AN354" s="6">
        <f t="shared" si="237"/>
        <v>790</v>
      </c>
      <c r="AO354">
        <f t="shared" si="238"/>
        <v>87005</v>
      </c>
      <c r="AP354">
        <f t="shared" si="261"/>
        <v>86215</v>
      </c>
      <c r="AQ354" s="33">
        <f t="shared" si="239"/>
        <v>87400</v>
      </c>
      <c r="AR354" s="33">
        <f t="shared" si="240"/>
        <v>85820</v>
      </c>
      <c r="AS354">
        <f t="shared" si="241"/>
        <v>86807.5</v>
      </c>
      <c r="AT354" s="5">
        <f t="shared" si="242"/>
        <v>86412.5</v>
      </c>
      <c r="AU354" s="5">
        <f t="shared" si="243"/>
        <v>88190</v>
      </c>
      <c r="AV354" s="5">
        <f t="shared" si="244"/>
        <v>85030</v>
      </c>
      <c r="AW354" s="5">
        <f t="shared" si="245"/>
        <v>86741.666666666672</v>
      </c>
      <c r="AX354" s="5">
        <f t="shared" si="246"/>
        <v>86478.333333333328</v>
      </c>
      <c r="AY354" s="5">
        <f t="shared" si="247"/>
        <v>88980</v>
      </c>
      <c r="AZ354" s="5">
        <f t="shared" si="248"/>
        <v>84240</v>
      </c>
      <c r="BB354" s="32" t="str">
        <f t="shared" si="225"/>
        <v>18/08/2024</v>
      </c>
      <c r="BC354" s="33">
        <f t="shared" si="225"/>
        <v>85160</v>
      </c>
      <c r="BD354" s="4" t="str">
        <f t="shared" si="225"/>
        <v>A8</v>
      </c>
      <c r="BE354">
        <f t="shared" si="249"/>
        <v>86463.75</v>
      </c>
      <c r="BF354">
        <f t="shared" si="250"/>
        <v>86068.75</v>
      </c>
      <c r="BG354">
        <f t="shared" si="251"/>
        <v>86661.25</v>
      </c>
      <c r="BH354">
        <f t="shared" si="252"/>
        <v>85871.25</v>
      </c>
      <c r="BI354">
        <f t="shared" si="253"/>
        <v>86365</v>
      </c>
      <c r="BJ354">
        <f t="shared" si="254"/>
        <v>86167.5</v>
      </c>
      <c r="BK354">
        <f t="shared" si="255"/>
        <v>87056.25</v>
      </c>
      <c r="BL354">
        <f t="shared" si="256"/>
        <v>85476.25</v>
      </c>
      <c r="BM354">
        <f t="shared" si="257"/>
        <v>86332.083333333343</v>
      </c>
      <c r="BN354">
        <f t="shared" si="258"/>
        <v>86200.416666666657</v>
      </c>
      <c r="BO354">
        <f t="shared" si="259"/>
        <v>87451.25</v>
      </c>
      <c r="BP354" s="38">
        <f t="shared" si="260"/>
        <v>85081.25</v>
      </c>
      <c r="BQ354" s="7">
        <f>BP354</f>
        <v>85081.25</v>
      </c>
      <c r="BS354" s="30">
        <f t="shared" si="226"/>
        <v>85160</v>
      </c>
      <c r="BT354" s="4">
        <f t="shared" si="227"/>
        <v>85081.25</v>
      </c>
      <c r="BU354" s="37">
        <f t="shared" si="228"/>
        <v>78.75</v>
      </c>
      <c r="BV354">
        <f t="shared" si="229"/>
        <v>78.75</v>
      </c>
      <c r="BW354" s="35">
        <f t="shared" si="230"/>
        <v>9.2472992015030534E-4</v>
      </c>
    </row>
    <row r="355" spans="1:75">
      <c r="A355" s="1" t="s">
        <v>356</v>
      </c>
      <c r="B355" s="1">
        <v>83230</v>
      </c>
      <c r="Q355">
        <v>352</v>
      </c>
      <c r="R355" s="27" t="str">
        <f t="shared" si="221"/>
        <v>19/08/2024</v>
      </c>
      <c r="S355" s="27">
        <f t="shared" si="221"/>
        <v>85330</v>
      </c>
      <c r="T355" s="4" t="str">
        <f t="shared" si="222"/>
        <v>A8</v>
      </c>
      <c r="V355">
        <v>352</v>
      </c>
      <c r="W355" s="28" t="str">
        <f t="shared" si="220"/>
        <v>19/08/2024</v>
      </c>
      <c r="X355" s="28">
        <f t="shared" si="220"/>
        <v>85330</v>
      </c>
      <c r="Y355" s="28" t="str">
        <f t="shared" si="220"/>
        <v>A8</v>
      </c>
      <c r="Z355" s="5" t="str">
        <f t="shared" si="231"/>
        <v>A8</v>
      </c>
      <c r="AA355" s="5" t="str">
        <f t="shared" si="232"/>
        <v>A8</v>
      </c>
      <c r="AG355" s="29" t="str">
        <f t="shared" si="223"/>
        <v>19/08/2024</v>
      </c>
      <c r="AH355" s="30">
        <f t="shared" si="223"/>
        <v>85330</v>
      </c>
      <c r="AI355" s="4" t="str">
        <f t="shared" si="224"/>
        <v>A8</v>
      </c>
      <c r="AJ355" s="5" t="str">
        <f t="shared" si="233"/>
        <v>A8</v>
      </c>
      <c r="AK355">
        <f t="shared" si="234"/>
        <v>85922.5</v>
      </c>
      <c r="AL355" t="str">
        <f t="shared" si="235"/>
        <v>A8</v>
      </c>
      <c r="AM355">
        <f t="shared" si="236"/>
        <v>85922.5</v>
      </c>
      <c r="AN355" s="6">
        <f t="shared" si="237"/>
        <v>960</v>
      </c>
      <c r="AO355">
        <f t="shared" si="238"/>
        <v>85640</v>
      </c>
      <c r="AP355">
        <f t="shared" si="261"/>
        <v>84680</v>
      </c>
      <c r="AQ355" s="33">
        <f t="shared" si="239"/>
        <v>86120</v>
      </c>
      <c r="AR355" s="33">
        <f t="shared" si="240"/>
        <v>84200</v>
      </c>
      <c r="AS355">
        <f t="shared" si="241"/>
        <v>85400</v>
      </c>
      <c r="AT355" s="5">
        <f t="shared" si="242"/>
        <v>84920</v>
      </c>
      <c r="AU355" s="5">
        <f t="shared" si="243"/>
        <v>87080</v>
      </c>
      <c r="AV355" s="5">
        <f t="shared" si="244"/>
        <v>83240</v>
      </c>
      <c r="AW355" s="5">
        <f t="shared" si="245"/>
        <v>85320</v>
      </c>
      <c r="AX355" s="5">
        <f t="shared" si="246"/>
        <v>85000</v>
      </c>
      <c r="AY355" s="5">
        <f t="shared" si="247"/>
        <v>88040</v>
      </c>
      <c r="AZ355" s="5">
        <f t="shared" si="248"/>
        <v>82280</v>
      </c>
      <c r="BB355" s="32" t="str">
        <f t="shared" si="225"/>
        <v>19/08/2024</v>
      </c>
      <c r="BC355" s="33">
        <f t="shared" si="225"/>
        <v>85330</v>
      </c>
      <c r="BD355" s="4" t="str">
        <f t="shared" si="225"/>
        <v>A8</v>
      </c>
      <c r="BE355">
        <f t="shared" si="249"/>
        <v>85781.25</v>
      </c>
      <c r="BF355" s="38">
        <f t="shared" si="250"/>
        <v>85301.25</v>
      </c>
      <c r="BG355">
        <f t="shared" si="251"/>
        <v>86021.25</v>
      </c>
      <c r="BH355">
        <f t="shared" si="252"/>
        <v>85061.25</v>
      </c>
      <c r="BI355">
        <f t="shared" si="253"/>
        <v>85661.25</v>
      </c>
      <c r="BJ355">
        <f t="shared" si="254"/>
        <v>85421.25</v>
      </c>
      <c r="BK355">
        <f t="shared" si="255"/>
        <v>86501.25</v>
      </c>
      <c r="BL355">
        <f t="shared" si="256"/>
        <v>84581.25</v>
      </c>
      <c r="BM355">
        <f t="shared" si="257"/>
        <v>85621.25</v>
      </c>
      <c r="BN355">
        <f t="shared" si="258"/>
        <v>85461.25</v>
      </c>
      <c r="BO355">
        <f t="shared" si="259"/>
        <v>86981.25</v>
      </c>
      <c r="BP355">
        <f t="shared" si="260"/>
        <v>84101.25</v>
      </c>
      <c r="BQ355" s="7">
        <f>BF355</f>
        <v>85301.25</v>
      </c>
      <c r="BS355" s="30">
        <f t="shared" si="226"/>
        <v>85330</v>
      </c>
      <c r="BT355" s="4">
        <f t="shared" si="227"/>
        <v>85301.25</v>
      </c>
      <c r="BU355" s="37">
        <f t="shared" si="228"/>
        <v>28.75</v>
      </c>
      <c r="BV355">
        <f t="shared" si="229"/>
        <v>28.75</v>
      </c>
      <c r="BW355" s="35">
        <f t="shared" si="230"/>
        <v>3.3692722371967657E-4</v>
      </c>
    </row>
    <row r="356" spans="1:75">
      <c r="A356" s="1" t="s">
        <v>357</v>
      </c>
      <c r="B356" s="1">
        <v>82120</v>
      </c>
      <c r="Q356">
        <v>353</v>
      </c>
      <c r="R356" s="27" t="str">
        <f t="shared" si="221"/>
        <v>20/08/2024</v>
      </c>
      <c r="S356" s="27">
        <f t="shared" si="221"/>
        <v>84060</v>
      </c>
      <c r="T356" s="4" t="str">
        <f t="shared" si="222"/>
        <v>A8</v>
      </c>
      <c r="V356">
        <v>353</v>
      </c>
      <c r="W356" s="28" t="str">
        <f t="shared" si="220"/>
        <v>20/08/2024</v>
      </c>
      <c r="X356" s="28">
        <f t="shared" si="220"/>
        <v>84060</v>
      </c>
      <c r="Y356" s="28" t="str">
        <f t="shared" si="220"/>
        <v>A8</v>
      </c>
      <c r="Z356" s="5" t="str">
        <f t="shared" si="231"/>
        <v>A8</v>
      </c>
      <c r="AA356" s="5" t="str">
        <f t="shared" si="232"/>
        <v>A8</v>
      </c>
      <c r="AG356" s="29" t="str">
        <f t="shared" si="223"/>
        <v>20/08/2024</v>
      </c>
      <c r="AH356" s="30">
        <f t="shared" si="223"/>
        <v>84060</v>
      </c>
      <c r="AI356" s="4" t="str">
        <f t="shared" si="224"/>
        <v>A8</v>
      </c>
      <c r="AJ356" s="5" t="str">
        <f t="shared" si="233"/>
        <v>A8</v>
      </c>
      <c r="AK356">
        <f t="shared" si="234"/>
        <v>85922.5</v>
      </c>
      <c r="AL356" t="str">
        <f t="shared" si="235"/>
        <v>A8</v>
      </c>
      <c r="AM356">
        <f t="shared" si="236"/>
        <v>85922.5</v>
      </c>
      <c r="AN356" s="6">
        <f t="shared" si="237"/>
        <v>1280</v>
      </c>
      <c r="AO356">
        <f t="shared" si="238"/>
        <v>85970</v>
      </c>
      <c r="AP356">
        <f t="shared" si="261"/>
        <v>84690</v>
      </c>
      <c r="AQ356" s="33">
        <f t="shared" si="239"/>
        <v>86610</v>
      </c>
      <c r="AR356" s="33">
        <f t="shared" si="240"/>
        <v>84050</v>
      </c>
      <c r="AS356">
        <f t="shared" si="241"/>
        <v>85650</v>
      </c>
      <c r="AT356" s="5">
        <f t="shared" si="242"/>
        <v>85010</v>
      </c>
      <c r="AU356" s="5">
        <f t="shared" si="243"/>
        <v>87890</v>
      </c>
      <c r="AV356" s="5">
        <f t="shared" si="244"/>
        <v>82770</v>
      </c>
      <c r="AW356" s="5">
        <f t="shared" si="245"/>
        <v>85543.333333333328</v>
      </c>
      <c r="AX356" s="5">
        <f t="shared" si="246"/>
        <v>85116.666666666672</v>
      </c>
      <c r="AY356" s="5">
        <f t="shared" si="247"/>
        <v>89170</v>
      </c>
      <c r="AZ356" s="5">
        <f t="shared" si="248"/>
        <v>81490</v>
      </c>
      <c r="BB356" s="32" t="str">
        <f t="shared" si="225"/>
        <v>20/08/2024</v>
      </c>
      <c r="BC356" s="33">
        <f t="shared" si="225"/>
        <v>84060</v>
      </c>
      <c r="BD356" s="4" t="str">
        <f t="shared" si="225"/>
        <v>A8</v>
      </c>
      <c r="BE356">
        <f t="shared" si="249"/>
        <v>85946.25</v>
      </c>
      <c r="BF356">
        <f t="shared" si="250"/>
        <v>85306.25</v>
      </c>
      <c r="BG356">
        <f t="shared" si="251"/>
        <v>86266.25</v>
      </c>
      <c r="BH356">
        <f t="shared" si="252"/>
        <v>84986.25</v>
      </c>
      <c r="BI356">
        <f t="shared" si="253"/>
        <v>85786.25</v>
      </c>
      <c r="BJ356">
        <f t="shared" si="254"/>
        <v>85466.25</v>
      </c>
      <c r="BK356">
        <f t="shared" si="255"/>
        <v>86906.25</v>
      </c>
      <c r="BL356" s="38">
        <f t="shared" si="256"/>
        <v>84346.25</v>
      </c>
      <c r="BM356">
        <f t="shared" si="257"/>
        <v>85732.916666666657</v>
      </c>
      <c r="BN356">
        <f t="shared" si="258"/>
        <v>85519.583333333343</v>
      </c>
      <c r="BO356">
        <f t="shared" si="259"/>
        <v>87546.25</v>
      </c>
      <c r="BP356">
        <f t="shared" si="260"/>
        <v>83706.25</v>
      </c>
      <c r="BQ356" s="7">
        <f>BL356</f>
        <v>84346.25</v>
      </c>
      <c r="BS356" s="30">
        <f t="shared" si="226"/>
        <v>84060</v>
      </c>
      <c r="BT356" s="4">
        <f t="shared" si="227"/>
        <v>84346.25</v>
      </c>
      <c r="BU356" s="37">
        <f t="shared" si="228"/>
        <v>-286.25</v>
      </c>
      <c r="BV356">
        <f t="shared" si="229"/>
        <v>286.25</v>
      </c>
      <c r="BW356" s="35">
        <f t="shared" si="230"/>
        <v>3.4053057339995243E-3</v>
      </c>
    </row>
    <row r="357" spans="1:75">
      <c r="A357" s="1" t="s">
        <v>358</v>
      </c>
      <c r="B357" s="1">
        <v>81410</v>
      </c>
      <c r="Q357">
        <v>354</v>
      </c>
      <c r="R357" s="27" t="str">
        <f t="shared" si="221"/>
        <v>21/08/2024</v>
      </c>
      <c r="S357" s="27">
        <f t="shared" si="221"/>
        <v>83230</v>
      </c>
      <c r="T357" s="4" t="str">
        <f t="shared" si="222"/>
        <v>A8</v>
      </c>
      <c r="V357">
        <v>354</v>
      </c>
      <c r="W357" s="28" t="str">
        <f t="shared" si="220"/>
        <v>21/08/2024</v>
      </c>
      <c r="X357" s="28">
        <f t="shared" si="220"/>
        <v>83230</v>
      </c>
      <c r="Y357" s="28" t="str">
        <f t="shared" si="220"/>
        <v>A8</v>
      </c>
      <c r="Z357" s="5" t="str">
        <f t="shared" si="231"/>
        <v>A8</v>
      </c>
      <c r="AA357" s="5" t="str">
        <f t="shared" si="232"/>
        <v>A8</v>
      </c>
      <c r="AG357" s="29" t="str">
        <f t="shared" si="223"/>
        <v>21/08/2024</v>
      </c>
      <c r="AH357" s="30">
        <f t="shared" si="223"/>
        <v>83230</v>
      </c>
      <c r="AI357" s="4" t="str">
        <f t="shared" si="224"/>
        <v>A8</v>
      </c>
      <c r="AJ357" s="5" t="str">
        <f t="shared" si="233"/>
        <v>A8</v>
      </c>
      <c r="AK357">
        <f t="shared" si="234"/>
        <v>85922.5</v>
      </c>
      <c r="AL357" t="str">
        <f t="shared" si="235"/>
        <v>A8</v>
      </c>
      <c r="AM357">
        <f t="shared" si="236"/>
        <v>85922.5</v>
      </c>
      <c r="AN357" s="6">
        <f t="shared" si="237"/>
        <v>1100</v>
      </c>
      <c r="AO357">
        <f t="shared" si="238"/>
        <v>84610</v>
      </c>
      <c r="AP357">
        <f t="shared" si="261"/>
        <v>83510</v>
      </c>
      <c r="AQ357" s="33">
        <f t="shared" si="239"/>
        <v>85160</v>
      </c>
      <c r="AR357" s="33">
        <f t="shared" si="240"/>
        <v>82960</v>
      </c>
      <c r="AS357">
        <f t="shared" si="241"/>
        <v>84335</v>
      </c>
      <c r="AT357" s="5">
        <f t="shared" si="242"/>
        <v>83785</v>
      </c>
      <c r="AU357" s="5">
        <f t="shared" si="243"/>
        <v>86260</v>
      </c>
      <c r="AV357" s="5">
        <f t="shared" si="244"/>
        <v>81860</v>
      </c>
      <c r="AW357" s="5">
        <f t="shared" si="245"/>
        <v>84243.333333333328</v>
      </c>
      <c r="AX357" s="5">
        <f t="shared" si="246"/>
        <v>83876.666666666672</v>
      </c>
      <c r="AY357" s="5">
        <f t="shared" si="247"/>
        <v>87360</v>
      </c>
      <c r="AZ357" s="5">
        <f t="shared" si="248"/>
        <v>80760</v>
      </c>
      <c r="BB357" s="32" t="str">
        <f t="shared" si="225"/>
        <v>21/08/2024</v>
      </c>
      <c r="BC357" s="33">
        <f t="shared" si="225"/>
        <v>83230</v>
      </c>
      <c r="BD357" s="4" t="str">
        <f t="shared" si="225"/>
        <v>A8</v>
      </c>
      <c r="BE357">
        <f t="shared" si="249"/>
        <v>85266.25</v>
      </c>
      <c r="BF357">
        <f t="shared" si="250"/>
        <v>84716.25</v>
      </c>
      <c r="BG357">
        <f t="shared" si="251"/>
        <v>85541.25</v>
      </c>
      <c r="BH357">
        <f t="shared" si="252"/>
        <v>84441.25</v>
      </c>
      <c r="BI357">
        <f t="shared" si="253"/>
        <v>85128.75</v>
      </c>
      <c r="BJ357">
        <f t="shared" si="254"/>
        <v>84853.75</v>
      </c>
      <c r="BK357">
        <f t="shared" si="255"/>
        <v>86091.25</v>
      </c>
      <c r="BL357">
        <f t="shared" si="256"/>
        <v>83891.25</v>
      </c>
      <c r="BM357">
        <f t="shared" si="257"/>
        <v>85082.916666666657</v>
      </c>
      <c r="BN357">
        <f t="shared" si="258"/>
        <v>84899.583333333343</v>
      </c>
      <c r="BO357">
        <f t="shared" si="259"/>
        <v>86641.25</v>
      </c>
      <c r="BP357" s="38">
        <f t="shared" si="260"/>
        <v>83341.25</v>
      </c>
      <c r="BQ357" s="7">
        <f>BP357</f>
        <v>83341.25</v>
      </c>
      <c r="BS357" s="30">
        <f t="shared" si="226"/>
        <v>83230</v>
      </c>
      <c r="BT357" s="4">
        <f t="shared" si="227"/>
        <v>83341.25</v>
      </c>
      <c r="BU357" s="37">
        <f t="shared" si="228"/>
        <v>-111.25</v>
      </c>
      <c r="BV357">
        <f t="shared" si="229"/>
        <v>111.25</v>
      </c>
      <c r="BW357" s="35">
        <f t="shared" si="230"/>
        <v>1.3366574552445031E-3</v>
      </c>
    </row>
    <row r="358" spans="1:75">
      <c r="A358" s="1" t="s">
        <v>359</v>
      </c>
      <c r="B358" s="1">
        <v>79530</v>
      </c>
      <c r="Q358">
        <v>355</v>
      </c>
      <c r="R358" s="27" t="str">
        <f t="shared" si="221"/>
        <v>22/08/2024</v>
      </c>
      <c r="S358" s="27">
        <f t="shared" si="221"/>
        <v>82120</v>
      </c>
      <c r="T358" s="4" t="str">
        <f t="shared" si="222"/>
        <v>A7</v>
      </c>
      <c r="V358">
        <v>355</v>
      </c>
      <c r="W358" s="28" t="str">
        <f t="shared" si="220"/>
        <v>22/08/2024</v>
      </c>
      <c r="X358" s="28">
        <f t="shared" si="220"/>
        <v>82120</v>
      </c>
      <c r="Y358" s="28" t="str">
        <f t="shared" si="220"/>
        <v>A7</v>
      </c>
      <c r="Z358" s="5" t="str">
        <f t="shared" si="231"/>
        <v>A8</v>
      </c>
      <c r="AA358" s="5" t="str">
        <f t="shared" si="232"/>
        <v>A8</v>
      </c>
      <c r="AG358" s="29" t="str">
        <f t="shared" si="223"/>
        <v>22/08/2024</v>
      </c>
      <c r="AH358" s="30">
        <f t="shared" si="223"/>
        <v>82120</v>
      </c>
      <c r="AI358" s="4" t="str">
        <f t="shared" si="224"/>
        <v>A7</v>
      </c>
      <c r="AJ358" s="5" t="str">
        <f t="shared" si="233"/>
        <v>A8</v>
      </c>
      <c r="AK358">
        <f t="shared" si="234"/>
        <v>85922.5</v>
      </c>
      <c r="AL358" t="str">
        <f t="shared" si="235"/>
        <v>A8</v>
      </c>
      <c r="AM358">
        <f t="shared" si="236"/>
        <v>85922.5</v>
      </c>
      <c r="AN358" s="6">
        <f t="shared" si="237"/>
        <v>440</v>
      </c>
      <c r="AO358">
        <f t="shared" si="238"/>
        <v>83450</v>
      </c>
      <c r="AP358">
        <f t="shared" si="261"/>
        <v>83010</v>
      </c>
      <c r="AQ358" s="33">
        <f t="shared" si="239"/>
        <v>83670</v>
      </c>
      <c r="AR358" s="33">
        <f t="shared" si="240"/>
        <v>82790</v>
      </c>
      <c r="AS358">
        <f t="shared" si="241"/>
        <v>83340</v>
      </c>
      <c r="AT358" s="5">
        <f t="shared" si="242"/>
        <v>83120</v>
      </c>
      <c r="AU358" s="5">
        <f t="shared" si="243"/>
        <v>84110</v>
      </c>
      <c r="AV358" s="5">
        <f t="shared" si="244"/>
        <v>82350</v>
      </c>
      <c r="AW358" s="5">
        <f t="shared" si="245"/>
        <v>83303.333333333328</v>
      </c>
      <c r="AX358" s="5">
        <f t="shared" si="246"/>
        <v>83156.666666666672</v>
      </c>
      <c r="AY358" s="5">
        <f t="shared" si="247"/>
        <v>84550</v>
      </c>
      <c r="AZ358" s="5">
        <f t="shared" si="248"/>
        <v>81910</v>
      </c>
      <c r="BB358" s="32" t="str">
        <f t="shared" si="225"/>
        <v>22/08/2024</v>
      </c>
      <c r="BC358" s="33">
        <f t="shared" si="225"/>
        <v>82120</v>
      </c>
      <c r="BD358" s="4" t="str">
        <f t="shared" si="225"/>
        <v>A7</v>
      </c>
      <c r="BE358">
        <f t="shared" si="249"/>
        <v>84686.25</v>
      </c>
      <c r="BF358">
        <f t="shared" si="250"/>
        <v>84466.25</v>
      </c>
      <c r="BG358">
        <f t="shared" si="251"/>
        <v>84796.25</v>
      </c>
      <c r="BH358">
        <f t="shared" si="252"/>
        <v>84356.25</v>
      </c>
      <c r="BI358">
        <f t="shared" si="253"/>
        <v>84631.25</v>
      </c>
      <c r="BJ358">
        <f t="shared" si="254"/>
        <v>84521.25</v>
      </c>
      <c r="BK358">
        <f t="shared" si="255"/>
        <v>85016.25</v>
      </c>
      <c r="BL358">
        <f t="shared" si="256"/>
        <v>84136.25</v>
      </c>
      <c r="BM358">
        <f t="shared" si="257"/>
        <v>84612.916666666657</v>
      </c>
      <c r="BN358">
        <f t="shared" si="258"/>
        <v>84539.583333333343</v>
      </c>
      <c r="BO358">
        <f t="shared" si="259"/>
        <v>85236.25</v>
      </c>
      <c r="BP358" s="38">
        <f t="shared" si="260"/>
        <v>83916.25</v>
      </c>
      <c r="BQ358" s="7">
        <f>BP358</f>
        <v>83916.25</v>
      </c>
      <c r="BS358" s="30">
        <f t="shared" si="226"/>
        <v>82120</v>
      </c>
      <c r="BT358" s="4">
        <f t="shared" si="227"/>
        <v>83916.25</v>
      </c>
      <c r="BU358" s="37">
        <f t="shared" si="228"/>
        <v>-1796.25</v>
      </c>
      <c r="BV358">
        <f t="shared" si="229"/>
        <v>1796.25</v>
      </c>
      <c r="BW358" s="35">
        <f t="shared" si="230"/>
        <v>2.187347783731125E-2</v>
      </c>
    </row>
    <row r="359" spans="1:75">
      <c r="A359" s="1" t="s">
        <v>360</v>
      </c>
      <c r="B359" s="1">
        <v>78420</v>
      </c>
      <c r="Q359">
        <v>356</v>
      </c>
      <c r="R359" s="27" t="str">
        <f t="shared" si="221"/>
        <v>23/08/2024</v>
      </c>
      <c r="S359" s="27">
        <f t="shared" si="221"/>
        <v>81410</v>
      </c>
      <c r="T359" s="4" t="str">
        <f t="shared" si="222"/>
        <v>A7</v>
      </c>
      <c r="V359">
        <v>356</v>
      </c>
      <c r="W359" s="28" t="str">
        <f t="shared" si="220"/>
        <v>23/08/2024</v>
      </c>
      <c r="X359" s="28">
        <f t="shared" si="220"/>
        <v>81410</v>
      </c>
      <c r="Y359" s="28" t="str">
        <f t="shared" si="220"/>
        <v>A7</v>
      </c>
      <c r="Z359" s="5" t="str">
        <f t="shared" si="231"/>
        <v>A8</v>
      </c>
      <c r="AA359" s="5" t="str">
        <f t="shared" si="232"/>
        <v>A7</v>
      </c>
      <c r="AG359" s="29" t="str">
        <f t="shared" si="223"/>
        <v>23/08/2024</v>
      </c>
      <c r="AH359" s="30">
        <f t="shared" si="223"/>
        <v>81410</v>
      </c>
      <c r="AI359" s="4" t="str">
        <f t="shared" si="224"/>
        <v>A7</v>
      </c>
      <c r="AJ359" s="5" t="str">
        <f t="shared" si="233"/>
        <v>A8</v>
      </c>
      <c r="AK359">
        <f t="shared" si="234"/>
        <v>85922.5</v>
      </c>
      <c r="AL359" t="str">
        <f t="shared" si="235"/>
        <v>A7</v>
      </c>
      <c r="AM359">
        <f t="shared" si="236"/>
        <v>79891.5</v>
      </c>
      <c r="AN359" s="6">
        <f t="shared" si="237"/>
        <v>280</v>
      </c>
      <c r="AO359">
        <f t="shared" si="238"/>
        <v>82260</v>
      </c>
      <c r="AP359">
        <f t="shared" si="261"/>
        <v>81980</v>
      </c>
      <c r="AQ359" s="33">
        <f t="shared" si="239"/>
        <v>82400</v>
      </c>
      <c r="AR359" s="33">
        <f t="shared" si="240"/>
        <v>81840</v>
      </c>
      <c r="AS359">
        <f t="shared" si="241"/>
        <v>82190</v>
      </c>
      <c r="AT359" s="5">
        <f t="shared" si="242"/>
        <v>82050</v>
      </c>
      <c r="AU359" s="5">
        <f t="shared" si="243"/>
        <v>82680</v>
      </c>
      <c r="AV359" s="5">
        <f t="shared" si="244"/>
        <v>81560</v>
      </c>
      <c r="AW359" s="5">
        <f t="shared" si="245"/>
        <v>82166.666666666672</v>
      </c>
      <c r="AX359" s="5">
        <f t="shared" si="246"/>
        <v>82073.333333333328</v>
      </c>
      <c r="AY359" s="5">
        <f t="shared" si="247"/>
        <v>82960</v>
      </c>
      <c r="AZ359" s="5">
        <f t="shared" si="248"/>
        <v>81280</v>
      </c>
      <c r="BB359" s="32" t="str">
        <f t="shared" si="225"/>
        <v>23/08/2024</v>
      </c>
      <c r="BC359" s="33">
        <f t="shared" si="225"/>
        <v>81410</v>
      </c>
      <c r="BD359" s="4" t="str">
        <f t="shared" si="225"/>
        <v>A7</v>
      </c>
      <c r="BE359">
        <f t="shared" si="249"/>
        <v>81075.75</v>
      </c>
      <c r="BF359">
        <f t="shared" si="250"/>
        <v>80935.75</v>
      </c>
      <c r="BG359">
        <f t="shared" si="251"/>
        <v>81145.75</v>
      </c>
      <c r="BH359">
        <f t="shared" si="252"/>
        <v>80865.75</v>
      </c>
      <c r="BI359">
        <f t="shared" si="253"/>
        <v>81040.75</v>
      </c>
      <c r="BJ359">
        <f t="shared" si="254"/>
        <v>80970.75</v>
      </c>
      <c r="BK359">
        <f t="shared" si="255"/>
        <v>81285.75</v>
      </c>
      <c r="BL359">
        <f t="shared" si="256"/>
        <v>80725.75</v>
      </c>
      <c r="BM359">
        <f t="shared" si="257"/>
        <v>81029.083333333343</v>
      </c>
      <c r="BN359">
        <f t="shared" si="258"/>
        <v>80982.416666666657</v>
      </c>
      <c r="BO359" s="38">
        <f t="shared" si="259"/>
        <v>81425.75</v>
      </c>
      <c r="BP359">
        <f t="shared" si="260"/>
        <v>80585.75</v>
      </c>
      <c r="BQ359" s="7">
        <f>BO359</f>
        <v>81425.75</v>
      </c>
      <c r="BS359" s="30">
        <f t="shared" si="226"/>
        <v>81410</v>
      </c>
      <c r="BT359" s="4">
        <f t="shared" si="227"/>
        <v>81425.75</v>
      </c>
      <c r="BU359" s="37">
        <f t="shared" si="228"/>
        <v>-15.75</v>
      </c>
      <c r="BV359">
        <f t="shared" si="229"/>
        <v>15.75</v>
      </c>
      <c r="BW359" s="35">
        <f t="shared" si="230"/>
        <v>1.9346517626827171E-4</v>
      </c>
    </row>
    <row r="360" spans="1:75">
      <c r="A360" s="1" t="s">
        <v>361</v>
      </c>
      <c r="B360" s="1">
        <v>77190</v>
      </c>
      <c r="Q360">
        <v>357</v>
      </c>
      <c r="R360" s="27" t="str">
        <f t="shared" si="221"/>
        <v>24/08/2024</v>
      </c>
      <c r="S360" s="27">
        <f t="shared" si="221"/>
        <v>79530</v>
      </c>
      <c r="T360" s="4" t="str">
        <f t="shared" si="222"/>
        <v>A7</v>
      </c>
      <c r="V360">
        <v>357</v>
      </c>
      <c r="W360" s="28" t="str">
        <f t="shared" si="220"/>
        <v>24/08/2024</v>
      </c>
      <c r="X360" s="28">
        <f t="shared" si="220"/>
        <v>79530</v>
      </c>
      <c r="Y360" s="28" t="str">
        <f t="shared" si="220"/>
        <v>A7</v>
      </c>
      <c r="Z360" s="5" t="str">
        <f t="shared" si="231"/>
        <v>A7</v>
      </c>
      <c r="AA360" s="5" t="str">
        <f t="shared" si="232"/>
        <v>A7</v>
      </c>
      <c r="AG360" s="29" t="str">
        <f t="shared" si="223"/>
        <v>24/08/2024</v>
      </c>
      <c r="AH360" s="30">
        <f t="shared" si="223"/>
        <v>79530</v>
      </c>
      <c r="AI360" s="4" t="str">
        <f t="shared" si="224"/>
        <v>A7</v>
      </c>
      <c r="AJ360" s="5" t="str">
        <f t="shared" si="233"/>
        <v>A7</v>
      </c>
      <c r="AK360">
        <f t="shared" si="234"/>
        <v>79891.5</v>
      </c>
      <c r="AL360" t="str">
        <f t="shared" si="235"/>
        <v>A7</v>
      </c>
      <c r="AM360">
        <f t="shared" si="236"/>
        <v>79891.5</v>
      </c>
      <c r="AN360" s="6">
        <f t="shared" si="237"/>
        <v>400</v>
      </c>
      <c r="AO360">
        <f t="shared" si="238"/>
        <v>81610</v>
      </c>
      <c r="AP360">
        <f t="shared" si="261"/>
        <v>81210</v>
      </c>
      <c r="AQ360" s="33">
        <f t="shared" si="239"/>
        <v>81810</v>
      </c>
      <c r="AR360" s="33">
        <f t="shared" si="240"/>
        <v>81010</v>
      </c>
      <c r="AS360">
        <f t="shared" si="241"/>
        <v>81510</v>
      </c>
      <c r="AT360" s="5">
        <f t="shared" si="242"/>
        <v>81310</v>
      </c>
      <c r="AU360" s="5">
        <f t="shared" si="243"/>
        <v>82210</v>
      </c>
      <c r="AV360" s="5">
        <f t="shared" si="244"/>
        <v>80610</v>
      </c>
      <c r="AW360" s="5">
        <f t="shared" si="245"/>
        <v>81476.666666666672</v>
      </c>
      <c r="AX360" s="5">
        <f t="shared" si="246"/>
        <v>81343.333333333328</v>
      </c>
      <c r="AY360" s="5">
        <f t="shared" si="247"/>
        <v>82610</v>
      </c>
      <c r="AZ360" s="5">
        <f t="shared" si="248"/>
        <v>80210</v>
      </c>
      <c r="BB360" s="32" t="str">
        <f t="shared" si="225"/>
        <v>24/08/2024</v>
      </c>
      <c r="BC360" s="33">
        <f t="shared" si="225"/>
        <v>79530</v>
      </c>
      <c r="BD360" s="4" t="str">
        <f t="shared" si="225"/>
        <v>A7</v>
      </c>
      <c r="BE360">
        <f t="shared" si="249"/>
        <v>80750.75</v>
      </c>
      <c r="BF360">
        <f t="shared" si="250"/>
        <v>80550.75</v>
      </c>
      <c r="BG360">
        <f t="shared" si="251"/>
        <v>80850.75</v>
      </c>
      <c r="BH360">
        <f t="shared" si="252"/>
        <v>80450.75</v>
      </c>
      <c r="BI360">
        <f t="shared" si="253"/>
        <v>80700.75</v>
      </c>
      <c r="BJ360">
        <f t="shared" si="254"/>
        <v>80600.75</v>
      </c>
      <c r="BK360">
        <f t="shared" si="255"/>
        <v>81050.75</v>
      </c>
      <c r="BL360">
        <f t="shared" si="256"/>
        <v>80250.75</v>
      </c>
      <c r="BM360">
        <f t="shared" si="257"/>
        <v>80684.083333333343</v>
      </c>
      <c r="BN360">
        <f t="shared" si="258"/>
        <v>80617.416666666657</v>
      </c>
      <c r="BO360">
        <f t="shared" si="259"/>
        <v>81250.75</v>
      </c>
      <c r="BP360" s="38">
        <f t="shared" si="260"/>
        <v>80050.75</v>
      </c>
      <c r="BQ360" s="7">
        <f>BP360</f>
        <v>80050.75</v>
      </c>
      <c r="BS360" s="30">
        <f t="shared" si="226"/>
        <v>79530</v>
      </c>
      <c r="BT360" s="4">
        <f t="shared" si="227"/>
        <v>80050.75</v>
      </c>
      <c r="BU360" s="37">
        <f t="shared" si="228"/>
        <v>-520.75</v>
      </c>
      <c r="BV360">
        <f t="shared" si="229"/>
        <v>520.75</v>
      </c>
      <c r="BW360" s="35">
        <f t="shared" si="230"/>
        <v>6.547843581038602E-3</v>
      </c>
    </row>
    <row r="361" spans="1:75">
      <c r="A361" s="1" t="s">
        <v>362</v>
      </c>
      <c r="B361" s="1">
        <v>79820</v>
      </c>
      <c r="Q361">
        <v>358</v>
      </c>
      <c r="R361" s="27" t="str">
        <f t="shared" si="221"/>
        <v>25/08/2024</v>
      </c>
      <c r="S361" s="27">
        <f t="shared" si="221"/>
        <v>78420</v>
      </c>
      <c r="T361" s="4" t="str">
        <f t="shared" si="222"/>
        <v>A7</v>
      </c>
      <c r="V361">
        <v>358</v>
      </c>
      <c r="W361" s="28" t="str">
        <f t="shared" si="220"/>
        <v>25/08/2024</v>
      </c>
      <c r="X361" s="28">
        <f t="shared" si="220"/>
        <v>78420</v>
      </c>
      <c r="Y361" s="28" t="str">
        <f t="shared" si="220"/>
        <v>A7</v>
      </c>
      <c r="Z361" s="5" t="str">
        <f t="shared" si="231"/>
        <v>A7</v>
      </c>
      <c r="AA361" s="5" t="str">
        <f t="shared" si="232"/>
        <v>A7</v>
      </c>
      <c r="AG361" s="29" t="str">
        <f t="shared" si="223"/>
        <v>25/08/2024</v>
      </c>
      <c r="AH361" s="30">
        <f t="shared" si="223"/>
        <v>78420</v>
      </c>
      <c r="AI361" s="4" t="str">
        <f t="shared" si="224"/>
        <v>A7</v>
      </c>
      <c r="AJ361" s="5" t="str">
        <f t="shared" si="233"/>
        <v>A7</v>
      </c>
      <c r="AK361">
        <f t="shared" si="234"/>
        <v>79891.5</v>
      </c>
      <c r="AL361" t="str">
        <f t="shared" si="235"/>
        <v>A7</v>
      </c>
      <c r="AM361">
        <f t="shared" si="236"/>
        <v>79891.5</v>
      </c>
      <c r="AN361" s="6">
        <f t="shared" si="237"/>
        <v>1170</v>
      </c>
      <c r="AO361">
        <f t="shared" si="238"/>
        <v>80115</v>
      </c>
      <c r="AP361">
        <f t="shared" si="261"/>
        <v>78945</v>
      </c>
      <c r="AQ361" s="33">
        <f t="shared" si="239"/>
        <v>80700</v>
      </c>
      <c r="AR361" s="33">
        <f t="shared" si="240"/>
        <v>78360</v>
      </c>
      <c r="AS361">
        <f t="shared" si="241"/>
        <v>79822.5</v>
      </c>
      <c r="AT361" s="5">
        <f t="shared" si="242"/>
        <v>79237.5</v>
      </c>
      <c r="AU361" s="5">
        <f t="shared" si="243"/>
        <v>81870</v>
      </c>
      <c r="AV361" s="5">
        <f t="shared" si="244"/>
        <v>77190</v>
      </c>
      <c r="AW361" s="5">
        <f t="shared" si="245"/>
        <v>79725</v>
      </c>
      <c r="AX361" s="5">
        <f t="shared" si="246"/>
        <v>79335</v>
      </c>
      <c r="AY361" s="5">
        <f t="shared" si="247"/>
        <v>83040</v>
      </c>
      <c r="AZ361" s="5">
        <f t="shared" si="248"/>
        <v>76020</v>
      </c>
      <c r="BB361" s="32" t="str">
        <f t="shared" si="225"/>
        <v>25/08/2024</v>
      </c>
      <c r="BC361" s="33">
        <f t="shared" si="225"/>
        <v>78420</v>
      </c>
      <c r="BD361" s="4" t="str">
        <f t="shared" si="225"/>
        <v>A7</v>
      </c>
      <c r="BE361">
        <f t="shared" si="249"/>
        <v>80003.25</v>
      </c>
      <c r="BF361">
        <f t="shared" si="250"/>
        <v>79418.25</v>
      </c>
      <c r="BG361">
        <f t="shared" si="251"/>
        <v>80295.75</v>
      </c>
      <c r="BH361">
        <f t="shared" si="252"/>
        <v>79125.75</v>
      </c>
      <c r="BI361">
        <f t="shared" si="253"/>
        <v>79857</v>
      </c>
      <c r="BJ361">
        <f t="shared" si="254"/>
        <v>79564.5</v>
      </c>
      <c r="BK361">
        <f t="shared" si="255"/>
        <v>80880.75</v>
      </c>
      <c r="BL361">
        <f t="shared" si="256"/>
        <v>78540.75</v>
      </c>
      <c r="BM361">
        <f t="shared" si="257"/>
        <v>79808.25</v>
      </c>
      <c r="BN361">
        <f t="shared" si="258"/>
        <v>79613.25</v>
      </c>
      <c r="BO361">
        <f t="shared" si="259"/>
        <v>81465.75</v>
      </c>
      <c r="BP361" s="38">
        <f t="shared" si="260"/>
        <v>77955.75</v>
      </c>
      <c r="BQ361" s="7">
        <f>BP361</f>
        <v>77955.75</v>
      </c>
      <c r="BS361" s="30">
        <f t="shared" si="226"/>
        <v>78420</v>
      </c>
      <c r="BT361" s="4">
        <f t="shared" si="227"/>
        <v>77955.75</v>
      </c>
      <c r="BU361" s="37">
        <f t="shared" si="228"/>
        <v>464.25</v>
      </c>
      <c r="BV361">
        <f t="shared" si="229"/>
        <v>464.25</v>
      </c>
      <c r="BW361" s="35">
        <f t="shared" si="230"/>
        <v>5.9200459066564648E-3</v>
      </c>
    </row>
    <row r="362" spans="1:75">
      <c r="A362" s="1" t="s">
        <v>363</v>
      </c>
      <c r="B362" s="1">
        <v>78280</v>
      </c>
      <c r="Q362">
        <v>359</v>
      </c>
      <c r="R362" s="27" t="str">
        <f t="shared" si="221"/>
        <v>26/08/2024</v>
      </c>
      <c r="S362" s="27">
        <f t="shared" si="221"/>
        <v>77190</v>
      </c>
      <c r="T362" s="4" t="str">
        <f t="shared" si="222"/>
        <v>A7</v>
      </c>
      <c r="V362">
        <v>359</v>
      </c>
      <c r="W362" s="28" t="str">
        <f t="shared" si="220"/>
        <v>26/08/2024</v>
      </c>
      <c r="X362" s="28">
        <f t="shared" si="220"/>
        <v>77190</v>
      </c>
      <c r="Y362" s="28" t="str">
        <f t="shared" si="220"/>
        <v>A7</v>
      </c>
      <c r="Z362" s="5" t="str">
        <f t="shared" si="231"/>
        <v>A7</v>
      </c>
      <c r="AA362" s="5" t="str">
        <f t="shared" si="232"/>
        <v>A7</v>
      </c>
      <c r="AG362" s="29" t="str">
        <f t="shared" si="223"/>
        <v>26/08/2024</v>
      </c>
      <c r="AH362" s="30">
        <f t="shared" si="223"/>
        <v>77190</v>
      </c>
      <c r="AI362" s="4" t="str">
        <f t="shared" si="224"/>
        <v>A7</v>
      </c>
      <c r="AJ362" s="5" t="str">
        <f t="shared" si="233"/>
        <v>A7</v>
      </c>
      <c r="AK362">
        <f t="shared" si="234"/>
        <v>79891.5</v>
      </c>
      <c r="AL362" t="str">
        <f t="shared" si="235"/>
        <v>A7</v>
      </c>
      <c r="AM362">
        <f t="shared" si="236"/>
        <v>79891.5</v>
      </c>
      <c r="AN362" s="6">
        <f t="shared" si="237"/>
        <v>770</v>
      </c>
      <c r="AO362">
        <f t="shared" si="238"/>
        <v>78805</v>
      </c>
      <c r="AP362">
        <f t="shared" si="261"/>
        <v>78035</v>
      </c>
      <c r="AQ362" s="33">
        <f t="shared" si="239"/>
        <v>79190</v>
      </c>
      <c r="AR362" s="33">
        <f t="shared" si="240"/>
        <v>77650</v>
      </c>
      <c r="AS362">
        <f t="shared" si="241"/>
        <v>78612.5</v>
      </c>
      <c r="AT362" s="5">
        <f t="shared" si="242"/>
        <v>78227.5</v>
      </c>
      <c r="AU362" s="5">
        <f t="shared" si="243"/>
        <v>79960</v>
      </c>
      <c r="AV362" s="5">
        <f t="shared" si="244"/>
        <v>76880</v>
      </c>
      <c r="AW362" s="5">
        <f t="shared" si="245"/>
        <v>78548.333333333328</v>
      </c>
      <c r="AX362" s="5">
        <f t="shared" si="246"/>
        <v>78291.666666666672</v>
      </c>
      <c r="AY362" s="5">
        <f t="shared" si="247"/>
        <v>80730</v>
      </c>
      <c r="AZ362" s="5">
        <f t="shared" si="248"/>
        <v>76110</v>
      </c>
      <c r="BB362" s="32" t="str">
        <f t="shared" si="225"/>
        <v>26/08/2024</v>
      </c>
      <c r="BC362" s="33">
        <f t="shared" si="225"/>
        <v>77190</v>
      </c>
      <c r="BD362" s="4" t="str">
        <f t="shared" si="225"/>
        <v>A7</v>
      </c>
      <c r="BE362">
        <f t="shared" si="249"/>
        <v>79348.25</v>
      </c>
      <c r="BF362">
        <f t="shared" si="250"/>
        <v>78963.25</v>
      </c>
      <c r="BG362">
        <f t="shared" si="251"/>
        <v>79540.75</v>
      </c>
      <c r="BH362">
        <f t="shared" si="252"/>
        <v>78770.75</v>
      </c>
      <c r="BI362">
        <f t="shared" si="253"/>
        <v>79252</v>
      </c>
      <c r="BJ362">
        <f t="shared" si="254"/>
        <v>79059.5</v>
      </c>
      <c r="BK362">
        <f t="shared" si="255"/>
        <v>79925.75</v>
      </c>
      <c r="BL362">
        <f t="shared" si="256"/>
        <v>78385.75</v>
      </c>
      <c r="BM362">
        <f t="shared" si="257"/>
        <v>79219.916666666657</v>
      </c>
      <c r="BN362">
        <f t="shared" si="258"/>
        <v>79091.583333333343</v>
      </c>
      <c r="BO362">
        <f t="shared" si="259"/>
        <v>80310.75</v>
      </c>
      <c r="BP362" s="38">
        <f t="shared" si="260"/>
        <v>78000.75</v>
      </c>
      <c r="BQ362" s="7">
        <f>BP362</f>
        <v>78000.75</v>
      </c>
      <c r="BS362" s="30">
        <f t="shared" si="226"/>
        <v>77190</v>
      </c>
      <c r="BT362" s="4">
        <f t="shared" si="227"/>
        <v>78000.75</v>
      </c>
      <c r="BU362" s="37">
        <f t="shared" si="228"/>
        <v>-810.75</v>
      </c>
      <c r="BV362">
        <f t="shared" si="229"/>
        <v>810.75</v>
      </c>
      <c r="BW362" s="35">
        <f t="shared" si="230"/>
        <v>1.0503303536727555E-2</v>
      </c>
    </row>
    <row r="363" spans="1:75">
      <c r="A363" s="1" t="s">
        <v>364</v>
      </c>
      <c r="B363" s="1">
        <v>75010</v>
      </c>
      <c r="Q363">
        <v>360</v>
      </c>
      <c r="R363" s="27" t="str">
        <f t="shared" si="221"/>
        <v>27/08/2024</v>
      </c>
      <c r="S363" s="27">
        <f t="shared" si="221"/>
        <v>79820</v>
      </c>
      <c r="T363" s="4" t="str">
        <f t="shared" si="222"/>
        <v>A7</v>
      </c>
      <c r="V363">
        <v>360</v>
      </c>
      <c r="W363" s="28" t="str">
        <f t="shared" si="220"/>
        <v>27/08/2024</v>
      </c>
      <c r="X363" s="28">
        <f t="shared" si="220"/>
        <v>79820</v>
      </c>
      <c r="Y363" s="28" t="str">
        <f t="shared" si="220"/>
        <v>A7</v>
      </c>
      <c r="Z363" s="5" t="str">
        <f t="shared" si="231"/>
        <v>A7</v>
      </c>
      <c r="AA363" s="5" t="str">
        <f t="shared" si="232"/>
        <v>A7</v>
      </c>
      <c r="AG363" s="29" t="str">
        <f t="shared" si="223"/>
        <v>27/08/2024</v>
      </c>
      <c r="AH363" s="30">
        <f t="shared" si="223"/>
        <v>79820</v>
      </c>
      <c r="AI363" s="4" t="str">
        <f t="shared" si="224"/>
        <v>A7</v>
      </c>
      <c r="AJ363" s="5" t="str">
        <f t="shared" si="233"/>
        <v>A7</v>
      </c>
      <c r="AK363">
        <f t="shared" si="234"/>
        <v>79891.5</v>
      </c>
      <c r="AL363" t="str">
        <f t="shared" si="235"/>
        <v>A7</v>
      </c>
      <c r="AM363">
        <f t="shared" si="236"/>
        <v>79891.5</v>
      </c>
      <c r="AN363" s="6">
        <f t="shared" si="237"/>
        <v>120</v>
      </c>
      <c r="AO363">
        <f t="shared" si="238"/>
        <v>77250</v>
      </c>
      <c r="AP363">
        <f t="shared" si="261"/>
        <v>77130</v>
      </c>
      <c r="AQ363" s="33">
        <f t="shared" si="239"/>
        <v>77310</v>
      </c>
      <c r="AR363" s="33">
        <f t="shared" si="240"/>
        <v>77070</v>
      </c>
      <c r="AS363">
        <f t="shared" si="241"/>
        <v>77220</v>
      </c>
      <c r="AT363" s="5">
        <f t="shared" si="242"/>
        <v>77160</v>
      </c>
      <c r="AU363" s="5">
        <f t="shared" si="243"/>
        <v>77430</v>
      </c>
      <c r="AV363" s="5">
        <f t="shared" si="244"/>
        <v>76950</v>
      </c>
      <c r="AW363" s="5">
        <f t="shared" si="245"/>
        <v>77210</v>
      </c>
      <c r="AX363" s="5">
        <f t="shared" si="246"/>
        <v>77170</v>
      </c>
      <c r="AY363" s="5">
        <f t="shared" si="247"/>
        <v>77550</v>
      </c>
      <c r="AZ363" s="5">
        <f t="shared" si="248"/>
        <v>76830</v>
      </c>
      <c r="BB363" s="32" t="str">
        <f t="shared" si="225"/>
        <v>27/08/2024</v>
      </c>
      <c r="BC363" s="33">
        <f t="shared" si="225"/>
        <v>79820</v>
      </c>
      <c r="BD363" s="4" t="str">
        <f t="shared" si="225"/>
        <v>A7</v>
      </c>
      <c r="BE363">
        <f t="shared" si="249"/>
        <v>78570.75</v>
      </c>
      <c r="BF363">
        <f t="shared" si="250"/>
        <v>78510.75</v>
      </c>
      <c r="BG363">
        <f t="shared" si="251"/>
        <v>78600.75</v>
      </c>
      <c r="BH363">
        <f t="shared" si="252"/>
        <v>78480.75</v>
      </c>
      <c r="BI363">
        <f t="shared" si="253"/>
        <v>78555.75</v>
      </c>
      <c r="BJ363">
        <f t="shared" si="254"/>
        <v>78525.75</v>
      </c>
      <c r="BK363">
        <f t="shared" si="255"/>
        <v>78660.75</v>
      </c>
      <c r="BL363">
        <f t="shared" si="256"/>
        <v>78420.75</v>
      </c>
      <c r="BM363">
        <f t="shared" si="257"/>
        <v>78550.75</v>
      </c>
      <c r="BN363">
        <f t="shared" si="258"/>
        <v>78530.75</v>
      </c>
      <c r="BO363" s="38">
        <f t="shared" si="259"/>
        <v>78720.75</v>
      </c>
      <c r="BP363">
        <f t="shared" si="260"/>
        <v>78360.75</v>
      </c>
      <c r="BQ363" s="7">
        <f>BO363</f>
        <v>78720.75</v>
      </c>
      <c r="BS363" s="30">
        <f t="shared" si="226"/>
        <v>79820</v>
      </c>
      <c r="BT363" s="4">
        <f t="shared" si="227"/>
        <v>78720.75</v>
      </c>
      <c r="BU363" s="37">
        <f t="shared" si="228"/>
        <v>1099.25</v>
      </c>
      <c r="BV363">
        <f t="shared" si="229"/>
        <v>1099.25</v>
      </c>
      <c r="BW363" s="35">
        <f t="shared" si="230"/>
        <v>1.377161112503132E-2</v>
      </c>
    </row>
    <row r="364" spans="1:75">
      <c r="A364" s="1" t="s">
        <v>365</v>
      </c>
      <c r="B364" s="1">
        <v>72750</v>
      </c>
      <c r="Q364">
        <v>361</v>
      </c>
      <c r="R364" s="27" t="str">
        <f t="shared" si="221"/>
        <v>28/08/2024</v>
      </c>
      <c r="S364" s="27">
        <f t="shared" si="221"/>
        <v>78280</v>
      </c>
      <c r="T364" s="4" t="str">
        <f t="shared" si="222"/>
        <v>A7</v>
      </c>
      <c r="V364">
        <v>361</v>
      </c>
      <c r="W364" s="28" t="str">
        <f t="shared" si="220"/>
        <v>28/08/2024</v>
      </c>
      <c r="X364" s="28">
        <f t="shared" si="220"/>
        <v>78280</v>
      </c>
      <c r="Y364" s="28" t="str">
        <f t="shared" si="220"/>
        <v>A7</v>
      </c>
      <c r="Z364" s="5" t="str">
        <f t="shared" si="231"/>
        <v>A7</v>
      </c>
      <c r="AA364" s="5" t="str">
        <f t="shared" si="232"/>
        <v>A7</v>
      </c>
      <c r="AG364" s="29" t="str">
        <f t="shared" si="223"/>
        <v>28/08/2024</v>
      </c>
      <c r="AH364" s="30">
        <f t="shared" si="223"/>
        <v>78280</v>
      </c>
      <c r="AI364" s="4" t="str">
        <f t="shared" si="224"/>
        <v>A7</v>
      </c>
      <c r="AJ364" s="5" t="str">
        <f t="shared" si="233"/>
        <v>A7</v>
      </c>
      <c r="AK364">
        <f t="shared" si="234"/>
        <v>79891.5</v>
      </c>
      <c r="AL364" t="str">
        <f t="shared" si="235"/>
        <v>A7</v>
      </c>
      <c r="AM364">
        <f t="shared" si="236"/>
        <v>79891.5</v>
      </c>
      <c r="AN364" s="6">
        <f t="shared" si="237"/>
        <v>1400</v>
      </c>
      <c r="AO364">
        <f t="shared" si="238"/>
        <v>80520</v>
      </c>
      <c r="AP364">
        <f t="shared" si="261"/>
        <v>79120</v>
      </c>
      <c r="AQ364" s="33">
        <f t="shared" si="239"/>
        <v>81220</v>
      </c>
      <c r="AR364" s="33">
        <f t="shared" si="240"/>
        <v>78420</v>
      </c>
      <c r="AS364">
        <f t="shared" si="241"/>
        <v>80170</v>
      </c>
      <c r="AT364" s="5">
        <f t="shared" si="242"/>
        <v>79470</v>
      </c>
      <c r="AU364" s="5">
        <f t="shared" si="243"/>
        <v>82620</v>
      </c>
      <c r="AV364" s="5">
        <f t="shared" si="244"/>
        <v>77020</v>
      </c>
      <c r="AW364" s="5">
        <f t="shared" si="245"/>
        <v>80053.333333333328</v>
      </c>
      <c r="AX364" s="5">
        <f t="shared" si="246"/>
        <v>79586.666666666672</v>
      </c>
      <c r="AY364" s="5">
        <f t="shared" si="247"/>
        <v>84020</v>
      </c>
      <c r="AZ364" s="5">
        <f t="shared" si="248"/>
        <v>75620</v>
      </c>
      <c r="BB364" s="32" t="str">
        <f t="shared" si="225"/>
        <v>28/08/2024</v>
      </c>
      <c r="BC364" s="33">
        <f t="shared" si="225"/>
        <v>78280</v>
      </c>
      <c r="BD364" s="4" t="str">
        <f t="shared" si="225"/>
        <v>A7</v>
      </c>
      <c r="BE364">
        <f t="shared" si="249"/>
        <v>80205.75</v>
      </c>
      <c r="BF364">
        <f t="shared" si="250"/>
        <v>79505.75</v>
      </c>
      <c r="BG364">
        <f t="shared" si="251"/>
        <v>80555.75</v>
      </c>
      <c r="BH364">
        <f t="shared" si="252"/>
        <v>79155.75</v>
      </c>
      <c r="BI364">
        <f t="shared" si="253"/>
        <v>80030.75</v>
      </c>
      <c r="BJ364">
        <f t="shared" si="254"/>
        <v>79680.75</v>
      </c>
      <c r="BK364">
        <f t="shared" si="255"/>
        <v>81255.75</v>
      </c>
      <c r="BL364">
        <f t="shared" si="256"/>
        <v>78455.75</v>
      </c>
      <c r="BM364">
        <f t="shared" si="257"/>
        <v>79972.416666666657</v>
      </c>
      <c r="BN364">
        <f t="shared" si="258"/>
        <v>79739.083333333343</v>
      </c>
      <c r="BO364">
        <f t="shared" si="259"/>
        <v>81955.75</v>
      </c>
      <c r="BP364" s="38">
        <f t="shared" si="260"/>
        <v>77755.75</v>
      </c>
      <c r="BQ364" s="7">
        <f>BP364</f>
        <v>77755.75</v>
      </c>
      <c r="BS364" s="30">
        <f t="shared" si="226"/>
        <v>78280</v>
      </c>
      <c r="BT364" s="4">
        <f t="shared" si="227"/>
        <v>77755.75</v>
      </c>
      <c r="BU364" s="37">
        <f t="shared" si="228"/>
        <v>524.25</v>
      </c>
      <c r="BV364">
        <f t="shared" si="229"/>
        <v>524.25</v>
      </c>
      <c r="BW364" s="35">
        <f t="shared" si="230"/>
        <v>6.6971129279509451E-3</v>
      </c>
    </row>
    <row r="365" spans="1:75">
      <c r="A365" s="1" t="s">
        <v>366</v>
      </c>
      <c r="B365" s="1">
        <v>74940</v>
      </c>
      <c r="Q365">
        <v>362</v>
      </c>
      <c r="R365" s="27" t="str">
        <f t="shared" si="221"/>
        <v>29/08/2024</v>
      </c>
      <c r="S365" s="27">
        <f t="shared" si="221"/>
        <v>75010</v>
      </c>
      <c r="T365" s="4" t="str">
        <f t="shared" si="222"/>
        <v>A6</v>
      </c>
      <c r="V365">
        <v>362</v>
      </c>
      <c r="W365" s="28" t="str">
        <f t="shared" si="220"/>
        <v>29/08/2024</v>
      </c>
      <c r="X365" s="28">
        <f t="shared" si="220"/>
        <v>75010</v>
      </c>
      <c r="Y365" s="28" t="str">
        <f t="shared" si="220"/>
        <v>A6</v>
      </c>
      <c r="Z365" s="5" t="str">
        <f t="shared" si="231"/>
        <v>A7</v>
      </c>
      <c r="AA365" s="5" t="str">
        <f t="shared" si="232"/>
        <v>A7</v>
      </c>
      <c r="AG365" s="29" t="str">
        <f t="shared" si="223"/>
        <v>29/08/2024</v>
      </c>
      <c r="AH365" s="30">
        <f t="shared" si="223"/>
        <v>75010</v>
      </c>
      <c r="AI365" s="4" t="str">
        <f t="shared" si="224"/>
        <v>A6</v>
      </c>
      <c r="AJ365" s="5" t="str">
        <f t="shared" si="233"/>
        <v>A7</v>
      </c>
      <c r="AK365">
        <f t="shared" si="234"/>
        <v>79891.5</v>
      </c>
      <c r="AL365" t="str">
        <f t="shared" si="235"/>
        <v>A7</v>
      </c>
      <c r="AM365">
        <f t="shared" si="236"/>
        <v>79891.5</v>
      </c>
      <c r="AN365" s="6">
        <f t="shared" si="237"/>
        <v>1090</v>
      </c>
      <c r="AO365">
        <f t="shared" si="238"/>
        <v>78825</v>
      </c>
      <c r="AP365">
        <f t="shared" si="261"/>
        <v>77735</v>
      </c>
      <c r="AQ365" s="33">
        <f t="shared" si="239"/>
        <v>79370</v>
      </c>
      <c r="AR365" s="33">
        <f t="shared" si="240"/>
        <v>77190</v>
      </c>
      <c r="AS365">
        <f t="shared" si="241"/>
        <v>78552.5</v>
      </c>
      <c r="AT365" s="5">
        <f t="shared" si="242"/>
        <v>78007.5</v>
      </c>
      <c r="AU365" s="5">
        <f t="shared" si="243"/>
        <v>80460</v>
      </c>
      <c r="AV365" s="5">
        <f t="shared" si="244"/>
        <v>76100</v>
      </c>
      <c r="AW365" s="5">
        <f t="shared" si="245"/>
        <v>78461.666666666672</v>
      </c>
      <c r="AX365" s="5">
        <f t="shared" si="246"/>
        <v>78098.333333333328</v>
      </c>
      <c r="AY365" s="5">
        <f t="shared" si="247"/>
        <v>81550</v>
      </c>
      <c r="AZ365" s="5">
        <f t="shared" si="248"/>
        <v>75010</v>
      </c>
      <c r="BB365" s="32" t="str">
        <f t="shared" si="225"/>
        <v>29/08/2024</v>
      </c>
      <c r="BC365" s="33">
        <f t="shared" si="225"/>
        <v>75010</v>
      </c>
      <c r="BD365" s="4" t="str">
        <f t="shared" si="225"/>
        <v>A6</v>
      </c>
      <c r="BE365">
        <f t="shared" si="249"/>
        <v>79358.25</v>
      </c>
      <c r="BF365">
        <f t="shared" si="250"/>
        <v>78813.25</v>
      </c>
      <c r="BG365">
        <f t="shared" si="251"/>
        <v>79630.75</v>
      </c>
      <c r="BH365">
        <f t="shared" si="252"/>
        <v>78540.75</v>
      </c>
      <c r="BI365">
        <f t="shared" si="253"/>
        <v>79222</v>
      </c>
      <c r="BJ365">
        <f t="shared" si="254"/>
        <v>78949.5</v>
      </c>
      <c r="BK365">
        <f t="shared" si="255"/>
        <v>80175.75</v>
      </c>
      <c r="BL365">
        <f t="shared" si="256"/>
        <v>77995.75</v>
      </c>
      <c r="BM365">
        <f t="shared" si="257"/>
        <v>79176.583333333343</v>
      </c>
      <c r="BN365">
        <f t="shared" si="258"/>
        <v>78994.916666666657</v>
      </c>
      <c r="BO365">
        <f t="shared" si="259"/>
        <v>80720.75</v>
      </c>
      <c r="BP365" s="38">
        <f t="shared" si="260"/>
        <v>77450.75</v>
      </c>
      <c r="BQ365" s="7">
        <f>BP365</f>
        <v>77450.75</v>
      </c>
      <c r="BS365" s="30">
        <f t="shared" si="226"/>
        <v>75010</v>
      </c>
      <c r="BT365" s="4">
        <f t="shared" si="227"/>
        <v>77450.75</v>
      </c>
      <c r="BU365" s="37">
        <f t="shared" si="228"/>
        <v>-2440.75</v>
      </c>
      <c r="BV365">
        <f t="shared" si="229"/>
        <v>2440.75</v>
      </c>
      <c r="BW365" s="35">
        <f t="shared" si="230"/>
        <v>3.2538994800693243E-2</v>
      </c>
    </row>
    <row r="366" spans="1:75">
      <c r="A366" s="1" t="s">
        <v>367</v>
      </c>
      <c r="B366" s="1">
        <v>74940</v>
      </c>
      <c r="Q366">
        <v>363</v>
      </c>
      <c r="R366" s="27" t="str">
        <f t="shared" si="221"/>
        <v>30/08/2024</v>
      </c>
      <c r="S366" s="27">
        <f t="shared" si="221"/>
        <v>72750</v>
      </c>
      <c r="T366" s="4" t="str">
        <f t="shared" si="222"/>
        <v>A6</v>
      </c>
      <c r="V366">
        <v>363</v>
      </c>
      <c r="W366" s="28" t="str">
        <f t="shared" si="220"/>
        <v>30/08/2024</v>
      </c>
      <c r="X366" s="28">
        <f t="shared" si="220"/>
        <v>72750</v>
      </c>
      <c r="Y366" s="28" t="str">
        <f t="shared" si="220"/>
        <v>A6</v>
      </c>
      <c r="Z366" s="5" t="str">
        <f t="shared" si="231"/>
        <v>A7</v>
      </c>
      <c r="AA366" s="5" t="str">
        <f t="shared" si="232"/>
        <v>A6</v>
      </c>
      <c r="AG366" s="29" t="str">
        <f t="shared" si="223"/>
        <v>30/08/2024</v>
      </c>
      <c r="AH366" s="30">
        <f t="shared" si="223"/>
        <v>72750</v>
      </c>
      <c r="AI366" s="4" t="str">
        <f t="shared" si="224"/>
        <v>A6</v>
      </c>
      <c r="AJ366" s="5" t="str">
        <f t="shared" si="233"/>
        <v>A7</v>
      </c>
      <c r="AK366">
        <f t="shared" si="234"/>
        <v>79891.5</v>
      </c>
      <c r="AL366" t="str">
        <f t="shared" si="235"/>
        <v>A6</v>
      </c>
      <c r="AM366">
        <f t="shared" si="236"/>
        <v>73860.5</v>
      </c>
      <c r="AN366" s="6">
        <f t="shared" si="237"/>
        <v>1730</v>
      </c>
      <c r="AO366">
        <f t="shared" si="238"/>
        <v>75875</v>
      </c>
      <c r="AP366">
        <f t="shared" si="261"/>
        <v>74145</v>
      </c>
      <c r="AQ366" s="33">
        <f t="shared" si="239"/>
        <v>76740</v>
      </c>
      <c r="AR366" s="33">
        <f t="shared" si="240"/>
        <v>73280</v>
      </c>
      <c r="AS366">
        <f t="shared" si="241"/>
        <v>75442.5</v>
      </c>
      <c r="AT366" s="5">
        <f t="shared" si="242"/>
        <v>74577.5</v>
      </c>
      <c r="AU366" s="5">
        <f t="shared" si="243"/>
        <v>78470</v>
      </c>
      <c r="AV366" s="5">
        <f t="shared" si="244"/>
        <v>71550</v>
      </c>
      <c r="AW366" s="5">
        <f t="shared" si="245"/>
        <v>75298.333333333328</v>
      </c>
      <c r="AX366" s="5">
        <f t="shared" si="246"/>
        <v>74721.666666666672</v>
      </c>
      <c r="AY366" s="5">
        <f t="shared" si="247"/>
        <v>80200</v>
      </c>
      <c r="AZ366" s="5">
        <f t="shared" si="248"/>
        <v>69820</v>
      </c>
      <c r="BB366" s="32" t="str">
        <f t="shared" si="225"/>
        <v>30/08/2024</v>
      </c>
      <c r="BC366" s="33">
        <f t="shared" si="225"/>
        <v>72750</v>
      </c>
      <c r="BD366" s="4" t="str">
        <f t="shared" si="225"/>
        <v>A6</v>
      </c>
      <c r="BE366">
        <f t="shared" si="249"/>
        <v>74867.75</v>
      </c>
      <c r="BF366">
        <f t="shared" si="250"/>
        <v>74002.75</v>
      </c>
      <c r="BG366">
        <f t="shared" si="251"/>
        <v>75300.25</v>
      </c>
      <c r="BH366">
        <f t="shared" si="252"/>
        <v>73570.25</v>
      </c>
      <c r="BI366">
        <f t="shared" si="253"/>
        <v>74651.5</v>
      </c>
      <c r="BJ366">
        <f t="shared" si="254"/>
        <v>74219</v>
      </c>
      <c r="BK366">
        <f t="shared" si="255"/>
        <v>76165.25</v>
      </c>
      <c r="BL366" s="38">
        <f t="shared" si="256"/>
        <v>72705.25</v>
      </c>
      <c r="BM366">
        <f t="shared" si="257"/>
        <v>74579.416666666657</v>
      </c>
      <c r="BN366">
        <f t="shared" si="258"/>
        <v>74291.083333333343</v>
      </c>
      <c r="BO366">
        <f t="shared" si="259"/>
        <v>77030.25</v>
      </c>
      <c r="BP366">
        <f t="shared" si="260"/>
        <v>71840.25</v>
      </c>
      <c r="BQ366" s="7">
        <f>BL366</f>
        <v>72705.25</v>
      </c>
      <c r="BS366" s="30">
        <f t="shared" si="226"/>
        <v>72750</v>
      </c>
      <c r="BT366" s="4">
        <f t="shared" si="227"/>
        <v>72705.25</v>
      </c>
      <c r="BU366" s="37">
        <f t="shared" si="228"/>
        <v>44.75</v>
      </c>
      <c r="BV366">
        <f t="shared" si="229"/>
        <v>44.75</v>
      </c>
      <c r="BW366" s="35">
        <f t="shared" si="230"/>
        <v>6.1512027491408936E-4</v>
      </c>
    </row>
    <row r="367" spans="1:75">
      <c r="A367" s="1" t="s">
        <v>368</v>
      </c>
      <c r="B367" s="1">
        <v>73060</v>
      </c>
      <c r="Q367">
        <v>364</v>
      </c>
      <c r="R367" s="27" t="str">
        <f t="shared" si="221"/>
        <v>31/08/2024</v>
      </c>
      <c r="S367" s="27">
        <f t="shared" si="221"/>
        <v>74940</v>
      </c>
      <c r="T367" s="4" t="str">
        <f t="shared" si="222"/>
        <v>A6</v>
      </c>
      <c r="V367">
        <v>364</v>
      </c>
      <c r="W367" s="28" t="str">
        <f t="shared" si="220"/>
        <v>31/08/2024</v>
      </c>
      <c r="X367" s="28">
        <f t="shared" si="220"/>
        <v>74940</v>
      </c>
      <c r="Y367" s="28" t="str">
        <f t="shared" si="220"/>
        <v>A6</v>
      </c>
      <c r="Z367" s="5" t="str">
        <f t="shared" si="231"/>
        <v>A6</v>
      </c>
      <c r="AA367" s="5" t="str">
        <f t="shared" si="232"/>
        <v>A6</v>
      </c>
      <c r="AG367" s="29" t="str">
        <f t="shared" si="223"/>
        <v>31/08/2024</v>
      </c>
      <c r="AH367" s="30">
        <f t="shared" si="223"/>
        <v>74940</v>
      </c>
      <c r="AI367" s="4" t="str">
        <f t="shared" si="224"/>
        <v>A6</v>
      </c>
      <c r="AJ367" s="5" t="str">
        <f t="shared" si="233"/>
        <v>A6</v>
      </c>
      <c r="AK367">
        <f t="shared" si="234"/>
        <v>73860.5</v>
      </c>
      <c r="AL367" t="str">
        <f t="shared" si="235"/>
        <v>A6</v>
      </c>
      <c r="AM367">
        <f t="shared" si="236"/>
        <v>73860.5</v>
      </c>
      <c r="AN367" s="6">
        <f t="shared" si="237"/>
        <v>1010</v>
      </c>
      <c r="AO367">
        <f t="shared" si="238"/>
        <v>73255</v>
      </c>
      <c r="AP367">
        <f t="shared" si="261"/>
        <v>72245</v>
      </c>
      <c r="AQ367" s="33">
        <f t="shared" si="239"/>
        <v>73760</v>
      </c>
      <c r="AR367" s="33">
        <f t="shared" si="240"/>
        <v>71740</v>
      </c>
      <c r="AS367">
        <f t="shared" si="241"/>
        <v>73002.5</v>
      </c>
      <c r="AT367" s="5">
        <f t="shared" si="242"/>
        <v>72497.5</v>
      </c>
      <c r="AU367" s="5">
        <f t="shared" si="243"/>
        <v>74770</v>
      </c>
      <c r="AV367" s="5">
        <f t="shared" si="244"/>
        <v>70730</v>
      </c>
      <c r="AW367" s="5">
        <f t="shared" si="245"/>
        <v>72918.333333333328</v>
      </c>
      <c r="AX367" s="5">
        <f t="shared" si="246"/>
        <v>72581.666666666672</v>
      </c>
      <c r="AY367" s="5">
        <f t="shared" si="247"/>
        <v>75780</v>
      </c>
      <c r="AZ367" s="5">
        <f t="shared" si="248"/>
        <v>69720</v>
      </c>
      <c r="BB367" s="32" t="str">
        <f t="shared" si="225"/>
        <v>31/08/2024</v>
      </c>
      <c r="BC367" s="33">
        <f t="shared" si="225"/>
        <v>74940</v>
      </c>
      <c r="BD367" s="4" t="str">
        <f t="shared" si="225"/>
        <v>A6</v>
      </c>
      <c r="BE367">
        <f t="shared" si="249"/>
        <v>73557.75</v>
      </c>
      <c r="BF367">
        <f t="shared" si="250"/>
        <v>73052.75</v>
      </c>
      <c r="BG367">
        <f t="shared" si="251"/>
        <v>73810.25</v>
      </c>
      <c r="BH367">
        <f t="shared" si="252"/>
        <v>72800.25</v>
      </c>
      <c r="BI367">
        <f t="shared" si="253"/>
        <v>73431.5</v>
      </c>
      <c r="BJ367">
        <f t="shared" si="254"/>
        <v>73179</v>
      </c>
      <c r="BK367">
        <f t="shared" si="255"/>
        <v>74315.25</v>
      </c>
      <c r="BL367">
        <f t="shared" si="256"/>
        <v>72295.25</v>
      </c>
      <c r="BM367">
        <f t="shared" si="257"/>
        <v>73389.416666666657</v>
      </c>
      <c r="BN367">
        <f t="shared" si="258"/>
        <v>73221.083333333343</v>
      </c>
      <c r="BO367" s="38">
        <f t="shared" si="259"/>
        <v>74820.25</v>
      </c>
      <c r="BP367">
        <f t="shared" si="260"/>
        <v>71790.25</v>
      </c>
      <c r="BQ367" s="7">
        <f>BO367</f>
        <v>74820.25</v>
      </c>
      <c r="BS367" s="30">
        <f t="shared" si="226"/>
        <v>74940</v>
      </c>
      <c r="BT367" s="4">
        <f t="shared" si="227"/>
        <v>74820.25</v>
      </c>
      <c r="BU367" s="37">
        <f t="shared" si="228"/>
        <v>119.75</v>
      </c>
      <c r="BV367">
        <f t="shared" si="229"/>
        <v>119.75</v>
      </c>
      <c r="BW367" s="35">
        <f t="shared" si="230"/>
        <v>1.5979450226848145E-3</v>
      </c>
    </row>
    <row r="368" spans="1:75">
      <c r="A368" s="1" t="s">
        <v>369</v>
      </c>
      <c r="B368" s="1">
        <v>75620</v>
      </c>
      <c r="Q368">
        <v>365</v>
      </c>
      <c r="R368" s="27" t="str">
        <f t="shared" si="221"/>
        <v>01/09/2024</v>
      </c>
      <c r="S368" s="27">
        <f t="shared" si="221"/>
        <v>74940</v>
      </c>
      <c r="T368" s="4" t="str">
        <f t="shared" si="222"/>
        <v>A6</v>
      </c>
      <c r="V368">
        <v>365</v>
      </c>
      <c r="W368" s="28" t="str">
        <f t="shared" si="220"/>
        <v>01/09/2024</v>
      </c>
      <c r="X368" s="28">
        <f t="shared" si="220"/>
        <v>74940</v>
      </c>
      <c r="Y368" s="28" t="str">
        <f t="shared" si="220"/>
        <v>A6</v>
      </c>
      <c r="Z368" s="5" t="str">
        <f t="shared" si="231"/>
        <v>A6</v>
      </c>
      <c r="AA368" s="5" t="str">
        <f t="shared" si="232"/>
        <v>A6</v>
      </c>
      <c r="AG368" s="29" t="str">
        <f t="shared" si="223"/>
        <v>01/09/2024</v>
      </c>
      <c r="AH368" s="30">
        <f t="shared" si="223"/>
        <v>74940</v>
      </c>
      <c r="AI368" s="4" t="str">
        <f t="shared" si="224"/>
        <v>A6</v>
      </c>
      <c r="AJ368" s="5" t="str">
        <f t="shared" si="233"/>
        <v>A6</v>
      </c>
      <c r="AK368">
        <f t="shared" si="234"/>
        <v>73860.5</v>
      </c>
      <c r="AL368" t="str">
        <f t="shared" si="235"/>
        <v>A6</v>
      </c>
      <c r="AM368">
        <f t="shared" si="236"/>
        <v>73860.5</v>
      </c>
      <c r="AN368" s="6">
        <f t="shared" si="237"/>
        <v>70</v>
      </c>
      <c r="AO368">
        <f t="shared" si="238"/>
        <v>74975</v>
      </c>
      <c r="AP368">
        <f t="shared" si="261"/>
        <v>74905</v>
      </c>
      <c r="AQ368" s="33">
        <f t="shared" si="239"/>
        <v>75010</v>
      </c>
      <c r="AR368" s="33">
        <f t="shared" si="240"/>
        <v>74870</v>
      </c>
      <c r="AS368">
        <f t="shared" si="241"/>
        <v>74957.5</v>
      </c>
      <c r="AT368" s="5">
        <f t="shared" si="242"/>
        <v>74922.5</v>
      </c>
      <c r="AU368" s="5">
        <f t="shared" si="243"/>
        <v>75080</v>
      </c>
      <c r="AV368" s="5">
        <f t="shared" si="244"/>
        <v>74800</v>
      </c>
      <c r="AW368" s="5">
        <f t="shared" si="245"/>
        <v>74951.666666666672</v>
      </c>
      <c r="AX368" s="5">
        <f t="shared" si="246"/>
        <v>74928.333333333328</v>
      </c>
      <c r="AY368" s="5">
        <f t="shared" si="247"/>
        <v>75150</v>
      </c>
      <c r="AZ368" s="5">
        <f t="shared" si="248"/>
        <v>74730</v>
      </c>
      <c r="BB368" s="32" t="str">
        <f t="shared" si="225"/>
        <v>01/09/2024</v>
      </c>
      <c r="BC368" s="33">
        <f t="shared" si="225"/>
        <v>74940</v>
      </c>
      <c r="BD368" s="4" t="str">
        <f t="shared" si="225"/>
        <v>A6</v>
      </c>
      <c r="BE368">
        <f t="shared" si="249"/>
        <v>74417.75</v>
      </c>
      <c r="BF368">
        <f t="shared" si="250"/>
        <v>74382.75</v>
      </c>
      <c r="BG368">
        <f t="shared" si="251"/>
        <v>74435.25</v>
      </c>
      <c r="BH368">
        <f t="shared" si="252"/>
        <v>74365.25</v>
      </c>
      <c r="BI368">
        <f t="shared" si="253"/>
        <v>74409</v>
      </c>
      <c r="BJ368">
        <f t="shared" si="254"/>
        <v>74391.5</v>
      </c>
      <c r="BK368">
        <f t="shared" si="255"/>
        <v>74470.25</v>
      </c>
      <c r="BL368">
        <f t="shared" si="256"/>
        <v>74330.25</v>
      </c>
      <c r="BM368">
        <f t="shared" si="257"/>
        <v>74406.083333333343</v>
      </c>
      <c r="BN368">
        <f t="shared" si="258"/>
        <v>74394.416666666657</v>
      </c>
      <c r="BO368" s="38">
        <f t="shared" si="259"/>
        <v>74505.25</v>
      </c>
      <c r="BP368">
        <f t="shared" si="260"/>
        <v>74295.25</v>
      </c>
      <c r="BQ368" s="7">
        <f>BO368</f>
        <v>74505.25</v>
      </c>
      <c r="BS368" s="30">
        <f t="shared" si="226"/>
        <v>74940</v>
      </c>
      <c r="BT368" s="4">
        <f t="shared" si="227"/>
        <v>74505.25</v>
      </c>
      <c r="BU368" s="37">
        <f t="shared" si="228"/>
        <v>434.75</v>
      </c>
      <c r="BV368">
        <f t="shared" si="229"/>
        <v>434.75</v>
      </c>
      <c r="BW368" s="35">
        <f t="shared" si="230"/>
        <v>5.8013077128369365E-3</v>
      </c>
    </row>
    <row r="369" spans="1:75">
      <c r="A369" s="1" t="s">
        <v>370</v>
      </c>
      <c r="B369" s="1">
        <v>74340</v>
      </c>
      <c r="Q369">
        <v>366</v>
      </c>
      <c r="R369" s="27" t="str">
        <f t="shared" si="221"/>
        <v>02/09/2024</v>
      </c>
      <c r="S369" s="27">
        <f t="shared" si="221"/>
        <v>73060</v>
      </c>
      <c r="T369" s="4" t="str">
        <f t="shared" si="222"/>
        <v>A6</v>
      </c>
      <c r="V369">
        <v>366</v>
      </c>
      <c r="W369" s="28" t="str">
        <f t="shared" si="220"/>
        <v>02/09/2024</v>
      </c>
      <c r="X369" s="28">
        <f t="shared" si="220"/>
        <v>73060</v>
      </c>
      <c r="Y369" s="28" t="str">
        <f t="shared" si="220"/>
        <v>A6</v>
      </c>
      <c r="Z369" s="5" t="str">
        <f t="shared" si="231"/>
        <v>A6</v>
      </c>
      <c r="AA369" s="5" t="str">
        <f t="shared" si="232"/>
        <v>A6</v>
      </c>
      <c r="AG369" s="29" t="str">
        <f t="shared" si="223"/>
        <v>02/09/2024</v>
      </c>
      <c r="AH369" s="30">
        <f t="shared" si="223"/>
        <v>73060</v>
      </c>
      <c r="AI369" s="4" t="str">
        <f t="shared" si="224"/>
        <v>A6</v>
      </c>
      <c r="AJ369" s="5" t="str">
        <f t="shared" si="233"/>
        <v>A6</v>
      </c>
      <c r="AK369">
        <f t="shared" si="234"/>
        <v>73860.5</v>
      </c>
      <c r="AL369" t="str">
        <f t="shared" si="235"/>
        <v>A6</v>
      </c>
      <c r="AM369">
        <f t="shared" si="236"/>
        <v>73860.5</v>
      </c>
      <c r="AN369" s="6">
        <f t="shared" si="237"/>
        <v>2190</v>
      </c>
      <c r="AO369">
        <f t="shared" si="238"/>
        <v>76035</v>
      </c>
      <c r="AP369">
        <f t="shared" si="261"/>
        <v>73845</v>
      </c>
      <c r="AQ369" s="33">
        <f t="shared" si="239"/>
        <v>77130</v>
      </c>
      <c r="AR369" s="33">
        <f t="shared" si="240"/>
        <v>72750</v>
      </c>
      <c r="AS369">
        <f t="shared" si="241"/>
        <v>75487.5</v>
      </c>
      <c r="AT369" s="5">
        <f t="shared" si="242"/>
        <v>74392.5</v>
      </c>
      <c r="AU369" s="5">
        <f t="shared" si="243"/>
        <v>79320</v>
      </c>
      <c r="AV369" s="5">
        <f t="shared" si="244"/>
        <v>70560</v>
      </c>
      <c r="AW369" s="5">
        <f t="shared" si="245"/>
        <v>75305</v>
      </c>
      <c r="AX369" s="5">
        <f t="shared" si="246"/>
        <v>74575</v>
      </c>
      <c r="AY369" s="5">
        <f t="shared" si="247"/>
        <v>81510</v>
      </c>
      <c r="AZ369" s="5">
        <f t="shared" si="248"/>
        <v>68370</v>
      </c>
      <c r="BB369" s="32" t="str">
        <f t="shared" si="225"/>
        <v>02/09/2024</v>
      </c>
      <c r="BC369" s="33">
        <f t="shared" si="225"/>
        <v>73060</v>
      </c>
      <c r="BD369" s="4" t="str">
        <f t="shared" si="225"/>
        <v>A6</v>
      </c>
      <c r="BE369">
        <f t="shared" si="249"/>
        <v>74947.75</v>
      </c>
      <c r="BF369">
        <f t="shared" si="250"/>
        <v>73852.75</v>
      </c>
      <c r="BG369">
        <f t="shared" si="251"/>
        <v>75495.25</v>
      </c>
      <c r="BH369" s="38">
        <f t="shared" si="252"/>
        <v>73305.25</v>
      </c>
      <c r="BI369">
        <f t="shared" si="253"/>
        <v>74674</v>
      </c>
      <c r="BJ369">
        <f t="shared" si="254"/>
        <v>74126.5</v>
      </c>
      <c r="BK369">
        <f t="shared" si="255"/>
        <v>76590.25</v>
      </c>
      <c r="BL369">
        <f t="shared" si="256"/>
        <v>72210.25</v>
      </c>
      <c r="BM369">
        <f t="shared" si="257"/>
        <v>74582.75</v>
      </c>
      <c r="BN369">
        <f t="shared" si="258"/>
        <v>74217.75</v>
      </c>
      <c r="BO369">
        <f t="shared" si="259"/>
        <v>77685.25</v>
      </c>
      <c r="BP369">
        <f t="shared" si="260"/>
        <v>71115.25</v>
      </c>
      <c r="BQ369" s="7">
        <f>BH369</f>
        <v>73305.25</v>
      </c>
      <c r="BS369" s="30">
        <f t="shared" si="226"/>
        <v>73060</v>
      </c>
      <c r="BT369" s="4">
        <f t="shared" si="227"/>
        <v>73305.25</v>
      </c>
      <c r="BU369" s="37">
        <f t="shared" si="228"/>
        <v>-245.25</v>
      </c>
      <c r="BV369">
        <f t="shared" si="229"/>
        <v>245.25</v>
      </c>
      <c r="BW369" s="35">
        <f t="shared" si="230"/>
        <v>3.3568300027374759E-3</v>
      </c>
    </row>
    <row r="370" spans="1:75">
      <c r="A370" s="1" t="s">
        <v>371</v>
      </c>
      <c r="B370" s="1">
        <v>75110</v>
      </c>
      <c r="Q370">
        <v>367</v>
      </c>
      <c r="R370" s="27" t="str">
        <f t="shared" si="221"/>
        <v>03/09/2024</v>
      </c>
      <c r="S370" s="27">
        <f t="shared" si="221"/>
        <v>75620</v>
      </c>
      <c r="T370" s="4" t="str">
        <f t="shared" si="222"/>
        <v>A6</v>
      </c>
      <c r="V370">
        <v>367</v>
      </c>
      <c r="W370" s="28" t="str">
        <f t="shared" si="220"/>
        <v>03/09/2024</v>
      </c>
      <c r="X370" s="28">
        <f t="shared" si="220"/>
        <v>75620</v>
      </c>
      <c r="Y370" s="28" t="str">
        <f t="shared" si="220"/>
        <v>A6</v>
      </c>
      <c r="Z370" s="5" t="str">
        <f t="shared" si="231"/>
        <v>A6</v>
      </c>
      <c r="AA370" s="5" t="str">
        <f t="shared" si="232"/>
        <v>A6</v>
      </c>
      <c r="AG370" s="29" t="str">
        <f t="shared" si="223"/>
        <v>03/09/2024</v>
      </c>
      <c r="AH370" s="30">
        <f t="shared" si="223"/>
        <v>75620</v>
      </c>
      <c r="AI370" s="4" t="str">
        <f t="shared" si="224"/>
        <v>A6</v>
      </c>
      <c r="AJ370" s="5" t="str">
        <f t="shared" si="233"/>
        <v>A6</v>
      </c>
      <c r="AK370">
        <f t="shared" si="234"/>
        <v>73860.5</v>
      </c>
      <c r="AL370" t="str">
        <f t="shared" si="235"/>
        <v>A6</v>
      </c>
      <c r="AM370">
        <f t="shared" si="236"/>
        <v>73860.5</v>
      </c>
      <c r="AN370" s="6">
        <f t="shared" si="237"/>
        <v>1880</v>
      </c>
      <c r="AO370">
        <f t="shared" si="238"/>
        <v>74000</v>
      </c>
      <c r="AP370">
        <f t="shared" si="261"/>
        <v>72120</v>
      </c>
      <c r="AQ370" s="33">
        <f t="shared" si="239"/>
        <v>74940</v>
      </c>
      <c r="AR370" s="33">
        <f t="shared" si="240"/>
        <v>71180</v>
      </c>
      <c r="AS370">
        <f t="shared" si="241"/>
        <v>73530</v>
      </c>
      <c r="AT370" s="5">
        <f t="shared" si="242"/>
        <v>72590</v>
      </c>
      <c r="AU370" s="5">
        <f t="shared" si="243"/>
        <v>76820</v>
      </c>
      <c r="AV370" s="5">
        <f t="shared" si="244"/>
        <v>69300</v>
      </c>
      <c r="AW370" s="5">
        <f t="shared" si="245"/>
        <v>73373.333333333328</v>
      </c>
      <c r="AX370" s="5">
        <f t="shared" si="246"/>
        <v>72746.666666666672</v>
      </c>
      <c r="AY370" s="5">
        <f t="shared" si="247"/>
        <v>78700</v>
      </c>
      <c r="AZ370" s="5">
        <f t="shared" si="248"/>
        <v>67420</v>
      </c>
      <c r="BB370" s="32" t="str">
        <f t="shared" si="225"/>
        <v>03/09/2024</v>
      </c>
      <c r="BC370" s="33">
        <f t="shared" si="225"/>
        <v>75620</v>
      </c>
      <c r="BD370" s="4" t="str">
        <f t="shared" si="225"/>
        <v>A6</v>
      </c>
      <c r="BE370">
        <f t="shared" si="249"/>
        <v>73930.25</v>
      </c>
      <c r="BF370">
        <f t="shared" si="250"/>
        <v>72990.25</v>
      </c>
      <c r="BG370">
        <f t="shared" si="251"/>
        <v>74400.25</v>
      </c>
      <c r="BH370">
        <f t="shared" si="252"/>
        <v>72520.25</v>
      </c>
      <c r="BI370">
        <f t="shared" si="253"/>
        <v>73695.25</v>
      </c>
      <c r="BJ370">
        <f t="shared" si="254"/>
        <v>73225.25</v>
      </c>
      <c r="BK370" s="38">
        <f t="shared" si="255"/>
        <v>75340.25</v>
      </c>
      <c r="BL370">
        <f t="shared" si="256"/>
        <v>71580.25</v>
      </c>
      <c r="BM370">
        <f t="shared" si="257"/>
        <v>73616.916666666657</v>
      </c>
      <c r="BN370">
        <f t="shared" si="258"/>
        <v>73303.583333333343</v>
      </c>
      <c r="BO370">
        <f t="shared" si="259"/>
        <v>76280.25</v>
      </c>
      <c r="BP370">
        <f t="shared" si="260"/>
        <v>70640.25</v>
      </c>
      <c r="BQ370" s="7">
        <f>BK370</f>
        <v>75340.25</v>
      </c>
      <c r="BS370" s="30">
        <f t="shared" si="226"/>
        <v>75620</v>
      </c>
      <c r="BT370" s="4">
        <f t="shared" si="227"/>
        <v>75340.25</v>
      </c>
      <c r="BU370" s="37">
        <f t="shared" si="228"/>
        <v>279.75</v>
      </c>
      <c r="BV370">
        <f t="shared" si="229"/>
        <v>279.75</v>
      </c>
      <c r="BW370" s="35">
        <f t="shared" si="230"/>
        <v>3.6994181433483205E-3</v>
      </c>
    </row>
    <row r="371" spans="1:75">
      <c r="A371" s="1" t="s">
        <v>372</v>
      </c>
      <c r="B371" s="1">
        <v>72860</v>
      </c>
      <c r="Q371">
        <v>368</v>
      </c>
      <c r="R371" s="27" t="str">
        <f t="shared" si="221"/>
        <v>04/09/2024</v>
      </c>
      <c r="S371" s="27">
        <f t="shared" si="221"/>
        <v>74340</v>
      </c>
      <c r="T371" s="4" t="str">
        <f t="shared" si="222"/>
        <v>A6</v>
      </c>
      <c r="V371">
        <v>368</v>
      </c>
      <c r="W371" s="28" t="str">
        <f t="shared" si="220"/>
        <v>04/09/2024</v>
      </c>
      <c r="X371" s="28">
        <f t="shared" si="220"/>
        <v>74340</v>
      </c>
      <c r="Y371" s="28" t="str">
        <f t="shared" si="220"/>
        <v>A6</v>
      </c>
      <c r="Z371" s="5" t="str">
        <f t="shared" si="231"/>
        <v>A6</v>
      </c>
      <c r="AA371" s="5" t="str">
        <f t="shared" si="232"/>
        <v>A6</v>
      </c>
      <c r="AG371" s="29" t="str">
        <f t="shared" si="223"/>
        <v>04/09/2024</v>
      </c>
      <c r="AH371" s="30">
        <f t="shared" si="223"/>
        <v>74340</v>
      </c>
      <c r="AI371" s="4" t="str">
        <f t="shared" si="224"/>
        <v>A6</v>
      </c>
      <c r="AJ371" s="5" t="str">
        <f t="shared" si="233"/>
        <v>A6</v>
      </c>
      <c r="AK371">
        <f t="shared" si="234"/>
        <v>73860.5</v>
      </c>
      <c r="AL371" t="str">
        <f t="shared" si="235"/>
        <v>A6</v>
      </c>
      <c r="AM371">
        <f t="shared" si="236"/>
        <v>73860.5</v>
      </c>
      <c r="AN371" s="6">
        <f t="shared" si="237"/>
        <v>680</v>
      </c>
      <c r="AO371">
        <f t="shared" si="238"/>
        <v>75960</v>
      </c>
      <c r="AP371">
        <f t="shared" si="261"/>
        <v>75280</v>
      </c>
      <c r="AQ371" s="33">
        <f t="shared" si="239"/>
        <v>76300</v>
      </c>
      <c r="AR371" s="33">
        <f t="shared" si="240"/>
        <v>74940</v>
      </c>
      <c r="AS371">
        <f t="shared" si="241"/>
        <v>75790</v>
      </c>
      <c r="AT371" s="5">
        <f t="shared" si="242"/>
        <v>75450</v>
      </c>
      <c r="AU371" s="5">
        <f t="shared" si="243"/>
        <v>76980</v>
      </c>
      <c r="AV371" s="5">
        <f t="shared" si="244"/>
        <v>74260</v>
      </c>
      <c r="AW371" s="5">
        <f t="shared" si="245"/>
        <v>75733.333333333328</v>
      </c>
      <c r="AX371" s="5">
        <f t="shared" si="246"/>
        <v>75506.666666666672</v>
      </c>
      <c r="AY371" s="5">
        <f t="shared" si="247"/>
        <v>77660</v>
      </c>
      <c r="AZ371" s="5">
        <f t="shared" si="248"/>
        <v>73580</v>
      </c>
      <c r="BB371" s="32" t="str">
        <f t="shared" si="225"/>
        <v>04/09/2024</v>
      </c>
      <c r="BC371" s="33">
        <f t="shared" si="225"/>
        <v>74340</v>
      </c>
      <c r="BD371" s="4" t="str">
        <f t="shared" si="225"/>
        <v>A6</v>
      </c>
      <c r="BE371">
        <f t="shared" si="249"/>
        <v>74910.25</v>
      </c>
      <c r="BF371">
        <f t="shared" si="250"/>
        <v>74570.25</v>
      </c>
      <c r="BG371">
        <f t="shared" si="251"/>
        <v>75080.25</v>
      </c>
      <c r="BH371" s="38">
        <f t="shared" si="252"/>
        <v>74400.25</v>
      </c>
      <c r="BI371">
        <f t="shared" si="253"/>
        <v>74825.25</v>
      </c>
      <c r="BJ371">
        <f t="shared" si="254"/>
        <v>74655.25</v>
      </c>
      <c r="BK371">
        <f t="shared" si="255"/>
        <v>75420.25</v>
      </c>
      <c r="BL371">
        <f t="shared" si="256"/>
        <v>74060.25</v>
      </c>
      <c r="BM371">
        <f t="shared" si="257"/>
        <v>74796.916666666657</v>
      </c>
      <c r="BN371">
        <f t="shared" si="258"/>
        <v>74683.583333333343</v>
      </c>
      <c r="BO371">
        <f t="shared" si="259"/>
        <v>75760.25</v>
      </c>
      <c r="BP371">
        <f t="shared" si="260"/>
        <v>73720.25</v>
      </c>
      <c r="BQ371" s="7">
        <f>BH371</f>
        <v>74400.25</v>
      </c>
      <c r="BS371" s="30">
        <f t="shared" si="226"/>
        <v>74340</v>
      </c>
      <c r="BT371" s="4">
        <f t="shared" si="227"/>
        <v>74400.25</v>
      </c>
      <c r="BU371" s="37">
        <f t="shared" si="228"/>
        <v>-60.25</v>
      </c>
      <c r="BV371">
        <f t="shared" si="229"/>
        <v>60.25</v>
      </c>
      <c r="BW371" s="35">
        <f t="shared" si="230"/>
        <v>8.1046542910949686E-4</v>
      </c>
    </row>
    <row r="372" spans="1:75">
      <c r="A372" s="1" t="s">
        <v>373</v>
      </c>
      <c r="B372" s="1">
        <v>72100</v>
      </c>
      <c r="Q372">
        <v>369</v>
      </c>
      <c r="R372" s="27" t="str">
        <f t="shared" si="221"/>
        <v>05/09/2024</v>
      </c>
      <c r="S372" s="27">
        <f t="shared" si="221"/>
        <v>75110</v>
      </c>
      <c r="T372" s="4" t="str">
        <f t="shared" si="222"/>
        <v>A6</v>
      </c>
      <c r="V372">
        <v>369</v>
      </c>
      <c r="W372" s="28" t="str">
        <f t="shared" si="220"/>
        <v>05/09/2024</v>
      </c>
      <c r="X372" s="28">
        <f t="shared" si="220"/>
        <v>75110</v>
      </c>
      <c r="Y372" s="28" t="str">
        <f t="shared" si="220"/>
        <v>A6</v>
      </c>
      <c r="Z372" s="5" t="str">
        <f t="shared" si="231"/>
        <v>A6</v>
      </c>
      <c r="AA372" s="5" t="str">
        <f t="shared" si="232"/>
        <v>A6</v>
      </c>
      <c r="AG372" s="29" t="str">
        <f t="shared" si="223"/>
        <v>05/09/2024</v>
      </c>
      <c r="AH372" s="30">
        <f t="shared" si="223"/>
        <v>75110</v>
      </c>
      <c r="AI372" s="4" t="str">
        <f t="shared" si="224"/>
        <v>A6</v>
      </c>
      <c r="AJ372" s="5" t="str">
        <f t="shared" si="233"/>
        <v>A6</v>
      </c>
      <c r="AK372">
        <f t="shared" si="234"/>
        <v>73860.5</v>
      </c>
      <c r="AL372" t="str">
        <f t="shared" si="235"/>
        <v>A6</v>
      </c>
      <c r="AM372">
        <f t="shared" si="236"/>
        <v>73860.5</v>
      </c>
      <c r="AN372" s="6">
        <f t="shared" si="237"/>
        <v>1280</v>
      </c>
      <c r="AO372">
        <f t="shared" si="238"/>
        <v>74980</v>
      </c>
      <c r="AP372">
        <f t="shared" si="261"/>
        <v>73700</v>
      </c>
      <c r="AQ372" s="33">
        <f t="shared" si="239"/>
        <v>75620</v>
      </c>
      <c r="AR372" s="33">
        <f t="shared" si="240"/>
        <v>73060</v>
      </c>
      <c r="AS372">
        <f t="shared" si="241"/>
        <v>74660</v>
      </c>
      <c r="AT372" s="5">
        <f t="shared" si="242"/>
        <v>74020</v>
      </c>
      <c r="AU372" s="5">
        <f t="shared" si="243"/>
        <v>76900</v>
      </c>
      <c r="AV372" s="5">
        <f t="shared" si="244"/>
        <v>71780</v>
      </c>
      <c r="AW372" s="5">
        <f t="shared" si="245"/>
        <v>74553.333333333328</v>
      </c>
      <c r="AX372" s="5">
        <f t="shared" si="246"/>
        <v>74126.666666666672</v>
      </c>
      <c r="AY372" s="5">
        <f t="shared" si="247"/>
        <v>78180</v>
      </c>
      <c r="AZ372" s="5">
        <f t="shared" si="248"/>
        <v>70500</v>
      </c>
      <c r="BB372" s="32" t="str">
        <f t="shared" si="225"/>
        <v>05/09/2024</v>
      </c>
      <c r="BC372" s="33">
        <f t="shared" si="225"/>
        <v>75110</v>
      </c>
      <c r="BD372" s="4" t="str">
        <f t="shared" si="225"/>
        <v>A6</v>
      </c>
      <c r="BE372">
        <f t="shared" si="249"/>
        <v>74420.25</v>
      </c>
      <c r="BF372">
        <f t="shared" si="250"/>
        <v>73780.25</v>
      </c>
      <c r="BG372">
        <f t="shared" si="251"/>
        <v>74740.25</v>
      </c>
      <c r="BH372">
        <f t="shared" si="252"/>
        <v>73460.25</v>
      </c>
      <c r="BI372">
        <f t="shared" si="253"/>
        <v>74260.25</v>
      </c>
      <c r="BJ372">
        <f t="shared" si="254"/>
        <v>73940.25</v>
      </c>
      <c r="BK372" s="38">
        <f t="shared" si="255"/>
        <v>75380.25</v>
      </c>
      <c r="BL372">
        <f t="shared" si="256"/>
        <v>72820.25</v>
      </c>
      <c r="BM372">
        <f t="shared" si="257"/>
        <v>74206.916666666657</v>
      </c>
      <c r="BN372">
        <f t="shared" si="258"/>
        <v>73993.583333333343</v>
      </c>
      <c r="BO372">
        <f t="shared" si="259"/>
        <v>76020.25</v>
      </c>
      <c r="BP372">
        <f t="shared" si="260"/>
        <v>72180.25</v>
      </c>
      <c r="BQ372" s="7">
        <f>BK372</f>
        <v>75380.25</v>
      </c>
      <c r="BS372" s="30">
        <f t="shared" si="226"/>
        <v>75110</v>
      </c>
      <c r="BT372" s="4">
        <f t="shared" si="227"/>
        <v>75380.25</v>
      </c>
      <c r="BU372" s="37">
        <f t="shared" si="228"/>
        <v>-270.25</v>
      </c>
      <c r="BV372">
        <f t="shared" si="229"/>
        <v>270.25</v>
      </c>
      <c r="BW372" s="35">
        <f t="shared" si="230"/>
        <v>3.598056184263081E-3</v>
      </c>
    </row>
    <row r="373" spans="1:75">
      <c r="A373" s="1" t="s">
        <v>374</v>
      </c>
      <c r="B373" s="1">
        <v>71600</v>
      </c>
      <c r="Q373">
        <v>370</v>
      </c>
      <c r="R373" s="27" t="str">
        <f t="shared" si="221"/>
        <v>06/09/2024</v>
      </c>
      <c r="S373" s="27">
        <f t="shared" si="221"/>
        <v>72860</v>
      </c>
      <c r="T373" s="4" t="str">
        <f t="shared" si="222"/>
        <v>A6</v>
      </c>
      <c r="V373">
        <v>370</v>
      </c>
      <c r="W373" s="28" t="str">
        <f t="shared" si="220"/>
        <v>06/09/2024</v>
      </c>
      <c r="X373" s="28">
        <f t="shared" si="220"/>
        <v>72860</v>
      </c>
      <c r="Y373" s="28" t="str">
        <f t="shared" si="220"/>
        <v>A6</v>
      </c>
      <c r="Z373" s="5" t="str">
        <f t="shared" si="231"/>
        <v>A6</v>
      </c>
      <c r="AA373" s="5" t="str">
        <f t="shared" si="232"/>
        <v>A6</v>
      </c>
      <c r="AG373" s="29" t="str">
        <f t="shared" si="223"/>
        <v>06/09/2024</v>
      </c>
      <c r="AH373" s="30">
        <f t="shared" si="223"/>
        <v>72860</v>
      </c>
      <c r="AI373" s="4" t="str">
        <f t="shared" si="224"/>
        <v>A6</v>
      </c>
      <c r="AJ373" s="5" t="str">
        <f t="shared" si="233"/>
        <v>A6</v>
      </c>
      <c r="AK373">
        <f t="shared" si="234"/>
        <v>73860.5</v>
      </c>
      <c r="AL373" t="str">
        <f t="shared" si="235"/>
        <v>A6</v>
      </c>
      <c r="AM373">
        <f t="shared" si="236"/>
        <v>73860.5</v>
      </c>
      <c r="AN373" s="6">
        <f t="shared" si="237"/>
        <v>510</v>
      </c>
      <c r="AO373">
        <f t="shared" si="238"/>
        <v>75365</v>
      </c>
      <c r="AP373">
        <f t="shared" si="261"/>
        <v>74855</v>
      </c>
      <c r="AQ373" s="33">
        <f t="shared" si="239"/>
        <v>75620</v>
      </c>
      <c r="AR373" s="33">
        <f t="shared" si="240"/>
        <v>74600</v>
      </c>
      <c r="AS373">
        <f t="shared" si="241"/>
        <v>75237.5</v>
      </c>
      <c r="AT373" s="5">
        <f t="shared" si="242"/>
        <v>74982.5</v>
      </c>
      <c r="AU373" s="5">
        <f t="shared" si="243"/>
        <v>76130</v>
      </c>
      <c r="AV373" s="5">
        <f t="shared" si="244"/>
        <v>74090</v>
      </c>
      <c r="AW373" s="5">
        <f t="shared" si="245"/>
        <v>75195</v>
      </c>
      <c r="AX373" s="5">
        <f t="shared" si="246"/>
        <v>75025</v>
      </c>
      <c r="AY373" s="5">
        <f t="shared" si="247"/>
        <v>76640</v>
      </c>
      <c r="AZ373" s="5">
        <f t="shared" si="248"/>
        <v>73580</v>
      </c>
      <c r="BB373" s="32" t="str">
        <f t="shared" si="225"/>
        <v>06/09/2024</v>
      </c>
      <c r="BC373" s="33">
        <f t="shared" si="225"/>
        <v>72860</v>
      </c>
      <c r="BD373" s="4" t="str">
        <f t="shared" si="225"/>
        <v>A6</v>
      </c>
      <c r="BE373">
        <f t="shared" si="249"/>
        <v>74612.75</v>
      </c>
      <c r="BF373">
        <f t="shared" si="250"/>
        <v>74357.75</v>
      </c>
      <c r="BG373">
        <f t="shared" si="251"/>
        <v>74740.25</v>
      </c>
      <c r="BH373">
        <f t="shared" si="252"/>
        <v>74230.25</v>
      </c>
      <c r="BI373">
        <f t="shared" si="253"/>
        <v>74549</v>
      </c>
      <c r="BJ373">
        <f t="shared" si="254"/>
        <v>74421.5</v>
      </c>
      <c r="BK373">
        <f t="shared" si="255"/>
        <v>74995.25</v>
      </c>
      <c r="BL373">
        <f t="shared" si="256"/>
        <v>73975.25</v>
      </c>
      <c r="BM373">
        <f t="shared" si="257"/>
        <v>74527.75</v>
      </c>
      <c r="BN373">
        <f t="shared" si="258"/>
        <v>74442.75</v>
      </c>
      <c r="BO373">
        <f t="shared" si="259"/>
        <v>75250.25</v>
      </c>
      <c r="BP373" s="38">
        <f t="shared" si="260"/>
        <v>73720.25</v>
      </c>
      <c r="BQ373" s="7">
        <f>BP373</f>
        <v>73720.25</v>
      </c>
      <c r="BS373" s="30">
        <f t="shared" si="226"/>
        <v>72860</v>
      </c>
      <c r="BT373" s="4">
        <f t="shared" si="227"/>
        <v>73720.25</v>
      </c>
      <c r="BU373" s="37">
        <f t="shared" si="228"/>
        <v>-860.25</v>
      </c>
      <c r="BV373">
        <f t="shared" si="229"/>
        <v>860.25</v>
      </c>
      <c r="BW373" s="35">
        <f t="shared" si="230"/>
        <v>1.180688992588526E-2</v>
      </c>
    </row>
    <row r="374" spans="1:75">
      <c r="A374" s="1" t="s">
        <v>375</v>
      </c>
      <c r="B374" s="1">
        <v>72430</v>
      </c>
      <c r="Q374">
        <v>371</v>
      </c>
      <c r="R374" s="27" t="str">
        <f t="shared" si="221"/>
        <v>07/09/2024</v>
      </c>
      <c r="S374" s="27">
        <f t="shared" si="221"/>
        <v>72100</v>
      </c>
      <c r="T374" s="4" t="str">
        <f t="shared" si="222"/>
        <v>A6</v>
      </c>
      <c r="V374">
        <v>371</v>
      </c>
      <c r="W374" s="28" t="str">
        <f t="shared" si="220"/>
        <v>07/09/2024</v>
      </c>
      <c r="X374" s="28">
        <f t="shared" si="220"/>
        <v>72100</v>
      </c>
      <c r="Y374" s="28" t="str">
        <f t="shared" si="220"/>
        <v>A6</v>
      </c>
      <c r="Z374" s="5" t="str">
        <f t="shared" si="231"/>
        <v>A6</v>
      </c>
      <c r="AA374" s="5" t="str">
        <f t="shared" si="232"/>
        <v>A6</v>
      </c>
      <c r="AG374" s="29" t="str">
        <f t="shared" si="223"/>
        <v>07/09/2024</v>
      </c>
      <c r="AH374" s="30">
        <f t="shared" si="223"/>
        <v>72100</v>
      </c>
      <c r="AI374" s="4" t="str">
        <f t="shared" si="224"/>
        <v>A6</v>
      </c>
      <c r="AJ374" s="5" t="str">
        <f t="shared" si="233"/>
        <v>A6</v>
      </c>
      <c r="AK374">
        <f t="shared" si="234"/>
        <v>73860.5</v>
      </c>
      <c r="AL374" t="str">
        <f t="shared" si="235"/>
        <v>A6</v>
      </c>
      <c r="AM374">
        <f t="shared" si="236"/>
        <v>73860.5</v>
      </c>
      <c r="AN374" s="6">
        <f t="shared" si="237"/>
        <v>1480</v>
      </c>
      <c r="AO374">
        <f t="shared" si="238"/>
        <v>73600</v>
      </c>
      <c r="AP374">
        <f t="shared" si="261"/>
        <v>72120</v>
      </c>
      <c r="AQ374" s="33">
        <f t="shared" si="239"/>
        <v>74340</v>
      </c>
      <c r="AR374" s="33">
        <f t="shared" si="240"/>
        <v>71380</v>
      </c>
      <c r="AS374">
        <f t="shared" si="241"/>
        <v>73230</v>
      </c>
      <c r="AT374" s="5">
        <f t="shared" si="242"/>
        <v>72490</v>
      </c>
      <c r="AU374" s="5">
        <f t="shared" si="243"/>
        <v>75820</v>
      </c>
      <c r="AV374" s="5">
        <f t="shared" si="244"/>
        <v>69900</v>
      </c>
      <c r="AW374" s="5">
        <f t="shared" si="245"/>
        <v>73106.666666666672</v>
      </c>
      <c r="AX374" s="5">
        <f t="shared" si="246"/>
        <v>72613.333333333328</v>
      </c>
      <c r="AY374" s="5">
        <f t="shared" si="247"/>
        <v>77300</v>
      </c>
      <c r="AZ374" s="5">
        <f t="shared" si="248"/>
        <v>68420</v>
      </c>
      <c r="BB374" s="32" t="str">
        <f t="shared" si="225"/>
        <v>07/09/2024</v>
      </c>
      <c r="BC374" s="33">
        <f t="shared" si="225"/>
        <v>72100</v>
      </c>
      <c r="BD374" s="4" t="str">
        <f t="shared" si="225"/>
        <v>A6</v>
      </c>
      <c r="BE374">
        <f t="shared" si="249"/>
        <v>73730.25</v>
      </c>
      <c r="BF374">
        <f t="shared" si="250"/>
        <v>72990.25</v>
      </c>
      <c r="BG374">
        <f t="shared" si="251"/>
        <v>74100.25</v>
      </c>
      <c r="BH374">
        <f t="shared" si="252"/>
        <v>72620.25</v>
      </c>
      <c r="BI374">
        <f t="shared" si="253"/>
        <v>73545.25</v>
      </c>
      <c r="BJ374">
        <f t="shared" si="254"/>
        <v>73175.25</v>
      </c>
      <c r="BK374">
        <f t="shared" si="255"/>
        <v>74840.25</v>
      </c>
      <c r="BL374" s="38">
        <f t="shared" si="256"/>
        <v>71880.25</v>
      </c>
      <c r="BM374">
        <f t="shared" si="257"/>
        <v>73483.583333333343</v>
      </c>
      <c r="BN374">
        <f t="shared" si="258"/>
        <v>73236.916666666657</v>
      </c>
      <c r="BO374">
        <f t="shared" si="259"/>
        <v>75580.25</v>
      </c>
      <c r="BP374">
        <f t="shared" si="260"/>
        <v>71140.25</v>
      </c>
      <c r="BQ374" s="7">
        <f>BL374</f>
        <v>71880.25</v>
      </c>
      <c r="BS374" s="30">
        <f t="shared" si="226"/>
        <v>72100</v>
      </c>
      <c r="BT374" s="4">
        <f t="shared" si="227"/>
        <v>71880.25</v>
      </c>
      <c r="BU374" s="37">
        <f t="shared" si="228"/>
        <v>219.75</v>
      </c>
      <c r="BV374">
        <f t="shared" si="229"/>
        <v>219.75</v>
      </c>
      <c r="BW374" s="35">
        <f t="shared" si="230"/>
        <v>3.0478502080443829E-3</v>
      </c>
    </row>
    <row r="375" spans="1:75">
      <c r="A375" s="1" t="s">
        <v>376</v>
      </c>
      <c r="B375" s="1">
        <v>71270</v>
      </c>
      <c r="Q375">
        <v>372</v>
      </c>
      <c r="R375" s="27" t="str">
        <f t="shared" si="221"/>
        <v>08/09/2024</v>
      </c>
      <c r="S375" s="27">
        <f t="shared" si="221"/>
        <v>71600</v>
      </c>
      <c r="T375" s="4" t="str">
        <f t="shared" si="222"/>
        <v>A6</v>
      </c>
      <c r="V375">
        <v>372</v>
      </c>
      <c r="W375" s="28" t="str">
        <f t="shared" si="220"/>
        <v>08/09/2024</v>
      </c>
      <c r="X375" s="28">
        <f t="shared" si="220"/>
        <v>71600</v>
      </c>
      <c r="Y375" s="28" t="str">
        <f t="shared" si="220"/>
        <v>A6</v>
      </c>
      <c r="Z375" s="5" t="str">
        <f t="shared" si="231"/>
        <v>A6</v>
      </c>
      <c r="AA375" s="5" t="str">
        <f t="shared" si="232"/>
        <v>A6</v>
      </c>
      <c r="AG375" s="29" t="str">
        <f t="shared" si="223"/>
        <v>08/09/2024</v>
      </c>
      <c r="AH375" s="30">
        <f t="shared" si="223"/>
        <v>71600</v>
      </c>
      <c r="AI375" s="4" t="str">
        <f t="shared" si="224"/>
        <v>A6</v>
      </c>
      <c r="AJ375" s="5" t="str">
        <f t="shared" si="233"/>
        <v>A6</v>
      </c>
      <c r="AK375">
        <f t="shared" si="234"/>
        <v>73860.5</v>
      </c>
      <c r="AL375" t="str">
        <f t="shared" si="235"/>
        <v>A6</v>
      </c>
      <c r="AM375">
        <f t="shared" si="236"/>
        <v>73860.5</v>
      </c>
      <c r="AN375" s="6">
        <f t="shared" si="237"/>
        <v>1490</v>
      </c>
      <c r="AO375">
        <f t="shared" si="238"/>
        <v>72845</v>
      </c>
      <c r="AP375">
        <f t="shared" si="261"/>
        <v>71355</v>
      </c>
      <c r="AQ375" s="33">
        <f t="shared" si="239"/>
        <v>73590</v>
      </c>
      <c r="AR375" s="33">
        <f t="shared" si="240"/>
        <v>70610</v>
      </c>
      <c r="AS375">
        <f t="shared" si="241"/>
        <v>72472.5</v>
      </c>
      <c r="AT375" s="5">
        <f t="shared" si="242"/>
        <v>71727.5</v>
      </c>
      <c r="AU375" s="5">
        <f t="shared" si="243"/>
        <v>75080</v>
      </c>
      <c r="AV375" s="5">
        <f t="shared" si="244"/>
        <v>69120</v>
      </c>
      <c r="AW375" s="5">
        <f t="shared" si="245"/>
        <v>72348.333333333328</v>
      </c>
      <c r="AX375" s="5">
        <f t="shared" si="246"/>
        <v>71851.666666666672</v>
      </c>
      <c r="AY375" s="5">
        <f t="shared" si="247"/>
        <v>76570</v>
      </c>
      <c r="AZ375" s="5">
        <f t="shared" si="248"/>
        <v>67630</v>
      </c>
      <c r="BB375" s="32" t="str">
        <f t="shared" si="225"/>
        <v>08/09/2024</v>
      </c>
      <c r="BC375" s="33">
        <f t="shared" si="225"/>
        <v>71600</v>
      </c>
      <c r="BD375" s="4" t="str">
        <f t="shared" si="225"/>
        <v>A6</v>
      </c>
      <c r="BE375">
        <f t="shared" si="249"/>
        <v>73352.75</v>
      </c>
      <c r="BF375">
        <f t="shared" si="250"/>
        <v>72607.75</v>
      </c>
      <c r="BG375">
        <f t="shared" si="251"/>
        <v>73725.25</v>
      </c>
      <c r="BH375">
        <f t="shared" si="252"/>
        <v>72235.25</v>
      </c>
      <c r="BI375">
        <f t="shared" si="253"/>
        <v>73166.5</v>
      </c>
      <c r="BJ375">
        <f t="shared" si="254"/>
        <v>72794</v>
      </c>
      <c r="BK375">
        <f t="shared" si="255"/>
        <v>74470.25</v>
      </c>
      <c r="BL375" s="38">
        <f t="shared" si="256"/>
        <v>71490.25</v>
      </c>
      <c r="BM375">
        <f t="shared" si="257"/>
        <v>73104.416666666657</v>
      </c>
      <c r="BN375">
        <f t="shared" si="258"/>
        <v>72856.083333333343</v>
      </c>
      <c r="BO375">
        <f t="shared" si="259"/>
        <v>75215.25</v>
      </c>
      <c r="BP375">
        <f t="shared" si="260"/>
        <v>70745.25</v>
      </c>
      <c r="BQ375" s="7">
        <f>BL375</f>
        <v>71490.25</v>
      </c>
      <c r="BS375" s="30">
        <f t="shared" si="226"/>
        <v>71600</v>
      </c>
      <c r="BT375" s="4">
        <f t="shared" si="227"/>
        <v>71490.25</v>
      </c>
      <c r="BU375" s="37">
        <f t="shared" si="228"/>
        <v>109.75</v>
      </c>
      <c r="BV375">
        <f t="shared" si="229"/>
        <v>109.75</v>
      </c>
      <c r="BW375" s="35">
        <f t="shared" si="230"/>
        <v>1.5328212290502794E-3</v>
      </c>
    </row>
    <row r="376" spans="1:75">
      <c r="A376" s="1" t="s">
        <v>377</v>
      </c>
      <c r="B376" s="1">
        <v>71920</v>
      </c>
      <c r="Q376">
        <v>373</v>
      </c>
      <c r="R376" s="27" t="str">
        <f t="shared" si="221"/>
        <v>09/09/2024</v>
      </c>
      <c r="S376" s="27">
        <f t="shared" si="221"/>
        <v>72430</v>
      </c>
      <c r="T376" s="4" t="str">
        <f t="shared" si="222"/>
        <v>A6</v>
      </c>
      <c r="V376">
        <v>373</v>
      </c>
      <c r="W376" s="28" t="str">
        <f t="shared" si="220"/>
        <v>09/09/2024</v>
      </c>
      <c r="X376" s="28">
        <f t="shared" si="220"/>
        <v>72430</v>
      </c>
      <c r="Y376" s="28" t="str">
        <f t="shared" si="220"/>
        <v>A6</v>
      </c>
      <c r="Z376" s="5" t="str">
        <f t="shared" si="231"/>
        <v>A6</v>
      </c>
      <c r="AA376" s="5" t="str">
        <f t="shared" si="232"/>
        <v>A6</v>
      </c>
      <c r="AG376" s="29" t="str">
        <f t="shared" si="223"/>
        <v>09/09/2024</v>
      </c>
      <c r="AH376" s="30">
        <f t="shared" si="223"/>
        <v>72430</v>
      </c>
      <c r="AI376" s="4" t="str">
        <f t="shared" si="224"/>
        <v>A6</v>
      </c>
      <c r="AJ376" s="5" t="str">
        <f t="shared" si="233"/>
        <v>A6</v>
      </c>
      <c r="AK376">
        <f t="shared" si="234"/>
        <v>73860.5</v>
      </c>
      <c r="AL376" t="str">
        <f t="shared" si="235"/>
        <v>A6</v>
      </c>
      <c r="AM376">
        <f t="shared" si="236"/>
        <v>73860.5</v>
      </c>
      <c r="AN376" s="6">
        <f t="shared" si="237"/>
        <v>260</v>
      </c>
      <c r="AO376">
        <f t="shared" si="238"/>
        <v>71730</v>
      </c>
      <c r="AP376">
        <f t="shared" si="261"/>
        <v>71470</v>
      </c>
      <c r="AQ376" s="33">
        <f t="shared" si="239"/>
        <v>71860</v>
      </c>
      <c r="AR376" s="33">
        <f t="shared" si="240"/>
        <v>71340</v>
      </c>
      <c r="AS376">
        <f t="shared" si="241"/>
        <v>71665</v>
      </c>
      <c r="AT376" s="5">
        <f t="shared" si="242"/>
        <v>71535</v>
      </c>
      <c r="AU376" s="5">
        <f t="shared" si="243"/>
        <v>72120</v>
      </c>
      <c r="AV376" s="5">
        <f t="shared" si="244"/>
        <v>71080</v>
      </c>
      <c r="AW376" s="5">
        <f t="shared" si="245"/>
        <v>71643.333333333328</v>
      </c>
      <c r="AX376" s="5">
        <f t="shared" si="246"/>
        <v>71556.666666666672</v>
      </c>
      <c r="AY376" s="5">
        <f t="shared" si="247"/>
        <v>72380</v>
      </c>
      <c r="AZ376" s="5">
        <f t="shared" si="248"/>
        <v>70820</v>
      </c>
      <c r="BB376" s="32" t="str">
        <f t="shared" si="225"/>
        <v>09/09/2024</v>
      </c>
      <c r="BC376" s="33">
        <f t="shared" si="225"/>
        <v>72430</v>
      </c>
      <c r="BD376" s="4" t="str">
        <f t="shared" si="225"/>
        <v>A6</v>
      </c>
      <c r="BE376">
        <f t="shared" si="249"/>
        <v>72795.25</v>
      </c>
      <c r="BF376">
        <f t="shared" si="250"/>
        <v>72665.25</v>
      </c>
      <c r="BG376">
        <f t="shared" si="251"/>
        <v>72860.25</v>
      </c>
      <c r="BH376">
        <f t="shared" si="252"/>
        <v>72600.25</v>
      </c>
      <c r="BI376">
        <f t="shared" si="253"/>
        <v>72762.75</v>
      </c>
      <c r="BJ376">
        <f t="shared" si="254"/>
        <v>72697.75</v>
      </c>
      <c r="BK376">
        <f t="shared" si="255"/>
        <v>72990.25</v>
      </c>
      <c r="BL376" s="38">
        <f t="shared" si="256"/>
        <v>72470.25</v>
      </c>
      <c r="BM376">
        <f t="shared" si="257"/>
        <v>72751.916666666657</v>
      </c>
      <c r="BN376">
        <f t="shared" si="258"/>
        <v>72708.583333333343</v>
      </c>
      <c r="BO376">
        <f t="shared" si="259"/>
        <v>73120.25</v>
      </c>
      <c r="BP376">
        <f t="shared" si="260"/>
        <v>72340.25</v>
      </c>
      <c r="BQ376" s="7">
        <f>BL376</f>
        <v>72470.25</v>
      </c>
      <c r="BS376" s="30">
        <f t="shared" si="226"/>
        <v>72430</v>
      </c>
      <c r="BT376" s="4">
        <f t="shared" si="227"/>
        <v>72470.25</v>
      </c>
      <c r="BU376" s="37">
        <f t="shared" si="228"/>
        <v>-40.25</v>
      </c>
      <c r="BV376">
        <f t="shared" si="229"/>
        <v>40.25</v>
      </c>
      <c r="BW376" s="35">
        <f t="shared" si="230"/>
        <v>5.5570896037553498E-4</v>
      </c>
    </row>
    <row r="377" spans="1:75">
      <c r="A377" s="1" t="s">
        <v>378</v>
      </c>
      <c r="B377" s="1">
        <v>72640</v>
      </c>
      <c r="Q377">
        <v>374</v>
      </c>
      <c r="R377" s="27" t="str">
        <f t="shared" si="221"/>
        <v>10/09/2024</v>
      </c>
      <c r="S377" s="27">
        <f t="shared" si="221"/>
        <v>71270</v>
      </c>
      <c r="T377" s="4" t="str">
        <f t="shared" si="222"/>
        <v>A6</v>
      </c>
      <c r="V377">
        <v>374</v>
      </c>
      <c r="W377" s="28" t="str">
        <f t="shared" si="220"/>
        <v>10/09/2024</v>
      </c>
      <c r="X377" s="28">
        <f t="shared" si="220"/>
        <v>71270</v>
      </c>
      <c r="Y377" s="28" t="str">
        <f t="shared" si="220"/>
        <v>A6</v>
      </c>
      <c r="Z377" s="5" t="str">
        <f t="shared" si="231"/>
        <v>A6</v>
      </c>
      <c r="AA377" s="5" t="str">
        <f t="shared" si="232"/>
        <v>A6</v>
      </c>
      <c r="AG377" s="29" t="str">
        <f t="shared" si="223"/>
        <v>10/09/2024</v>
      </c>
      <c r="AH377" s="30">
        <f t="shared" si="223"/>
        <v>71270</v>
      </c>
      <c r="AI377" s="4" t="str">
        <f t="shared" si="224"/>
        <v>A6</v>
      </c>
      <c r="AJ377" s="5" t="str">
        <f t="shared" si="233"/>
        <v>A6</v>
      </c>
      <c r="AK377">
        <f t="shared" si="234"/>
        <v>73860.5</v>
      </c>
      <c r="AL377" t="str">
        <f t="shared" si="235"/>
        <v>A6</v>
      </c>
      <c r="AM377">
        <f t="shared" si="236"/>
        <v>73860.5</v>
      </c>
      <c r="AN377" s="6">
        <f t="shared" si="237"/>
        <v>330</v>
      </c>
      <c r="AO377">
        <f t="shared" si="238"/>
        <v>72595</v>
      </c>
      <c r="AP377">
        <f t="shared" si="261"/>
        <v>72265</v>
      </c>
      <c r="AQ377" s="33">
        <f t="shared" si="239"/>
        <v>72760</v>
      </c>
      <c r="AR377" s="33">
        <f t="shared" si="240"/>
        <v>72100</v>
      </c>
      <c r="AS377">
        <f t="shared" si="241"/>
        <v>72512.5</v>
      </c>
      <c r="AT377" s="5">
        <f t="shared" si="242"/>
        <v>72347.5</v>
      </c>
      <c r="AU377" s="5">
        <f t="shared" si="243"/>
        <v>73090</v>
      </c>
      <c r="AV377" s="5">
        <f t="shared" si="244"/>
        <v>71770</v>
      </c>
      <c r="AW377" s="5">
        <f t="shared" si="245"/>
        <v>72485</v>
      </c>
      <c r="AX377" s="5">
        <f t="shared" si="246"/>
        <v>72375</v>
      </c>
      <c r="AY377" s="5">
        <f t="shared" si="247"/>
        <v>73420</v>
      </c>
      <c r="AZ377" s="5">
        <f t="shared" si="248"/>
        <v>71440</v>
      </c>
      <c r="BB377" s="32" t="str">
        <f t="shared" si="225"/>
        <v>10/09/2024</v>
      </c>
      <c r="BC377" s="33">
        <f t="shared" si="225"/>
        <v>71270</v>
      </c>
      <c r="BD377" s="4" t="str">
        <f t="shared" si="225"/>
        <v>A6</v>
      </c>
      <c r="BE377">
        <f t="shared" si="249"/>
        <v>73227.75</v>
      </c>
      <c r="BF377">
        <f t="shared" si="250"/>
        <v>73062.75</v>
      </c>
      <c r="BG377">
        <f t="shared" si="251"/>
        <v>73310.25</v>
      </c>
      <c r="BH377">
        <f t="shared" si="252"/>
        <v>72980.25</v>
      </c>
      <c r="BI377">
        <f t="shared" si="253"/>
        <v>73186.5</v>
      </c>
      <c r="BJ377">
        <f t="shared" si="254"/>
        <v>73104</v>
      </c>
      <c r="BK377">
        <f t="shared" si="255"/>
        <v>73475.25</v>
      </c>
      <c r="BL377">
        <f t="shared" si="256"/>
        <v>72815.25</v>
      </c>
      <c r="BM377">
        <f t="shared" si="257"/>
        <v>73172.75</v>
      </c>
      <c r="BN377">
        <f t="shared" si="258"/>
        <v>73117.75</v>
      </c>
      <c r="BO377">
        <f t="shared" si="259"/>
        <v>73640.25</v>
      </c>
      <c r="BP377" s="38">
        <f t="shared" si="260"/>
        <v>72650.25</v>
      </c>
      <c r="BQ377" s="7">
        <f>BP377</f>
        <v>72650.25</v>
      </c>
      <c r="BS377" s="30">
        <f t="shared" si="226"/>
        <v>71270</v>
      </c>
      <c r="BT377" s="4">
        <f t="shared" si="227"/>
        <v>72650.25</v>
      </c>
      <c r="BU377" s="37">
        <f t="shared" si="228"/>
        <v>-1380.25</v>
      </c>
      <c r="BV377">
        <f t="shared" si="229"/>
        <v>1380.25</v>
      </c>
      <c r="BW377" s="35">
        <f t="shared" si="230"/>
        <v>1.9366493615827138E-2</v>
      </c>
    </row>
    <row r="378" spans="1:75">
      <c r="A378" s="1" t="s">
        <v>379</v>
      </c>
      <c r="B378" s="1">
        <v>71250</v>
      </c>
      <c r="Q378">
        <v>375</v>
      </c>
      <c r="R378" s="27" t="str">
        <f t="shared" si="221"/>
        <v>11/09/2024</v>
      </c>
      <c r="S378" s="27">
        <f t="shared" si="221"/>
        <v>71920</v>
      </c>
      <c r="T378" s="4" t="str">
        <f t="shared" si="222"/>
        <v>A6</v>
      </c>
      <c r="V378">
        <v>375</v>
      </c>
      <c r="W378" s="28" t="str">
        <f t="shared" si="220"/>
        <v>11/09/2024</v>
      </c>
      <c r="X378" s="28">
        <f t="shared" si="220"/>
        <v>71920</v>
      </c>
      <c r="Y378" s="28" t="str">
        <f t="shared" si="220"/>
        <v>A6</v>
      </c>
      <c r="Z378" s="5" t="str">
        <f t="shared" si="231"/>
        <v>A6</v>
      </c>
      <c r="AA378" s="5" t="str">
        <f t="shared" si="232"/>
        <v>A6</v>
      </c>
      <c r="AG378" s="29" t="str">
        <f t="shared" si="223"/>
        <v>11/09/2024</v>
      </c>
      <c r="AH378" s="30">
        <f t="shared" si="223"/>
        <v>71920</v>
      </c>
      <c r="AI378" s="4" t="str">
        <f t="shared" si="224"/>
        <v>A6</v>
      </c>
      <c r="AJ378" s="5" t="str">
        <f t="shared" si="233"/>
        <v>A6</v>
      </c>
      <c r="AK378">
        <f t="shared" si="234"/>
        <v>73860.5</v>
      </c>
      <c r="AL378" t="str">
        <f t="shared" si="235"/>
        <v>A6</v>
      </c>
      <c r="AM378">
        <f t="shared" si="236"/>
        <v>73860.5</v>
      </c>
      <c r="AN378" s="6">
        <f t="shared" si="237"/>
        <v>330</v>
      </c>
      <c r="AO378">
        <f t="shared" si="238"/>
        <v>71435</v>
      </c>
      <c r="AP378">
        <f t="shared" si="261"/>
        <v>71105</v>
      </c>
      <c r="AQ378" s="33">
        <f t="shared" si="239"/>
        <v>71600</v>
      </c>
      <c r="AR378" s="33">
        <f t="shared" si="240"/>
        <v>70940</v>
      </c>
      <c r="AS378">
        <f t="shared" si="241"/>
        <v>71352.5</v>
      </c>
      <c r="AT378" s="5">
        <f t="shared" si="242"/>
        <v>71187.5</v>
      </c>
      <c r="AU378" s="5">
        <f t="shared" si="243"/>
        <v>71930</v>
      </c>
      <c r="AV378" s="5">
        <f t="shared" si="244"/>
        <v>70610</v>
      </c>
      <c r="AW378" s="5">
        <f t="shared" si="245"/>
        <v>71325</v>
      </c>
      <c r="AX378" s="5">
        <f t="shared" si="246"/>
        <v>71215</v>
      </c>
      <c r="AY378" s="5">
        <f t="shared" si="247"/>
        <v>72260</v>
      </c>
      <c r="AZ378" s="5">
        <f t="shared" si="248"/>
        <v>70280</v>
      </c>
      <c r="BB378" s="32" t="str">
        <f t="shared" si="225"/>
        <v>11/09/2024</v>
      </c>
      <c r="BC378" s="33">
        <f t="shared" si="225"/>
        <v>71920</v>
      </c>
      <c r="BD378" s="4" t="str">
        <f t="shared" si="225"/>
        <v>A6</v>
      </c>
      <c r="BE378">
        <f t="shared" si="249"/>
        <v>72647.75</v>
      </c>
      <c r="BF378">
        <f t="shared" si="250"/>
        <v>72482.75</v>
      </c>
      <c r="BG378">
        <f t="shared" si="251"/>
        <v>72730.25</v>
      </c>
      <c r="BH378">
        <f t="shared" si="252"/>
        <v>72400.25</v>
      </c>
      <c r="BI378">
        <f t="shared" si="253"/>
        <v>72606.5</v>
      </c>
      <c r="BJ378">
        <f t="shared" si="254"/>
        <v>72524</v>
      </c>
      <c r="BK378">
        <f t="shared" si="255"/>
        <v>72895.25</v>
      </c>
      <c r="BL378">
        <f t="shared" si="256"/>
        <v>72235.25</v>
      </c>
      <c r="BM378">
        <f t="shared" si="257"/>
        <v>72592.75</v>
      </c>
      <c r="BN378">
        <f t="shared" si="258"/>
        <v>72537.75</v>
      </c>
      <c r="BO378">
        <f t="shared" si="259"/>
        <v>73060.25</v>
      </c>
      <c r="BP378" s="38">
        <f t="shared" si="260"/>
        <v>72070.25</v>
      </c>
      <c r="BQ378" s="7">
        <f>BP378</f>
        <v>72070.25</v>
      </c>
      <c r="BS378" s="30">
        <f t="shared" si="226"/>
        <v>71920</v>
      </c>
      <c r="BT378" s="4">
        <f t="shared" si="227"/>
        <v>72070.25</v>
      </c>
      <c r="BU378" s="37">
        <f t="shared" si="228"/>
        <v>-150.25</v>
      </c>
      <c r="BV378">
        <f t="shared" si="229"/>
        <v>150.25</v>
      </c>
      <c r="BW378" s="35">
        <f t="shared" si="230"/>
        <v>2.0891268075639599E-3</v>
      </c>
    </row>
    <row r="379" spans="1:75">
      <c r="A379" s="1" t="s">
        <v>380</v>
      </c>
      <c r="B379" s="1">
        <v>71590</v>
      </c>
      <c r="Q379">
        <v>376</v>
      </c>
      <c r="R379" s="27" t="str">
        <f t="shared" si="221"/>
        <v>12/09/2024</v>
      </c>
      <c r="S379" s="27">
        <f t="shared" si="221"/>
        <v>72640</v>
      </c>
      <c r="T379" s="4" t="str">
        <f t="shared" si="222"/>
        <v>A6</v>
      </c>
      <c r="V379">
        <v>376</v>
      </c>
      <c r="W379" s="28" t="str">
        <f t="shared" si="220"/>
        <v>12/09/2024</v>
      </c>
      <c r="X379" s="28">
        <f t="shared" si="220"/>
        <v>72640</v>
      </c>
      <c r="Y379" s="28" t="str">
        <f t="shared" si="220"/>
        <v>A6</v>
      </c>
      <c r="Z379" s="5" t="str">
        <f t="shared" si="231"/>
        <v>A6</v>
      </c>
      <c r="AA379" s="5" t="str">
        <f t="shared" si="232"/>
        <v>A6</v>
      </c>
      <c r="AG379" s="29" t="str">
        <f t="shared" si="223"/>
        <v>12/09/2024</v>
      </c>
      <c r="AH379" s="30">
        <f t="shared" si="223"/>
        <v>72640</v>
      </c>
      <c r="AI379" s="4" t="str">
        <f t="shared" si="224"/>
        <v>A6</v>
      </c>
      <c r="AJ379" s="5" t="str">
        <f t="shared" si="233"/>
        <v>A6</v>
      </c>
      <c r="AK379">
        <f t="shared" si="234"/>
        <v>73860.5</v>
      </c>
      <c r="AL379" t="str">
        <f t="shared" si="235"/>
        <v>A6</v>
      </c>
      <c r="AM379">
        <f t="shared" si="236"/>
        <v>73860.5</v>
      </c>
      <c r="AN379" s="6">
        <f t="shared" si="237"/>
        <v>510</v>
      </c>
      <c r="AO379">
        <f t="shared" si="238"/>
        <v>72175</v>
      </c>
      <c r="AP379">
        <f t="shared" si="261"/>
        <v>71665</v>
      </c>
      <c r="AQ379" s="33">
        <f t="shared" si="239"/>
        <v>72430</v>
      </c>
      <c r="AR379" s="33">
        <f t="shared" si="240"/>
        <v>71410</v>
      </c>
      <c r="AS379">
        <f t="shared" si="241"/>
        <v>72047.5</v>
      </c>
      <c r="AT379" s="5">
        <f t="shared" si="242"/>
        <v>71792.5</v>
      </c>
      <c r="AU379" s="5">
        <f t="shared" si="243"/>
        <v>72940</v>
      </c>
      <c r="AV379" s="5">
        <f t="shared" si="244"/>
        <v>70900</v>
      </c>
      <c r="AW379" s="5">
        <f t="shared" si="245"/>
        <v>72005</v>
      </c>
      <c r="AX379" s="5">
        <f t="shared" si="246"/>
        <v>71835</v>
      </c>
      <c r="AY379" s="5">
        <f t="shared" si="247"/>
        <v>73450</v>
      </c>
      <c r="AZ379" s="5">
        <f t="shared" si="248"/>
        <v>70390</v>
      </c>
      <c r="BB379" s="32" t="str">
        <f t="shared" si="225"/>
        <v>12/09/2024</v>
      </c>
      <c r="BC379" s="33">
        <f t="shared" si="225"/>
        <v>72640</v>
      </c>
      <c r="BD379" s="4" t="str">
        <f t="shared" si="225"/>
        <v>A6</v>
      </c>
      <c r="BE379">
        <f t="shared" si="249"/>
        <v>73017.75</v>
      </c>
      <c r="BF379">
        <f t="shared" si="250"/>
        <v>72762.75</v>
      </c>
      <c r="BG379">
        <f t="shared" si="251"/>
        <v>73145.25</v>
      </c>
      <c r="BH379" s="38">
        <f t="shared" si="252"/>
        <v>72635.25</v>
      </c>
      <c r="BI379">
        <f t="shared" si="253"/>
        <v>72954</v>
      </c>
      <c r="BJ379">
        <f t="shared" si="254"/>
        <v>72826.5</v>
      </c>
      <c r="BK379">
        <f t="shared" si="255"/>
        <v>73400.25</v>
      </c>
      <c r="BL379">
        <f t="shared" si="256"/>
        <v>72380.25</v>
      </c>
      <c r="BM379">
        <f t="shared" si="257"/>
        <v>72932.75</v>
      </c>
      <c r="BN379">
        <f t="shared" si="258"/>
        <v>72847.75</v>
      </c>
      <c r="BO379">
        <f t="shared" si="259"/>
        <v>73655.25</v>
      </c>
      <c r="BP379">
        <f t="shared" si="260"/>
        <v>72125.25</v>
      </c>
      <c r="BQ379" s="7">
        <f>BH379</f>
        <v>72635.25</v>
      </c>
      <c r="BS379" s="30">
        <f t="shared" si="226"/>
        <v>72640</v>
      </c>
      <c r="BT379" s="4">
        <f t="shared" si="227"/>
        <v>72635.25</v>
      </c>
      <c r="BU379" s="37">
        <f t="shared" si="228"/>
        <v>4.75</v>
      </c>
      <c r="BV379">
        <f t="shared" si="229"/>
        <v>4.75</v>
      </c>
      <c r="BW379" s="35">
        <f t="shared" si="230"/>
        <v>6.5390969162995593E-5</v>
      </c>
    </row>
    <row r="380" spans="1:75">
      <c r="A380" s="1" t="s">
        <v>381</v>
      </c>
      <c r="B380" s="1">
        <v>71420</v>
      </c>
      <c r="Q380">
        <v>377</v>
      </c>
      <c r="R380" s="27" t="str">
        <f t="shared" si="221"/>
        <v>13/09/2024</v>
      </c>
      <c r="S380" s="27">
        <f t="shared" si="221"/>
        <v>71250</v>
      </c>
      <c r="T380" s="4" t="str">
        <f t="shared" si="222"/>
        <v>A6</v>
      </c>
      <c r="V380">
        <v>377</v>
      </c>
      <c r="W380" s="28" t="str">
        <f t="shared" si="220"/>
        <v>13/09/2024</v>
      </c>
      <c r="X380" s="28">
        <f t="shared" si="220"/>
        <v>71250</v>
      </c>
      <c r="Y380" s="28" t="str">
        <f t="shared" si="220"/>
        <v>A6</v>
      </c>
      <c r="Z380" s="5" t="str">
        <f t="shared" si="231"/>
        <v>A6</v>
      </c>
      <c r="AA380" s="5" t="str">
        <f t="shared" si="232"/>
        <v>A6</v>
      </c>
      <c r="AG380" s="29" t="str">
        <f t="shared" si="223"/>
        <v>13/09/2024</v>
      </c>
      <c r="AH380" s="30">
        <f t="shared" si="223"/>
        <v>71250</v>
      </c>
      <c r="AI380" s="4" t="str">
        <f t="shared" si="224"/>
        <v>A6</v>
      </c>
      <c r="AJ380" s="5" t="str">
        <f t="shared" si="233"/>
        <v>A6</v>
      </c>
      <c r="AK380">
        <f t="shared" si="234"/>
        <v>73860.5</v>
      </c>
      <c r="AL380" t="str">
        <f t="shared" si="235"/>
        <v>A6</v>
      </c>
      <c r="AM380">
        <f t="shared" si="236"/>
        <v>73860.5</v>
      </c>
      <c r="AN380" s="6">
        <f t="shared" si="237"/>
        <v>70</v>
      </c>
      <c r="AO380">
        <f t="shared" si="238"/>
        <v>72675</v>
      </c>
      <c r="AP380">
        <f t="shared" si="261"/>
        <v>72605</v>
      </c>
      <c r="AQ380" s="33">
        <f t="shared" si="239"/>
        <v>72710</v>
      </c>
      <c r="AR380" s="33">
        <f t="shared" si="240"/>
        <v>72570</v>
      </c>
      <c r="AS380">
        <f t="shared" si="241"/>
        <v>72657.5</v>
      </c>
      <c r="AT380" s="5">
        <f t="shared" si="242"/>
        <v>72622.5</v>
      </c>
      <c r="AU380" s="5">
        <f t="shared" si="243"/>
        <v>72780</v>
      </c>
      <c r="AV380" s="5">
        <f t="shared" si="244"/>
        <v>72500</v>
      </c>
      <c r="AW380" s="5">
        <f t="shared" si="245"/>
        <v>72651.666666666672</v>
      </c>
      <c r="AX380" s="5">
        <f t="shared" si="246"/>
        <v>72628.333333333328</v>
      </c>
      <c r="AY380" s="5">
        <f t="shared" si="247"/>
        <v>72850</v>
      </c>
      <c r="AZ380" s="5">
        <f t="shared" si="248"/>
        <v>72430</v>
      </c>
      <c r="BB380" s="32" t="str">
        <f t="shared" si="225"/>
        <v>13/09/2024</v>
      </c>
      <c r="BC380" s="33">
        <f t="shared" si="225"/>
        <v>71250</v>
      </c>
      <c r="BD380" s="4" t="str">
        <f t="shared" si="225"/>
        <v>A6</v>
      </c>
      <c r="BE380">
        <f t="shared" si="249"/>
        <v>73267.75</v>
      </c>
      <c r="BF380">
        <f t="shared" si="250"/>
        <v>73232.75</v>
      </c>
      <c r="BG380">
        <f t="shared" si="251"/>
        <v>73285.25</v>
      </c>
      <c r="BH380">
        <f t="shared" si="252"/>
        <v>73215.25</v>
      </c>
      <c r="BI380">
        <f t="shared" si="253"/>
        <v>73259</v>
      </c>
      <c r="BJ380">
        <f t="shared" si="254"/>
        <v>73241.5</v>
      </c>
      <c r="BK380">
        <f t="shared" si="255"/>
        <v>73320.25</v>
      </c>
      <c r="BL380">
        <f t="shared" si="256"/>
        <v>73180.25</v>
      </c>
      <c r="BM380">
        <f t="shared" si="257"/>
        <v>73256.083333333343</v>
      </c>
      <c r="BN380">
        <f t="shared" si="258"/>
        <v>73244.416666666657</v>
      </c>
      <c r="BO380">
        <f t="shared" si="259"/>
        <v>73355.25</v>
      </c>
      <c r="BP380" s="38">
        <f t="shared" si="260"/>
        <v>73145.25</v>
      </c>
      <c r="BQ380" s="7">
        <f>BL380</f>
        <v>73180.25</v>
      </c>
      <c r="BS380" s="30">
        <f t="shared" si="226"/>
        <v>71250</v>
      </c>
      <c r="BT380" s="4">
        <f t="shared" si="227"/>
        <v>73180.25</v>
      </c>
      <c r="BU380" s="37">
        <f t="shared" si="228"/>
        <v>-1930.25</v>
      </c>
      <c r="BV380">
        <f t="shared" si="229"/>
        <v>1930.25</v>
      </c>
      <c r="BW380" s="35">
        <f t="shared" si="230"/>
        <v>2.709122807017544E-2</v>
      </c>
    </row>
    <row r="381" spans="1:75">
      <c r="A381" s="1" t="s">
        <v>382</v>
      </c>
      <c r="B381" s="1">
        <v>72230</v>
      </c>
      <c r="Q381">
        <v>378</v>
      </c>
      <c r="R381" s="27" t="str">
        <f t="shared" si="221"/>
        <v>14/09/2024</v>
      </c>
      <c r="S381" s="27">
        <f t="shared" si="221"/>
        <v>71590</v>
      </c>
      <c r="T381" s="4" t="str">
        <f t="shared" si="222"/>
        <v>A6</v>
      </c>
      <c r="V381">
        <v>378</v>
      </c>
      <c r="W381" s="28" t="str">
        <f t="shared" si="220"/>
        <v>14/09/2024</v>
      </c>
      <c r="X381" s="28">
        <f t="shared" si="220"/>
        <v>71590</v>
      </c>
      <c r="Y381" s="28" t="str">
        <f t="shared" si="220"/>
        <v>A6</v>
      </c>
      <c r="Z381" s="5" t="str">
        <f t="shared" si="231"/>
        <v>A6</v>
      </c>
      <c r="AA381" s="5" t="str">
        <f t="shared" si="232"/>
        <v>A6</v>
      </c>
      <c r="AG381" s="29" t="str">
        <f t="shared" si="223"/>
        <v>14/09/2024</v>
      </c>
      <c r="AH381" s="30">
        <f t="shared" si="223"/>
        <v>71590</v>
      </c>
      <c r="AI381" s="4" t="str">
        <f t="shared" si="224"/>
        <v>A6</v>
      </c>
      <c r="AJ381" s="5" t="str">
        <f t="shared" si="233"/>
        <v>A6</v>
      </c>
      <c r="AK381">
        <f t="shared" si="234"/>
        <v>73860.5</v>
      </c>
      <c r="AL381" t="str">
        <f t="shared" si="235"/>
        <v>A6</v>
      </c>
      <c r="AM381">
        <f t="shared" si="236"/>
        <v>73860.5</v>
      </c>
      <c r="AN381" s="6">
        <f t="shared" si="237"/>
        <v>670</v>
      </c>
      <c r="AO381">
        <f t="shared" si="238"/>
        <v>71585</v>
      </c>
      <c r="AP381">
        <f t="shared" si="261"/>
        <v>70915</v>
      </c>
      <c r="AQ381" s="33">
        <f t="shared" si="239"/>
        <v>71920</v>
      </c>
      <c r="AR381" s="33">
        <f t="shared" si="240"/>
        <v>70580</v>
      </c>
      <c r="AS381">
        <f t="shared" si="241"/>
        <v>71417.5</v>
      </c>
      <c r="AT381" s="5">
        <f t="shared" si="242"/>
        <v>71082.5</v>
      </c>
      <c r="AU381" s="5">
        <f t="shared" si="243"/>
        <v>72590</v>
      </c>
      <c r="AV381" s="5">
        <f t="shared" si="244"/>
        <v>69910</v>
      </c>
      <c r="AW381" s="5">
        <f t="shared" si="245"/>
        <v>71361.666666666672</v>
      </c>
      <c r="AX381" s="5">
        <f t="shared" si="246"/>
        <v>71138.333333333328</v>
      </c>
      <c r="AY381" s="5">
        <f t="shared" si="247"/>
        <v>73260</v>
      </c>
      <c r="AZ381" s="5">
        <f t="shared" si="248"/>
        <v>69240</v>
      </c>
      <c r="BB381" s="32" t="str">
        <f t="shared" si="225"/>
        <v>14/09/2024</v>
      </c>
      <c r="BC381" s="33">
        <f t="shared" si="225"/>
        <v>71590</v>
      </c>
      <c r="BD381" s="4" t="str">
        <f t="shared" si="225"/>
        <v>A6</v>
      </c>
      <c r="BE381">
        <f t="shared" si="249"/>
        <v>72722.75</v>
      </c>
      <c r="BF381">
        <f t="shared" si="250"/>
        <v>72387.75</v>
      </c>
      <c r="BG381">
        <f t="shared" si="251"/>
        <v>72890.25</v>
      </c>
      <c r="BH381">
        <f t="shared" si="252"/>
        <v>72220.25</v>
      </c>
      <c r="BI381">
        <f t="shared" si="253"/>
        <v>72639</v>
      </c>
      <c r="BJ381">
        <f t="shared" si="254"/>
        <v>72471.5</v>
      </c>
      <c r="BK381">
        <f t="shared" si="255"/>
        <v>73225.25</v>
      </c>
      <c r="BL381">
        <f t="shared" si="256"/>
        <v>71885.25</v>
      </c>
      <c r="BM381">
        <f t="shared" si="257"/>
        <v>72611.083333333343</v>
      </c>
      <c r="BN381">
        <f t="shared" si="258"/>
        <v>72499.416666666657</v>
      </c>
      <c r="BO381">
        <f t="shared" si="259"/>
        <v>73560.25</v>
      </c>
      <c r="BP381" s="38">
        <f t="shared" si="260"/>
        <v>71550.25</v>
      </c>
      <c r="BQ381" s="7">
        <f>BP381</f>
        <v>71550.25</v>
      </c>
      <c r="BS381" s="30">
        <f t="shared" si="226"/>
        <v>71590</v>
      </c>
      <c r="BT381" s="4">
        <f t="shared" si="227"/>
        <v>71550.25</v>
      </c>
      <c r="BU381" s="37">
        <f t="shared" si="228"/>
        <v>39.75</v>
      </c>
      <c r="BV381">
        <f t="shared" si="229"/>
        <v>39.75</v>
      </c>
      <c r="BW381" s="35">
        <f t="shared" si="230"/>
        <v>5.5524514597010753E-4</v>
      </c>
    </row>
    <row r="382" spans="1:75">
      <c r="A382" s="1" t="s">
        <v>383</v>
      </c>
      <c r="B382" s="1">
        <v>72980</v>
      </c>
      <c r="Q382">
        <v>379</v>
      </c>
      <c r="R382" s="27" t="str">
        <f t="shared" si="221"/>
        <v>15/09/2024</v>
      </c>
      <c r="S382" s="27">
        <f t="shared" si="221"/>
        <v>71420</v>
      </c>
      <c r="T382" s="4" t="str">
        <f t="shared" si="222"/>
        <v>A6</v>
      </c>
      <c r="V382">
        <v>379</v>
      </c>
      <c r="W382" s="28" t="str">
        <f t="shared" si="220"/>
        <v>15/09/2024</v>
      </c>
      <c r="X382" s="28">
        <f t="shared" si="220"/>
        <v>71420</v>
      </c>
      <c r="Y382" s="28" t="str">
        <f t="shared" si="220"/>
        <v>A6</v>
      </c>
      <c r="Z382" s="5" t="str">
        <f t="shared" si="231"/>
        <v>A6</v>
      </c>
      <c r="AA382" s="5" t="str">
        <f t="shared" si="232"/>
        <v>A6</v>
      </c>
      <c r="AG382" s="29" t="str">
        <f t="shared" si="223"/>
        <v>15/09/2024</v>
      </c>
      <c r="AH382" s="30">
        <f t="shared" si="223"/>
        <v>71420</v>
      </c>
      <c r="AI382" s="4" t="str">
        <f t="shared" si="224"/>
        <v>A6</v>
      </c>
      <c r="AJ382" s="5" t="str">
        <f t="shared" si="233"/>
        <v>A6</v>
      </c>
      <c r="AK382">
        <f t="shared" si="234"/>
        <v>73860.5</v>
      </c>
      <c r="AL382" t="str">
        <f t="shared" si="235"/>
        <v>A6</v>
      </c>
      <c r="AM382">
        <f t="shared" si="236"/>
        <v>73860.5</v>
      </c>
      <c r="AN382" s="6">
        <f t="shared" si="237"/>
        <v>1050</v>
      </c>
      <c r="AO382">
        <f t="shared" si="238"/>
        <v>72115</v>
      </c>
      <c r="AP382">
        <f t="shared" si="261"/>
        <v>71065</v>
      </c>
      <c r="AQ382" s="33">
        <f t="shared" si="239"/>
        <v>72640</v>
      </c>
      <c r="AR382" s="33">
        <f t="shared" si="240"/>
        <v>70540</v>
      </c>
      <c r="AS382">
        <f t="shared" si="241"/>
        <v>71852.5</v>
      </c>
      <c r="AT382" s="5">
        <f t="shared" si="242"/>
        <v>71327.5</v>
      </c>
      <c r="AU382" s="5">
        <f t="shared" si="243"/>
        <v>73690</v>
      </c>
      <c r="AV382" s="5">
        <f t="shared" si="244"/>
        <v>69490</v>
      </c>
      <c r="AW382" s="5">
        <f t="shared" si="245"/>
        <v>71765</v>
      </c>
      <c r="AX382" s="5">
        <f t="shared" si="246"/>
        <v>71415</v>
      </c>
      <c r="AY382" s="5">
        <f t="shared" si="247"/>
        <v>74740</v>
      </c>
      <c r="AZ382" s="5">
        <f t="shared" si="248"/>
        <v>68440</v>
      </c>
      <c r="BB382" s="32" t="str">
        <f t="shared" si="225"/>
        <v>15/09/2024</v>
      </c>
      <c r="BC382" s="33">
        <f t="shared" si="225"/>
        <v>71420</v>
      </c>
      <c r="BD382" s="4" t="str">
        <f t="shared" si="225"/>
        <v>A6</v>
      </c>
      <c r="BE382">
        <f t="shared" si="249"/>
        <v>72987.75</v>
      </c>
      <c r="BF382">
        <f t="shared" si="250"/>
        <v>72462.75</v>
      </c>
      <c r="BG382">
        <f t="shared" si="251"/>
        <v>73250.25</v>
      </c>
      <c r="BH382">
        <f t="shared" si="252"/>
        <v>72200.25</v>
      </c>
      <c r="BI382">
        <f t="shared" si="253"/>
        <v>72856.5</v>
      </c>
      <c r="BJ382">
        <f t="shared" si="254"/>
        <v>72594</v>
      </c>
      <c r="BK382">
        <f t="shared" si="255"/>
        <v>73775.25</v>
      </c>
      <c r="BL382" s="38">
        <f t="shared" si="256"/>
        <v>71675.25</v>
      </c>
      <c r="BM382">
        <f t="shared" si="257"/>
        <v>72812.75</v>
      </c>
      <c r="BN382">
        <f t="shared" si="258"/>
        <v>72637.75</v>
      </c>
      <c r="BO382">
        <f t="shared" si="259"/>
        <v>74300.25</v>
      </c>
      <c r="BP382">
        <f t="shared" si="260"/>
        <v>71150.25</v>
      </c>
      <c r="BQ382" s="7">
        <f>BL382</f>
        <v>71675.25</v>
      </c>
      <c r="BS382" s="30">
        <f t="shared" si="226"/>
        <v>71420</v>
      </c>
      <c r="BT382" s="4">
        <f t="shared" si="227"/>
        <v>71675.25</v>
      </c>
      <c r="BU382" s="37">
        <f t="shared" si="228"/>
        <v>-255.25</v>
      </c>
      <c r="BV382">
        <f t="shared" si="229"/>
        <v>255.25</v>
      </c>
      <c r="BW382" s="35">
        <f t="shared" si="230"/>
        <v>3.5739288714645759E-3</v>
      </c>
    </row>
    <row r="383" spans="1:75">
      <c r="A383" s="1" t="s">
        <v>384</v>
      </c>
      <c r="B383" s="1">
        <v>70930</v>
      </c>
      <c r="Q383">
        <v>380</v>
      </c>
      <c r="R383" s="27" t="str">
        <f t="shared" si="221"/>
        <v>16/09/2024</v>
      </c>
      <c r="S383" s="27">
        <f t="shared" si="221"/>
        <v>72230</v>
      </c>
      <c r="T383" s="4" t="str">
        <f t="shared" si="222"/>
        <v>A6</v>
      </c>
      <c r="V383">
        <v>380</v>
      </c>
      <c r="W383" s="28" t="str">
        <f t="shared" si="220"/>
        <v>16/09/2024</v>
      </c>
      <c r="X383" s="28">
        <f t="shared" si="220"/>
        <v>72230</v>
      </c>
      <c r="Y383" s="28" t="str">
        <f t="shared" si="220"/>
        <v>A6</v>
      </c>
      <c r="Z383" s="5" t="str">
        <f t="shared" si="231"/>
        <v>A6</v>
      </c>
      <c r="AA383" s="5" t="str">
        <f t="shared" si="232"/>
        <v>A6</v>
      </c>
      <c r="AG383" s="29" t="str">
        <f t="shared" si="223"/>
        <v>16/09/2024</v>
      </c>
      <c r="AH383" s="30">
        <f t="shared" si="223"/>
        <v>72230</v>
      </c>
      <c r="AI383" s="4" t="str">
        <f t="shared" si="224"/>
        <v>A6</v>
      </c>
      <c r="AJ383" s="5" t="str">
        <f t="shared" si="233"/>
        <v>A6</v>
      </c>
      <c r="AK383">
        <f t="shared" si="234"/>
        <v>73860.5</v>
      </c>
      <c r="AL383" t="str">
        <f t="shared" si="235"/>
        <v>A6</v>
      </c>
      <c r="AM383">
        <f t="shared" si="236"/>
        <v>73860.5</v>
      </c>
      <c r="AN383" s="6">
        <f t="shared" si="237"/>
        <v>170</v>
      </c>
      <c r="AO383">
        <f t="shared" si="238"/>
        <v>71505</v>
      </c>
      <c r="AP383">
        <f t="shared" si="261"/>
        <v>71335</v>
      </c>
      <c r="AQ383" s="33">
        <f t="shared" si="239"/>
        <v>71590</v>
      </c>
      <c r="AR383" s="33">
        <f t="shared" si="240"/>
        <v>71250</v>
      </c>
      <c r="AS383">
        <f t="shared" si="241"/>
        <v>71462.5</v>
      </c>
      <c r="AT383" s="5">
        <f t="shared" si="242"/>
        <v>71377.5</v>
      </c>
      <c r="AU383" s="5">
        <f t="shared" si="243"/>
        <v>71760</v>
      </c>
      <c r="AV383" s="5">
        <f t="shared" si="244"/>
        <v>71080</v>
      </c>
      <c r="AW383" s="5">
        <f t="shared" si="245"/>
        <v>71448.333333333328</v>
      </c>
      <c r="AX383" s="5">
        <f t="shared" si="246"/>
        <v>71391.666666666672</v>
      </c>
      <c r="AY383" s="5">
        <f t="shared" si="247"/>
        <v>71930</v>
      </c>
      <c r="AZ383" s="5">
        <f t="shared" si="248"/>
        <v>70910</v>
      </c>
      <c r="BB383" s="32" t="str">
        <f t="shared" si="225"/>
        <v>16/09/2024</v>
      </c>
      <c r="BC383" s="33">
        <f t="shared" si="225"/>
        <v>72230</v>
      </c>
      <c r="BD383" s="4" t="str">
        <f t="shared" si="225"/>
        <v>A6</v>
      </c>
      <c r="BE383">
        <f t="shared" si="249"/>
        <v>72682.75</v>
      </c>
      <c r="BF383">
        <f t="shared" si="250"/>
        <v>72597.75</v>
      </c>
      <c r="BG383">
        <f t="shared" si="251"/>
        <v>72725.25</v>
      </c>
      <c r="BH383">
        <f t="shared" si="252"/>
        <v>72555.25</v>
      </c>
      <c r="BI383">
        <f t="shared" si="253"/>
        <v>72661.5</v>
      </c>
      <c r="BJ383">
        <f t="shared" si="254"/>
        <v>72619</v>
      </c>
      <c r="BK383">
        <f t="shared" si="255"/>
        <v>72810.25</v>
      </c>
      <c r="BL383">
        <f t="shared" si="256"/>
        <v>72470.25</v>
      </c>
      <c r="BM383">
        <f t="shared" si="257"/>
        <v>72654.416666666657</v>
      </c>
      <c r="BN383">
        <f t="shared" si="258"/>
        <v>72626.083333333343</v>
      </c>
      <c r="BO383">
        <f t="shared" si="259"/>
        <v>72895.25</v>
      </c>
      <c r="BP383" s="38">
        <f t="shared" si="260"/>
        <v>72385.25</v>
      </c>
      <c r="BQ383" s="7">
        <f>BP383</f>
        <v>72385.25</v>
      </c>
      <c r="BS383" s="30">
        <f t="shared" si="226"/>
        <v>72230</v>
      </c>
      <c r="BT383" s="4">
        <f t="shared" si="227"/>
        <v>72385.25</v>
      </c>
      <c r="BU383" s="37">
        <f t="shared" si="228"/>
        <v>-155.25</v>
      </c>
      <c r="BV383">
        <f t="shared" si="229"/>
        <v>155.25</v>
      </c>
      <c r="BW383" s="35">
        <f t="shared" si="230"/>
        <v>2.1493839125017308E-3</v>
      </c>
    </row>
    <row r="384" spans="1:75">
      <c r="A384" s="1" t="s">
        <v>385</v>
      </c>
      <c r="B384" s="1">
        <v>69690</v>
      </c>
      <c r="Q384">
        <v>381</v>
      </c>
      <c r="R384" s="27" t="str">
        <f t="shared" si="221"/>
        <v>17/09/2024</v>
      </c>
      <c r="S384" s="27">
        <f t="shared" si="221"/>
        <v>72980</v>
      </c>
      <c r="T384" s="4" t="str">
        <f t="shared" si="222"/>
        <v>A6</v>
      </c>
      <c r="V384">
        <v>381</v>
      </c>
      <c r="W384" s="28" t="str">
        <f t="shared" si="220"/>
        <v>17/09/2024</v>
      </c>
      <c r="X384" s="28">
        <f t="shared" si="220"/>
        <v>72980</v>
      </c>
      <c r="Y384" s="28" t="str">
        <f t="shared" si="220"/>
        <v>A6</v>
      </c>
      <c r="Z384" s="5" t="str">
        <f t="shared" si="231"/>
        <v>A6</v>
      </c>
      <c r="AA384" s="5" t="str">
        <f t="shared" si="232"/>
        <v>A6</v>
      </c>
      <c r="AG384" s="29" t="str">
        <f t="shared" si="223"/>
        <v>17/09/2024</v>
      </c>
      <c r="AH384" s="30">
        <f t="shared" si="223"/>
        <v>72980</v>
      </c>
      <c r="AI384" s="4" t="str">
        <f t="shared" si="224"/>
        <v>A6</v>
      </c>
      <c r="AJ384" s="5" t="str">
        <f t="shared" si="233"/>
        <v>A6</v>
      </c>
      <c r="AK384">
        <f t="shared" si="234"/>
        <v>73860.5</v>
      </c>
      <c r="AL384" t="str">
        <f t="shared" si="235"/>
        <v>A6</v>
      </c>
      <c r="AM384">
        <f t="shared" si="236"/>
        <v>73860.5</v>
      </c>
      <c r="AN384" s="6">
        <f t="shared" si="237"/>
        <v>640</v>
      </c>
      <c r="AO384">
        <f t="shared" si="238"/>
        <v>72550</v>
      </c>
      <c r="AP384">
        <f t="shared" si="261"/>
        <v>71910</v>
      </c>
      <c r="AQ384" s="33">
        <f t="shared" si="239"/>
        <v>72870</v>
      </c>
      <c r="AR384" s="33">
        <f t="shared" si="240"/>
        <v>71590</v>
      </c>
      <c r="AS384">
        <f t="shared" si="241"/>
        <v>72390</v>
      </c>
      <c r="AT384" s="5">
        <f t="shared" si="242"/>
        <v>72070</v>
      </c>
      <c r="AU384" s="5">
        <f t="shared" si="243"/>
        <v>73510</v>
      </c>
      <c r="AV384" s="5">
        <f t="shared" si="244"/>
        <v>70950</v>
      </c>
      <c r="AW384" s="5">
        <f t="shared" si="245"/>
        <v>72336.666666666672</v>
      </c>
      <c r="AX384" s="5">
        <f t="shared" si="246"/>
        <v>72123.333333333328</v>
      </c>
      <c r="AY384" s="5">
        <f t="shared" si="247"/>
        <v>74150</v>
      </c>
      <c r="AZ384" s="5">
        <f t="shared" si="248"/>
        <v>70310</v>
      </c>
      <c r="BB384" s="32" t="str">
        <f t="shared" si="225"/>
        <v>17/09/2024</v>
      </c>
      <c r="BC384" s="33">
        <f t="shared" si="225"/>
        <v>72980</v>
      </c>
      <c r="BD384" s="4" t="str">
        <f t="shared" si="225"/>
        <v>A6</v>
      </c>
      <c r="BE384">
        <f t="shared" si="249"/>
        <v>73205.25</v>
      </c>
      <c r="BF384">
        <f t="shared" si="250"/>
        <v>72885.25</v>
      </c>
      <c r="BG384">
        <f t="shared" si="251"/>
        <v>73365.25</v>
      </c>
      <c r="BH384">
        <f t="shared" si="252"/>
        <v>72725.25</v>
      </c>
      <c r="BI384">
        <f t="shared" si="253"/>
        <v>73125.25</v>
      </c>
      <c r="BJ384">
        <f t="shared" si="254"/>
        <v>72965.25</v>
      </c>
      <c r="BK384">
        <f t="shared" si="255"/>
        <v>73685.25</v>
      </c>
      <c r="BL384">
        <f t="shared" si="256"/>
        <v>72405.25</v>
      </c>
      <c r="BM384">
        <f t="shared" si="257"/>
        <v>73098.583333333343</v>
      </c>
      <c r="BN384" s="38">
        <f t="shared" si="258"/>
        <v>72991.916666666657</v>
      </c>
      <c r="BO384">
        <f t="shared" si="259"/>
        <v>74005.25</v>
      </c>
      <c r="BP384">
        <f t="shared" si="260"/>
        <v>72085.25</v>
      </c>
      <c r="BQ384" s="7">
        <f>BN384</f>
        <v>72991.916666666657</v>
      </c>
      <c r="BS384" s="30">
        <f t="shared" si="226"/>
        <v>72980</v>
      </c>
      <c r="BT384" s="4">
        <f t="shared" si="227"/>
        <v>72991.916666666657</v>
      </c>
      <c r="BU384" s="37">
        <f t="shared" si="228"/>
        <v>-11.916666666656965</v>
      </c>
      <c r="BV384">
        <f t="shared" si="229"/>
        <v>11.916666666656965</v>
      </c>
      <c r="BW384" s="35">
        <f t="shared" si="230"/>
        <v>1.6328674522686991E-4</v>
      </c>
    </row>
    <row r="385" spans="17:75">
      <c r="Q385">
        <v>382</v>
      </c>
      <c r="R385" s="27" t="str">
        <f t="shared" si="221"/>
        <v>18/09/2024</v>
      </c>
      <c r="S385" s="27">
        <f t="shared" si="221"/>
        <v>70930</v>
      </c>
      <c r="T385" s="4" t="str">
        <f t="shared" si="222"/>
        <v>A6</v>
      </c>
      <c r="V385">
        <v>382</v>
      </c>
      <c r="W385" s="28" t="str">
        <f t="shared" si="220"/>
        <v>18/09/2024</v>
      </c>
      <c r="X385" s="28">
        <f t="shared" si="220"/>
        <v>70930</v>
      </c>
      <c r="Y385" s="28" t="str">
        <f t="shared" si="220"/>
        <v>A6</v>
      </c>
      <c r="Z385" s="5" t="str">
        <f t="shared" si="231"/>
        <v>A6</v>
      </c>
      <c r="AA385" s="5" t="str">
        <f t="shared" si="232"/>
        <v>A6</v>
      </c>
      <c r="AG385" s="29" t="str">
        <f t="shared" si="223"/>
        <v>18/09/2024</v>
      </c>
      <c r="AH385" s="30">
        <f t="shared" si="223"/>
        <v>70930</v>
      </c>
      <c r="AI385" s="4" t="str">
        <f t="shared" si="224"/>
        <v>A6</v>
      </c>
      <c r="AJ385" s="5" t="str">
        <f t="shared" si="233"/>
        <v>A6</v>
      </c>
      <c r="AK385">
        <f t="shared" si="234"/>
        <v>73860.5</v>
      </c>
      <c r="AL385" t="str">
        <f t="shared" si="235"/>
        <v>A6</v>
      </c>
      <c r="AM385">
        <f t="shared" si="236"/>
        <v>73860.5</v>
      </c>
      <c r="AN385" s="6">
        <f t="shared" si="237"/>
        <v>60</v>
      </c>
      <c r="AO385">
        <f t="shared" si="238"/>
        <v>73010</v>
      </c>
      <c r="AP385">
        <f t="shared" si="261"/>
        <v>72950</v>
      </c>
      <c r="AQ385" s="33">
        <f t="shared" si="239"/>
        <v>73040</v>
      </c>
      <c r="AR385" s="33">
        <f t="shared" si="240"/>
        <v>72920</v>
      </c>
      <c r="AS385">
        <f t="shared" si="241"/>
        <v>72995</v>
      </c>
      <c r="AT385" s="5">
        <f t="shared" si="242"/>
        <v>72965</v>
      </c>
      <c r="AU385" s="5">
        <f t="shared" si="243"/>
        <v>73100</v>
      </c>
      <c r="AV385" s="5">
        <f t="shared" si="244"/>
        <v>72860</v>
      </c>
      <c r="AW385" s="5">
        <f t="shared" si="245"/>
        <v>72990</v>
      </c>
      <c r="AX385" s="5">
        <f t="shared" si="246"/>
        <v>72970</v>
      </c>
      <c r="AY385" s="5">
        <f t="shared" si="247"/>
        <v>73160</v>
      </c>
      <c r="AZ385" s="5">
        <f t="shared" si="248"/>
        <v>72800</v>
      </c>
      <c r="BB385" s="32" t="str">
        <f t="shared" si="225"/>
        <v>18/09/2024</v>
      </c>
      <c r="BC385" s="33">
        <f t="shared" si="225"/>
        <v>70930</v>
      </c>
      <c r="BD385" s="4" t="str">
        <f t="shared" si="225"/>
        <v>A6</v>
      </c>
      <c r="BE385">
        <f t="shared" si="249"/>
        <v>73435.25</v>
      </c>
      <c r="BF385">
        <f t="shared" si="250"/>
        <v>73405.25</v>
      </c>
      <c r="BG385">
        <f t="shared" si="251"/>
        <v>73450.25</v>
      </c>
      <c r="BH385">
        <f t="shared" si="252"/>
        <v>73390.25</v>
      </c>
      <c r="BI385">
        <f t="shared" si="253"/>
        <v>73427.75</v>
      </c>
      <c r="BJ385">
        <f t="shared" si="254"/>
        <v>73412.75</v>
      </c>
      <c r="BK385">
        <f t="shared" si="255"/>
        <v>73480.25</v>
      </c>
      <c r="BL385">
        <f t="shared" si="256"/>
        <v>73360.25</v>
      </c>
      <c r="BM385">
        <f t="shared" si="257"/>
        <v>73425.25</v>
      </c>
      <c r="BN385">
        <f t="shared" si="258"/>
        <v>73415.25</v>
      </c>
      <c r="BO385">
        <f t="shared" si="259"/>
        <v>73510.25</v>
      </c>
      <c r="BP385" s="38">
        <f t="shared" si="260"/>
        <v>73330.25</v>
      </c>
      <c r="BQ385" s="7">
        <f>BP385</f>
        <v>73330.25</v>
      </c>
      <c r="BS385" s="30">
        <f t="shared" si="226"/>
        <v>70930</v>
      </c>
      <c r="BT385" s="4">
        <f t="shared" si="227"/>
        <v>73330.25</v>
      </c>
      <c r="BU385" s="37">
        <f t="shared" si="228"/>
        <v>-2400.25</v>
      </c>
      <c r="BV385">
        <f t="shared" si="229"/>
        <v>2400.25</v>
      </c>
      <c r="BW385" s="35">
        <f t="shared" si="230"/>
        <v>3.3839701113774143E-2</v>
      </c>
    </row>
    <row r="386" spans="17:75">
      <c r="Q386">
        <v>383</v>
      </c>
      <c r="R386" s="27" t="str">
        <f t="shared" ref="R386:S386" si="263">A384</f>
        <v>19/09/2024</v>
      </c>
      <c r="S386" s="27">
        <f t="shared" si="263"/>
        <v>69690</v>
      </c>
      <c r="T386" s="4" t="str">
        <f t="shared" si="222"/>
        <v>A5</v>
      </c>
      <c r="V386">
        <v>383</v>
      </c>
      <c r="W386" s="28" t="str">
        <f t="shared" ref="W386:Y386" si="264">R386</f>
        <v>19/09/2024</v>
      </c>
      <c r="X386" s="28">
        <f t="shared" si="264"/>
        <v>69690</v>
      </c>
      <c r="Y386" s="28" t="str">
        <f t="shared" si="264"/>
        <v>A5</v>
      </c>
      <c r="Z386" s="5" t="str">
        <f t="shared" si="231"/>
        <v>A6</v>
      </c>
      <c r="AA386" s="5" t="str">
        <f t="shared" si="232"/>
        <v>A6</v>
      </c>
      <c r="AG386" s="29" t="str">
        <f t="shared" si="223"/>
        <v>19/09/2024</v>
      </c>
      <c r="AH386" s="30">
        <f t="shared" si="223"/>
        <v>69690</v>
      </c>
      <c r="AI386" s="4" t="str">
        <f t="shared" si="224"/>
        <v>A5</v>
      </c>
      <c r="AJ386" s="5" t="str">
        <f t="shared" si="233"/>
        <v>A6</v>
      </c>
      <c r="AK386">
        <f t="shared" si="234"/>
        <v>73860.5</v>
      </c>
      <c r="AL386" t="str">
        <f t="shared" si="235"/>
        <v>A6</v>
      </c>
      <c r="AM386">
        <f t="shared" si="236"/>
        <v>73860.5</v>
      </c>
      <c r="AN386" s="6">
        <f t="shared" si="237"/>
        <v>1300</v>
      </c>
      <c r="AO386">
        <f t="shared" si="238"/>
        <v>71580</v>
      </c>
      <c r="AP386">
        <f t="shared" si="261"/>
        <v>70280</v>
      </c>
      <c r="AQ386" s="33">
        <f t="shared" si="239"/>
        <v>72230</v>
      </c>
      <c r="AR386" s="33">
        <f t="shared" si="240"/>
        <v>69630</v>
      </c>
      <c r="AS386">
        <f t="shared" si="241"/>
        <v>71255</v>
      </c>
      <c r="AT386" s="5">
        <f t="shared" si="242"/>
        <v>70605</v>
      </c>
      <c r="AU386" s="5">
        <f t="shared" si="243"/>
        <v>73530</v>
      </c>
      <c r="AV386" s="5">
        <f t="shared" si="244"/>
        <v>68330</v>
      </c>
      <c r="AW386" s="5">
        <f t="shared" si="245"/>
        <v>71146.666666666672</v>
      </c>
      <c r="AX386" s="5">
        <f t="shared" si="246"/>
        <v>70713.333333333328</v>
      </c>
      <c r="AY386" s="5">
        <f t="shared" si="247"/>
        <v>74830</v>
      </c>
      <c r="AZ386" s="5">
        <f t="shared" si="248"/>
        <v>67030</v>
      </c>
      <c r="BB386" s="32" t="str">
        <f t="shared" si="225"/>
        <v>19/09/2024</v>
      </c>
      <c r="BC386" s="33">
        <f t="shared" si="225"/>
        <v>69690</v>
      </c>
      <c r="BD386" s="4" t="str">
        <f t="shared" si="225"/>
        <v>A5</v>
      </c>
      <c r="BE386">
        <f t="shared" si="249"/>
        <v>72720.25</v>
      </c>
      <c r="BF386">
        <f t="shared" si="250"/>
        <v>72070.25</v>
      </c>
      <c r="BG386">
        <f t="shared" si="251"/>
        <v>73045.25</v>
      </c>
      <c r="BH386">
        <f t="shared" si="252"/>
        <v>71745.25</v>
      </c>
      <c r="BI386">
        <f t="shared" si="253"/>
        <v>72557.75</v>
      </c>
      <c r="BJ386">
        <f t="shared" si="254"/>
        <v>72232.75</v>
      </c>
      <c r="BK386">
        <f t="shared" si="255"/>
        <v>73695.25</v>
      </c>
      <c r="BL386">
        <f t="shared" si="256"/>
        <v>71095.25</v>
      </c>
      <c r="BM386">
        <f t="shared" si="257"/>
        <v>72503.583333333343</v>
      </c>
      <c r="BN386">
        <f t="shared" si="258"/>
        <v>72286.916666666657</v>
      </c>
      <c r="BO386">
        <f t="shared" si="259"/>
        <v>74345.25</v>
      </c>
      <c r="BP386" s="38">
        <f t="shared" si="260"/>
        <v>70445.25</v>
      </c>
      <c r="BQ386" s="7">
        <f>BP386</f>
        <v>70445.25</v>
      </c>
      <c r="BS386" s="30">
        <f t="shared" si="226"/>
        <v>69690</v>
      </c>
      <c r="BT386" s="4">
        <f t="shared" si="227"/>
        <v>70445.25</v>
      </c>
      <c r="BU386" s="37">
        <f t="shared" si="228"/>
        <v>-755.25</v>
      </c>
      <c r="BV386">
        <f t="shared" si="229"/>
        <v>755.25</v>
      </c>
      <c r="BW386" s="35">
        <f t="shared" si="230"/>
        <v>1.0837279380111925E-2</v>
      </c>
    </row>
    <row r="387" spans="17:75">
      <c r="R387" s="27"/>
      <c r="S387" s="27"/>
      <c r="W387" s="28"/>
      <c r="X387" s="28"/>
      <c r="Y387" s="28"/>
      <c r="AJ387" s="5" t="str">
        <f t="shared" si="233"/>
        <v>A6</v>
      </c>
      <c r="AK387">
        <f t="shared" si="234"/>
        <v>73860.5</v>
      </c>
      <c r="AL387" t="str">
        <f t="shared" si="235"/>
        <v>A5</v>
      </c>
      <c r="AM387">
        <f t="shared" si="236"/>
        <v>67829.5</v>
      </c>
      <c r="AN387" s="6">
        <f>ABS(ABS(AH386-AH385)-ABS(AH385-AH384))</f>
        <v>810</v>
      </c>
      <c r="AO387">
        <f t="shared" si="238"/>
        <v>70095</v>
      </c>
      <c r="AP387">
        <f t="shared" si="261"/>
        <v>69285</v>
      </c>
      <c r="AQ387" s="33">
        <f t="shared" si="239"/>
        <v>70500</v>
      </c>
      <c r="AR387" s="33">
        <f t="shared" si="240"/>
        <v>68880</v>
      </c>
      <c r="AS387">
        <f t="shared" si="241"/>
        <v>69892.5</v>
      </c>
      <c r="AT387" s="5">
        <f t="shared" si="242"/>
        <v>69487.5</v>
      </c>
      <c r="AU387" s="5">
        <f t="shared" si="243"/>
        <v>71310</v>
      </c>
      <c r="AV387" s="5">
        <f t="shared" si="244"/>
        <v>68070</v>
      </c>
      <c r="AW387" s="5">
        <f t="shared" si="245"/>
        <v>69825</v>
      </c>
      <c r="AX387" s="5">
        <f t="shared" si="246"/>
        <v>69555</v>
      </c>
      <c r="AY387" s="5">
        <f t="shared" si="247"/>
        <v>72120</v>
      </c>
      <c r="AZ387" s="5">
        <f t="shared" si="248"/>
        <v>67260</v>
      </c>
    </row>
    <row r="388" spans="17:75">
      <c r="R388" s="27"/>
      <c r="S388" s="27"/>
      <c r="W388" s="28"/>
      <c r="X388" s="28"/>
      <c r="Y388" s="28"/>
    </row>
    <row r="389" spans="17:75">
      <c r="R389" s="27"/>
      <c r="S389" s="27"/>
      <c r="W389" s="28"/>
      <c r="X389" s="28"/>
      <c r="Y389" s="28"/>
      <c r="AO389">
        <f>($AM$387+AO387)/(1+1)</f>
        <v>68962.25</v>
      </c>
      <c r="AP389">
        <f t="shared" ref="AP389:AT389" si="265">($AM$387+AP387)/(1+1)</f>
        <v>68557.25</v>
      </c>
      <c r="AQ389">
        <f t="shared" si="265"/>
        <v>69164.75</v>
      </c>
      <c r="AR389">
        <f t="shared" si="265"/>
        <v>68354.75</v>
      </c>
      <c r="AS389">
        <f t="shared" si="265"/>
        <v>68861</v>
      </c>
      <c r="AT389">
        <f t="shared" si="265"/>
        <v>68658.5</v>
      </c>
      <c r="AU389">
        <f>($AM$387+AU387)/(1+1)</f>
        <v>69569.75</v>
      </c>
      <c r="AV389">
        <f>($AM$387+AV387)/(1+1)</f>
        <v>67949.75</v>
      </c>
      <c r="AW389">
        <f t="shared" ref="AW389:AZ389" si="266">($AM$387+AW387)/(1+1)</f>
        <v>68827.25</v>
      </c>
      <c r="AX389">
        <f t="shared" si="266"/>
        <v>68692.25</v>
      </c>
      <c r="AY389">
        <f t="shared" si="266"/>
        <v>69974.75</v>
      </c>
      <c r="AZ389">
        <f t="shared" si="266"/>
        <v>67544.75</v>
      </c>
    </row>
    <row r="390" spans="17:75">
      <c r="R390" s="27"/>
      <c r="S390" s="27"/>
      <c r="W390" s="28"/>
      <c r="X390" s="28"/>
      <c r="Y390" s="28"/>
    </row>
    <row r="391" spans="17:75">
      <c r="R391" s="27"/>
      <c r="S391" s="27"/>
      <c r="W391" s="28"/>
      <c r="X391" s="28"/>
      <c r="Y391" s="28"/>
    </row>
    <row r="392" spans="17:75">
      <c r="R392" s="27"/>
      <c r="S392" s="27"/>
      <c r="W392" s="28"/>
      <c r="X392" s="28"/>
      <c r="Y392" s="28"/>
    </row>
    <row r="393" spans="17:75">
      <c r="R393" s="27"/>
      <c r="S393" s="27"/>
      <c r="V393" s="5"/>
      <c r="W393" s="28"/>
      <c r="X393" s="28"/>
      <c r="Y393" s="28"/>
    </row>
    <row r="394" spans="17:75">
      <c r="R394" s="27"/>
      <c r="S394" s="27"/>
      <c r="V394" s="5"/>
      <c r="W394" s="28"/>
      <c r="X394" s="28"/>
      <c r="Y394" s="28"/>
    </row>
    <row r="395" spans="17:75">
      <c r="R395" s="27"/>
      <c r="S395" s="27"/>
      <c r="V395" s="5"/>
      <c r="W395" s="28"/>
      <c r="X395" s="28"/>
      <c r="Y395" s="28"/>
    </row>
    <row r="396" spans="17:75">
      <c r="R396" s="27"/>
      <c r="S396" s="27"/>
      <c r="V396" s="5"/>
      <c r="W396" s="28"/>
      <c r="X396" s="28"/>
      <c r="Y396" s="28"/>
    </row>
    <row r="397" spans="17:75">
      <c r="R397" s="27"/>
      <c r="S397" s="27"/>
      <c r="V397" s="5"/>
      <c r="W397" s="28"/>
      <c r="X397" s="28"/>
      <c r="Y397" s="28"/>
    </row>
    <row r="398" spans="17:75">
      <c r="R398" s="27"/>
      <c r="S398" s="27"/>
      <c r="V398" s="5"/>
      <c r="W398" s="28"/>
      <c r="X398" s="28"/>
      <c r="Y398" s="28"/>
    </row>
    <row r="399" spans="17:75">
      <c r="R399" s="27"/>
      <c r="S399" s="27"/>
      <c r="V399" s="5"/>
      <c r="W399" s="28"/>
      <c r="X399" s="28"/>
      <c r="Y399" s="28"/>
    </row>
    <row r="400" spans="17:75">
      <c r="R400" s="27"/>
      <c r="S400" s="27"/>
      <c r="V400" s="5"/>
      <c r="W400" s="28"/>
      <c r="X400" s="28"/>
      <c r="Y400" s="28"/>
    </row>
    <row r="401" spans="18:27">
      <c r="R401" s="27"/>
      <c r="S401" s="27"/>
      <c r="V401" s="5"/>
      <c r="W401" s="28"/>
      <c r="X401" s="28"/>
      <c r="Y401" s="28"/>
    </row>
    <row r="402" spans="18:27">
      <c r="R402" s="27"/>
      <c r="S402" s="27"/>
      <c r="V402" s="5"/>
      <c r="W402" s="28"/>
      <c r="X402" s="28"/>
      <c r="Y402" s="28"/>
    </row>
    <row r="403" spans="18:27">
      <c r="R403" s="27"/>
      <c r="S403" s="27"/>
      <c r="V403" s="5"/>
      <c r="W403" s="28"/>
      <c r="X403" s="28"/>
      <c r="Y403" s="28"/>
    </row>
    <row r="404" spans="18:27">
      <c r="R404" s="27"/>
      <c r="S404" s="27"/>
      <c r="T404" s="5"/>
      <c r="U404" s="5"/>
      <c r="V404" s="5"/>
      <c r="Z404"/>
      <c r="AA404"/>
    </row>
    <row r="405" spans="18:27">
      <c r="R405" s="27"/>
      <c r="S405" s="27"/>
      <c r="T405" s="5"/>
      <c r="U405" s="5"/>
      <c r="V405" s="5"/>
      <c r="Z405"/>
      <c r="AA405"/>
    </row>
    <row r="406" spans="18:27">
      <c r="R406" s="27"/>
      <c r="S406" s="27"/>
      <c r="T406" s="5"/>
      <c r="U406" s="5"/>
      <c r="V406" s="5"/>
      <c r="Z406"/>
      <c r="AA406"/>
    </row>
    <row r="407" spans="18:27">
      <c r="R407" s="27"/>
      <c r="S407" s="27"/>
      <c r="T407" s="5"/>
      <c r="U407" s="5"/>
      <c r="V407" s="5"/>
      <c r="Z407"/>
      <c r="AA407"/>
    </row>
    <row r="408" spans="18:27">
      <c r="R408" s="27"/>
      <c r="S408" s="27"/>
      <c r="T408" s="5"/>
      <c r="U408" s="5"/>
      <c r="V408" s="5"/>
      <c r="Z408"/>
      <c r="AA408"/>
    </row>
    <row r="409" spans="18:27">
      <c r="R409" s="27"/>
      <c r="S409" s="27"/>
    </row>
    <row r="410" spans="18:27">
      <c r="R410" s="27"/>
      <c r="S410" s="27"/>
    </row>
    <row r="411" spans="18:27">
      <c r="R411" s="27"/>
      <c r="S411" s="27"/>
    </row>
    <row r="412" spans="18:27">
      <c r="R412" s="27"/>
      <c r="S412" s="27"/>
    </row>
    <row r="413" spans="18:27">
      <c r="R413" s="27"/>
      <c r="S413" s="27"/>
    </row>
  </sheetData>
  <mergeCells count="14">
    <mergeCell ref="BS2:BW2"/>
    <mergeCell ref="L3:L4"/>
    <mergeCell ref="M3:N3"/>
    <mergeCell ref="O3:O4"/>
    <mergeCell ref="G9:J9"/>
    <mergeCell ref="G10:G11"/>
    <mergeCell ref="H10:I10"/>
    <mergeCell ref="J10:J11"/>
    <mergeCell ref="L2:O2"/>
    <mergeCell ref="R2:T2"/>
    <mergeCell ref="W2:AA2"/>
    <mergeCell ref="AC2:AE2"/>
    <mergeCell ref="AG2:AZ2"/>
    <mergeCell ref="BB2:B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9F44-CE6C-4402-97D2-0F6DA6654B1F}">
  <dimension ref="A1:CO388"/>
  <sheetViews>
    <sheetView workbookViewId="0">
      <selection sqref="A1:XFD1048576"/>
    </sheetView>
  </sheetViews>
  <sheetFormatPr defaultRowHeight="15"/>
  <cols>
    <col min="1" max="1" width="11.28515625" customWidth="1"/>
    <col min="4" max="4" width="18.140625" customWidth="1"/>
    <col min="5" max="5" width="12" customWidth="1"/>
    <col min="8" max="8" width="14.140625" customWidth="1"/>
    <col min="9" max="9" width="15.7109375" customWidth="1"/>
    <col min="10" max="10" width="13.28515625" customWidth="1"/>
    <col min="13" max="13" width="14.7109375" customWidth="1"/>
    <col min="14" max="14" width="14.140625" customWidth="1"/>
    <col min="15" max="15" width="14.5703125" customWidth="1"/>
    <col min="18" max="18" width="18.42578125" style="4" customWidth="1"/>
    <col min="19" max="19" width="18.7109375" style="4" customWidth="1"/>
    <col min="20" max="21" width="13.5703125" style="4" customWidth="1"/>
    <col min="23" max="23" width="17.7109375" style="5" customWidth="1"/>
    <col min="24" max="24" width="17.85546875" style="5" customWidth="1"/>
    <col min="25" max="25" width="14.42578125" style="5" customWidth="1"/>
    <col min="26" max="27" width="9.140625" style="5"/>
    <col min="29" max="29" width="16.140625" customWidth="1"/>
    <col min="30" max="30" width="11.28515625" customWidth="1"/>
    <col min="31" max="31" width="16" customWidth="1"/>
    <col min="33" max="33" width="10.7109375" bestFit="1" customWidth="1"/>
    <col min="34" max="34" width="8.5703125" bestFit="1" customWidth="1"/>
    <col min="35" max="35" width="9" bestFit="1" customWidth="1"/>
    <col min="36" max="36" width="7.7109375" bestFit="1" customWidth="1"/>
    <col min="37" max="37" width="10.5703125" bestFit="1" customWidth="1"/>
    <col min="38" max="38" width="6.5703125" bestFit="1" customWidth="1"/>
    <col min="39" max="39" width="10.5703125" bestFit="1" customWidth="1"/>
    <col min="40" max="40" width="9.5703125" bestFit="1" customWidth="1"/>
    <col min="41" max="41" width="10.5703125" bestFit="1" customWidth="1"/>
    <col min="42" max="42" width="10.28515625" bestFit="1" customWidth="1"/>
    <col min="43" max="43" width="10.5703125" bestFit="1" customWidth="1"/>
    <col min="44" max="44" width="10.28515625" bestFit="1" customWidth="1"/>
    <col min="45" max="45" width="10.5703125" bestFit="1" customWidth="1"/>
    <col min="46" max="46" width="10.28515625" bestFit="1" customWidth="1"/>
    <col min="47" max="47" width="10.5703125" bestFit="1" customWidth="1"/>
    <col min="48" max="48" width="11.28515625" bestFit="1" customWidth="1"/>
    <col min="49" max="49" width="10.5703125" bestFit="1" customWidth="1"/>
    <col min="50" max="50" width="10.28515625" bestFit="1" customWidth="1"/>
    <col min="51" max="51" width="10.5703125" bestFit="1" customWidth="1"/>
    <col min="52" max="52" width="11.28515625" bestFit="1" customWidth="1"/>
    <col min="53" max="53" width="10.42578125" bestFit="1" customWidth="1"/>
    <col min="54" max="54" width="10.5703125" customWidth="1"/>
    <col min="55" max="55" width="16.85546875" bestFit="1" customWidth="1"/>
    <col min="56" max="56" width="14.42578125" bestFit="1" customWidth="1"/>
    <col min="57" max="57" width="6.7109375" bestFit="1" customWidth="1"/>
    <col min="58" max="58" width="9" bestFit="1" customWidth="1"/>
    <col min="59" max="59" width="12" bestFit="1" customWidth="1"/>
    <col min="60" max="60" width="6.140625" bestFit="1" customWidth="1"/>
    <col min="61" max="62" width="5.5703125" bestFit="1" customWidth="1"/>
    <col min="64" max="64" width="12.140625" customWidth="1"/>
    <col min="65" max="84" width="9.140625" style="37"/>
    <col min="87" max="87" width="9.5703125" bestFit="1" customWidth="1"/>
  </cols>
  <sheetData>
    <row r="1" spans="1:93">
      <c r="A1" s="1" t="s">
        <v>1</v>
      </c>
      <c r="B1" s="1" t="s">
        <v>2</v>
      </c>
      <c r="D1" s="3" t="s">
        <v>430</v>
      </c>
      <c r="E1" s="3"/>
    </row>
    <row r="2" spans="1:93">
      <c r="A2" s="1" t="s">
        <v>3</v>
      </c>
      <c r="B2" s="1">
        <v>51720</v>
      </c>
      <c r="G2" s="8" t="s">
        <v>431</v>
      </c>
      <c r="H2" s="9">
        <v>7000</v>
      </c>
      <c r="L2" s="10" t="s">
        <v>432</v>
      </c>
      <c r="M2" s="10"/>
      <c r="N2" s="10"/>
      <c r="O2" s="10"/>
      <c r="R2" s="11" t="s">
        <v>433</v>
      </c>
      <c r="S2" s="11"/>
      <c r="T2" s="11"/>
      <c r="U2" s="12"/>
      <c r="W2" s="13" t="s">
        <v>434</v>
      </c>
      <c r="X2" s="13"/>
      <c r="Y2" s="13"/>
      <c r="Z2" s="13"/>
      <c r="AA2" s="13"/>
      <c r="AC2" s="14" t="s">
        <v>435</v>
      </c>
      <c r="AD2" s="14"/>
      <c r="AE2" s="14"/>
      <c r="AG2" s="15" t="s">
        <v>512</v>
      </c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43"/>
      <c r="BC2" s="16" t="s">
        <v>438</v>
      </c>
      <c r="BD2" s="16"/>
      <c r="BE2" s="16"/>
      <c r="BF2" s="16"/>
      <c r="BG2" s="16"/>
      <c r="BL2" s="44" t="s">
        <v>513</v>
      </c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H2" s="45" t="s">
        <v>514</v>
      </c>
      <c r="CI2" s="45"/>
      <c r="CJ2" s="45"/>
      <c r="CK2" s="45"/>
      <c r="CL2" s="45"/>
    </row>
    <row r="3" spans="1:93" ht="30" customHeight="1">
      <c r="A3" s="1" t="s">
        <v>4</v>
      </c>
      <c r="B3" s="1">
        <v>51660</v>
      </c>
      <c r="D3" t="s">
        <v>439</v>
      </c>
      <c r="E3">
        <v>72579.73890339426</v>
      </c>
      <c r="G3" s="17" t="s">
        <v>440</v>
      </c>
      <c r="H3" s="18">
        <v>1000</v>
      </c>
      <c r="I3" s="5"/>
      <c r="J3" s="5"/>
      <c r="K3" s="5"/>
      <c r="L3" s="19" t="s">
        <v>441</v>
      </c>
      <c r="M3" s="19" t="s">
        <v>442</v>
      </c>
      <c r="N3" s="19"/>
      <c r="O3" s="19" t="s">
        <v>443</v>
      </c>
      <c r="P3" s="5"/>
      <c r="Q3" s="5"/>
      <c r="R3" s="5" t="s">
        <v>444</v>
      </c>
      <c r="S3" s="5" t="s">
        <v>445</v>
      </c>
      <c r="T3" s="5" t="s">
        <v>443</v>
      </c>
      <c r="U3" s="5"/>
      <c r="V3" s="5"/>
      <c r="W3" s="5" t="s">
        <v>444</v>
      </c>
      <c r="X3" s="20" t="s">
        <v>445</v>
      </c>
      <c r="Y3" s="5" t="s">
        <v>443</v>
      </c>
      <c r="Z3" s="20" t="s">
        <v>446</v>
      </c>
      <c r="AA3" s="20" t="s">
        <v>447</v>
      </c>
      <c r="AB3" s="5"/>
      <c r="AC3" s="20" t="s">
        <v>446</v>
      </c>
      <c r="AD3" s="5"/>
      <c r="AE3" s="20" t="s">
        <v>447</v>
      </c>
      <c r="AG3" s="5" t="s">
        <v>444</v>
      </c>
      <c r="AH3" s="46" t="s">
        <v>515</v>
      </c>
      <c r="AI3" s="5" t="s">
        <v>516</v>
      </c>
      <c r="AJ3" s="20" t="s">
        <v>446</v>
      </c>
      <c r="AK3" s="21" t="s">
        <v>450</v>
      </c>
      <c r="AL3" s="20" t="s">
        <v>447</v>
      </c>
      <c r="AM3" s="21" t="s">
        <v>451</v>
      </c>
      <c r="AN3" s="22" t="s">
        <v>452</v>
      </c>
      <c r="AO3" s="23" t="s">
        <v>453</v>
      </c>
      <c r="AP3" s="23" t="s">
        <v>454</v>
      </c>
      <c r="AQ3" s="23" t="s">
        <v>455</v>
      </c>
      <c r="AR3" s="23" t="s">
        <v>456</v>
      </c>
      <c r="AS3" s="23" t="s">
        <v>457</v>
      </c>
      <c r="AT3" s="23" t="s">
        <v>458</v>
      </c>
      <c r="AU3" s="23" t="s">
        <v>459</v>
      </c>
      <c r="AV3" s="23" t="s">
        <v>460</v>
      </c>
      <c r="AW3" s="23" t="s">
        <v>461</v>
      </c>
      <c r="AX3" s="23" t="s">
        <v>462</v>
      </c>
      <c r="AY3" s="23" t="s">
        <v>463</v>
      </c>
      <c r="AZ3" s="23" t="s">
        <v>464</v>
      </c>
      <c r="BA3" s="23" t="s">
        <v>465</v>
      </c>
      <c r="BB3" s="43"/>
      <c r="BC3" s="5" t="s">
        <v>445</v>
      </c>
      <c r="BD3" s="5" t="s">
        <v>517</v>
      </c>
      <c r="BE3" s="5" t="s">
        <v>466</v>
      </c>
      <c r="BF3" s="5" t="s">
        <v>467</v>
      </c>
      <c r="BG3" s="5" t="s">
        <v>468</v>
      </c>
      <c r="BH3" s="5"/>
      <c r="BI3" s="5"/>
      <c r="BJ3" s="5"/>
      <c r="BL3" s="5" t="s">
        <v>444</v>
      </c>
      <c r="BM3" s="43" t="s">
        <v>515</v>
      </c>
      <c r="BN3" s="43" t="s">
        <v>516</v>
      </c>
      <c r="BO3" s="47" t="s">
        <v>446</v>
      </c>
      <c r="BP3" s="47" t="s">
        <v>450</v>
      </c>
      <c r="BQ3" s="47" t="s">
        <v>447</v>
      </c>
      <c r="BR3" s="47" t="s">
        <v>451</v>
      </c>
      <c r="BS3" s="48" t="s">
        <v>452</v>
      </c>
      <c r="BT3" s="43" t="s">
        <v>453</v>
      </c>
      <c r="BU3" s="43" t="s">
        <v>454</v>
      </c>
      <c r="BV3" s="43" t="s">
        <v>455</v>
      </c>
      <c r="BW3" s="43" t="s">
        <v>456</v>
      </c>
      <c r="BX3" s="43" t="s">
        <v>457</v>
      </c>
      <c r="BY3" s="43" t="s">
        <v>458</v>
      </c>
      <c r="BZ3" s="43" t="s">
        <v>459</v>
      </c>
      <c r="CA3" s="43" t="s">
        <v>460</v>
      </c>
      <c r="CB3" s="43" t="s">
        <v>461</v>
      </c>
      <c r="CC3" s="43" t="s">
        <v>462</v>
      </c>
      <c r="CD3" s="43" t="s">
        <v>463</v>
      </c>
      <c r="CE3" s="43" t="s">
        <v>464</v>
      </c>
      <c r="CF3" s="43" t="s">
        <v>465</v>
      </c>
      <c r="CH3" s="20" t="s">
        <v>445</v>
      </c>
      <c r="CI3" s="20" t="s">
        <v>517</v>
      </c>
      <c r="CJ3" s="20" t="s">
        <v>466</v>
      </c>
      <c r="CK3" s="20" t="s">
        <v>467</v>
      </c>
      <c r="CL3" s="20" t="s">
        <v>468</v>
      </c>
      <c r="CM3" s="5"/>
      <c r="CN3" s="5"/>
      <c r="CO3" s="5"/>
    </row>
    <row r="4" spans="1:93">
      <c r="A4" s="1" t="s">
        <v>5</v>
      </c>
      <c r="B4" s="1">
        <v>54390</v>
      </c>
      <c r="D4" t="s">
        <v>469</v>
      </c>
      <c r="E4">
        <v>613.36344825504079</v>
      </c>
      <c r="G4" s="26" t="s">
        <v>470</v>
      </c>
      <c r="H4" s="9">
        <f>E12-H2</f>
        <v>40690</v>
      </c>
      <c r="I4">
        <f>E13+H3</f>
        <v>101000</v>
      </c>
      <c r="L4" s="19"/>
      <c r="M4" s="4" t="s">
        <v>471</v>
      </c>
      <c r="N4" s="4" t="s">
        <v>472</v>
      </c>
      <c r="O4" s="19"/>
      <c r="Q4">
        <v>1</v>
      </c>
      <c r="R4" s="27" t="str">
        <f>A2</f>
        <v>01/09/2023</v>
      </c>
      <c r="S4" s="27">
        <f>B2</f>
        <v>51720</v>
      </c>
      <c r="T4" s="4" t="str">
        <f>VLOOKUP(S4,$N$5:$O$14,2,TRUE)</f>
        <v>A2</v>
      </c>
      <c r="V4">
        <v>1</v>
      </c>
      <c r="W4" s="28" t="str">
        <f t="shared" ref="W4:Y67" si="0">R4</f>
        <v>01/09/2023</v>
      </c>
      <c r="X4" s="28">
        <f t="shared" si="0"/>
        <v>51720</v>
      </c>
      <c r="Y4" s="28" t="str">
        <f t="shared" si="0"/>
        <v>A2</v>
      </c>
      <c r="Z4" s="5" t="s">
        <v>475</v>
      </c>
      <c r="AA4" s="5" t="str">
        <f>Y4</f>
        <v>A2</v>
      </c>
      <c r="AC4" s="5" t="s">
        <v>473</v>
      </c>
      <c r="AD4" s="5" t="s">
        <v>474</v>
      </c>
      <c r="AE4" s="5">
        <v>0</v>
      </c>
      <c r="AG4" s="49" t="str">
        <f t="shared" ref="AG4:AI35" si="1">W4</f>
        <v>01/09/2023</v>
      </c>
      <c r="AH4" s="46">
        <f t="shared" si="1"/>
        <v>51720</v>
      </c>
      <c r="AI4" s="49" t="str">
        <f t="shared" si="1"/>
        <v>A2</v>
      </c>
      <c r="AJ4" s="49" t="str">
        <f>Z4</f>
        <v>-</v>
      </c>
      <c r="AK4" s="50"/>
      <c r="AL4" s="49" t="str">
        <f>AA4</f>
        <v>A2</v>
      </c>
      <c r="AM4" s="23" t="s">
        <v>475</v>
      </c>
      <c r="AN4" s="23" t="s">
        <v>475</v>
      </c>
      <c r="AO4" s="23" t="s">
        <v>475</v>
      </c>
      <c r="AP4" s="23" t="s">
        <v>475</v>
      </c>
      <c r="AQ4" s="23" t="s">
        <v>475</v>
      </c>
      <c r="AR4" s="23" t="s">
        <v>475</v>
      </c>
      <c r="AS4" s="23" t="s">
        <v>475</v>
      </c>
      <c r="AT4" s="23" t="s">
        <v>475</v>
      </c>
      <c r="AU4" s="23" t="s">
        <v>475</v>
      </c>
      <c r="AV4" s="23" t="s">
        <v>475</v>
      </c>
      <c r="AW4" s="23"/>
      <c r="AX4" s="23"/>
      <c r="AY4" s="23"/>
      <c r="AZ4" s="23"/>
      <c r="BA4" s="23" t="s">
        <v>475</v>
      </c>
      <c r="BB4" s="43"/>
      <c r="BC4" s="51">
        <f t="shared" ref="BC4:BC67" si="2">AH4</f>
        <v>51720</v>
      </c>
      <c r="BD4" s="52" t="str">
        <f>BA4</f>
        <v>-</v>
      </c>
      <c r="BL4" s="53" t="str">
        <f t="shared" ref="BL4:CA6" si="3">AG384</f>
        <v>17/09/2024</v>
      </c>
      <c r="BM4" s="54">
        <f t="shared" si="3"/>
        <v>72980</v>
      </c>
      <c r="BN4" s="54" t="str">
        <f t="shared" si="3"/>
        <v>A6</v>
      </c>
      <c r="BO4" s="54" t="str">
        <f t="shared" si="3"/>
        <v>A6</v>
      </c>
      <c r="BP4" s="54">
        <f t="shared" si="3"/>
        <v>73860.5</v>
      </c>
      <c r="BQ4" s="54" t="str">
        <f t="shared" si="3"/>
        <v>A6</v>
      </c>
      <c r="BR4" s="54">
        <f t="shared" si="3"/>
        <v>73860.5</v>
      </c>
      <c r="BS4" s="54">
        <f t="shared" si="3"/>
        <v>60</v>
      </c>
      <c r="BT4" s="54">
        <f t="shared" si="3"/>
        <v>73010</v>
      </c>
      <c r="BU4" s="54">
        <f t="shared" si="3"/>
        <v>72950</v>
      </c>
      <c r="BV4" s="54">
        <f t="shared" si="3"/>
        <v>73040</v>
      </c>
      <c r="BW4" s="54">
        <f t="shared" si="3"/>
        <v>72920</v>
      </c>
      <c r="BX4" s="54">
        <f t="shared" si="3"/>
        <v>72995</v>
      </c>
      <c r="BY4" s="54">
        <f t="shared" si="3"/>
        <v>72965</v>
      </c>
      <c r="BZ4" s="54">
        <f t="shared" si="3"/>
        <v>73100</v>
      </c>
      <c r="CA4" s="54">
        <f t="shared" si="3"/>
        <v>72860</v>
      </c>
      <c r="CB4" s="54">
        <f t="shared" ref="BS4:CF6" si="4">AW384</f>
        <v>72990</v>
      </c>
      <c r="CC4" s="54">
        <f t="shared" si="4"/>
        <v>72970</v>
      </c>
      <c r="CD4" s="54">
        <f t="shared" si="4"/>
        <v>73160</v>
      </c>
      <c r="CE4" s="54">
        <f t="shared" si="4"/>
        <v>72800</v>
      </c>
      <c r="CF4" s="54">
        <f t="shared" si="4"/>
        <v>73205.25</v>
      </c>
      <c r="CH4" s="47">
        <f>BM7</f>
        <v>69390</v>
      </c>
      <c r="CI4" s="23">
        <f>CF7</f>
        <v>68962.25</v>
      </c>
      <c r="CJ4" s="37">
        <f t="shared" ref="CJ4:CJ45" si="5">CH4-CI4</f>
        <v>427.75</v>
      </c>
      <c r="CK4">
        <f t="shared" ref="CK4:CK45" si="6">ABS(CJ4)</f>
        <v>427.75</v>
      </c>
      <c r="CL4">
        <f t="shared" ref="CL4:CL45" si="7">CK4/CH4</f>
        <v>6.1644329154056784E-3</v>
      </c>
    </row>
    <row r="5" spans="1:93">
      <c r="A5" s="1" t="s">
        <v>6</v>
      </c>
      <c r="B5" s="1">
        <v>50560</v>
      </c>
      <c r="D5" t="s">
        <v>476</v>
      </c>
      <c r="E5">
        <v>71840</v>
      </c>
      <c r="G5" s="36" t="s">
        <v>477</v>
      </c>
      <c r="H5" s="9">
        <f>LOG10(E15)</f>
        <v>2.5831987739686229</v>
      </c>
      <c r="L5">
        <v>1</v>
      </c>
      <c r="M5">
        <f>I12</f>
        <v>46721</v>
      </c>
      <c r="N5">
        <f>H12</f>
        <v>40690</v>
      </c>
      <c r="O5" s="4" t="s">
        <v>473</v>
      </c>
      <c r="Q5">
        <v>2</v>
      </c>
      <c r="R5" s="27" t="str">
        <f t="shared" ref="R5:S68" si="8">A3</f>
        <v>02/09/2023</v>
      </c>
      <c r="S5" s="27">
        <f t="shared" si="8"/>
        <v>51660</v>
      </c>
      <c r="T5" s="4" t="str">
        <f t="shared" ref="T5:T68" si="9">VLOOKUP(S5,$N$5:$O$14,2,TRUE)</f>
        <v>A2</v>
      </c>
      <c r="V5">
        <v>2</v>
      </c>
      <c r="W5" s="28" t="str">
        <f t="shared" si="0"/>
        <v>02/09/2023</v>
      </c>
      <c r="X5" s="28">
        <f t="shared" si="0"/>
        <v>51660</v>
      </c>
      <c r="Y5" s="28" t="str">
        <f t="shared" si="0"/>
        <v>A2</v>
      </c>
      <c r="Z5" s="5" t="str">
        <f>Y4</f>
        <v>A2</v>
      </c>
      <c r="AA5" s="5" t="str">
        <f t="shared" ref="AA5:AA68" si="10">Y5</f>
        <v>A2</v>
      </c>
      <c r="AC5" s="5" t="s">
        <v>478</v>
      </c>
      <c r="AD5" s="5" t="s">
        <v>474</v>
      </c>
      <c r="AE5" s="5" t="s">
        <v>479</v>
      </c>
      <c r="AG5" s="49" t="str">
        <f t="shared" si="1"/>
        <v>02/09/2023</v>
      </c>
      <c r="AH5" s="46">
        <f t="shared" si="1"/>
        <v>51660</v>
      </c>
      <c r="AI5" s="49" t="str">
        <f t="shared" si="1"/>
        <v>A2</v>
      </c>
      <c r="AJ5" s="49" t="str">
        <f>Z5</f>
        <v>A2</v>
      </c>
      <c r="AK5" s="50"/>
      <c r="AL5" s="49" t="str">
        <f>AA5</f>
        <v>A2</v>
      </c>
      <c r="AM5" s="23" t="s">
        <v>475</v>
      </c>
      <c r="AN5" s="23" t="s">
        <v>475</v>
      </c>
      <c r="AO5" s="23" t="s">
        <v>475</v>
      </c>
      <c r="AP5" s="23" t="s">
        <v>475</v>
      </c>
      <c r="AQ5" s="23" t="s">
        <v>475</v>
      </c>
      <c r="AR5" s="23" t="s">
        <v>475</v>
      </c>
      <c r="AS5" s="23" t="s">
        <v>475</v>
      </c>
      <c r="AT5" s="23" t="s">
        <v>475</v>
      </c>
      <c r="AU5" s="23" t="s">
        <v>475</v>
      </c>
      <c r="AV5" s="23" t="s">
        <v>475</v>
      </c>
      <c r="AW5" s="23"/>
      <c r="AX5" s="23"/>
      <c r="AY5" s="23"/>
      <c r="AZ5" s="23"/>
      <c r="BA5" s="23" t="s">
        <v>475</v>
      </c>
      <c r="BB5" s="43"/>
      <c r="BC5" s="51">
        <f t="shared" si="2"/>
        <v>51660</v>
      </c>
      <c r="BD5" s="52" t="str">
        <f t="shared" ref="BD5:BD68" si="11">BA5</f>
        <v>-</v>
      </c>
      <c r="BE5" s="37"/>
      <c r="BH5" s="38" t="s">
        <v>480</v>
      </c>
      <c r="BI5">
        <f>SUM(BG7:BG386)</f>
        <v>8.9805116559018145</v>
      </c>
      <c r="BL5" s="53" t="str">
        <f t="shared" si="3"/>
        <v>18/09/2024</v>
      </c>
      <c r="BM5" s="54">
        <f t="shared" si="3"/>
        <v>70930</v>
      </c>
      <c r="BN5" s="54" t="str">
        <f t="shared" si="3"/>
        <v>A6</v>
      </c>
      <c r="BO5" s="54" t="str">
        <f t="shared" si="3"/>
        <v>A6</v>
      </c>
      <c r="BP5" s="54">
        <f t="shared" si="3"/>
        <v>73860.5</v>
      </c>
      <c r="BQ5" s="54" t="str">
        <f t="shared" si="3"/>
        <v>A6</v>
      </c>
      <c r="BR5" s="54">
        <f t="shared" si="3"/>
        <v>73860.5</v>
      </c>
      <c r="BS5" s="54">
        <f t="shared" si="4"/>
        <v>1300</v>
      </c>
      <c r="BT5" s="54">
        <f t="shared" si="4"/>
        <v>71580</v>
      </c>
      <c r="BU5" s="54">
        <f t="shared" si="4"/>
        <v>70280</v>
      </c>
      <c r="BV5" s="54">
        <f t="shared" si="4"/>
        <v>72230</v>
      </c>
      <c r="BW5" s="54">
        <f t="shared" si="4"/>
        <v>69630</v>
      </c>
      <c r="BX5" s="54">
        <f t="shared" si="4"/>
        <v>71255</v>
      </c>
      <c r="BY5" s="54">
        <f t="shared" si="4"/>
        <v>70605</v>
      </c>
      <c r="BZ5" s="54">
        <f t="shared" si="4"/>
        <v>73530</v>
      </c>
      <c r="CA5" s="54">
        <f t="shared" si="4"/>
        <v>68330</v>
      </c>
      <c r="CB5" s="54">
        <f t="shared" si="4"/>
        <v>71146.666666666672</v>
      </c>
      <c r="CC5" s="54">
        <f t="shared" si="4"/>
        <v>70713.333333333328</v>
      </c>
      <c r="CD5" s="54">
        <f t="shared" si="4"/>
        <v>74830</v>
      </c>
      <c r="CE5" s="54">
        <f t="shared" si="4"/>
        <v>67030</v>
      </c>
      <c r="CF5" s="54">
        <f t="shared" si="4"/>
        <v>73435.25</v>
      </c>
      <c r="CH5" s="47">
        <f t="shared" ref="CH5:CH45" si="12">BM8</f>
        <v>69790</v>
      </c>
      <c r="CI5" s="23">
        <f t="shared" ref="CI5:CI15" si="13">CF8</f>
        <v>68844.75</v>
      </c>
      <c r="CJ5" s="37">
        <f t="shared" si="5"/>
        <v>945.25</v>
      </c>
      <c r="CK5">
        <f t="shared" si="6"/>
        <v>945.25</v>
      </c>
      <c r="CL5">
        <f t="shared" si="7"/>
        <v>1.3544204040693508E-2</v>
      </c>
      <c r="CM5" s="55" t="s">
        <v>480</v>
      </c>
      <c r="CN5">
        <f>SUM(CL4:CL45)</f>
        <v>1.2011495767253824</v>
      </c>
    </row>
    <row r="6" spans="1:93">
      <c r="A6" s="1" t="s">
        <v>7</v>
      </c>
      <c r="B6" s="1">
        <v>50750</v>
      </c>
      <c r="D6" t="s">
        <v>481</v>
      </c>
      <c r="E6">
        <v>69370</v>
      </c>
      <c r="G6" s="39" t="s">
        <v>482</v>
      </c>
      <c r="H6" s="9">
        <f>1+3.322*H5</f>
        <v>9.5813863271237647</v>
      </c>
      <c r="I6">
        <v>10</v>
      </c>
      <c r="L6">
        <v>2</v>
      </c>
      <c r="M6">
        <f t="shared" ref="M6:M14" si="14">I13</f>
        <v>52752</v>
      </c>
      <c r="N6">
        <f t="shared" ref="N6:N14" si="15">H13</f>
        <v>46721</v>
      </c>
      <c r="O6" s="4" t="s">
        <v>478</v>
      </c>
      <c r="Q6">
        <v>3</v>
      </c>
      <c r="R6" s="27" t="str">
        <f t="shared" si="8"/>
        <v>03/09/2023</v>
      </c>
      <c r="S6" s="27">
        <f t="shared" si="8"/>
        <v>54390</v>
      </c>
      <c r="T6" s="4" t="str">
        <f t="shared" si="9"/>
        <v>A3</v>
      </c>
      <c r="V6">
        <v>3</v>
      </c>
      <c r="W6" s="28" t="str">
        <f t="shared" si="0"/>
        <v>03/09/2023</v>
      </c>
      <c r="X6" s="28">
        <f t="shared" si="0"/>
        <v>54390</v>
      </c>
      <c r="Y6" s="28" t="str">
        <f t="shared" si="0"/>
        <v>A3</v>
      </c>
      <c r="Z6" s="5" t="str">
        <f t="shared" ref="Z6:Z69" si="16">Y5</f>
        <v>A2</v>
      </c>
      <c r="AA6" s="5" t="str">
        <f t="shared" si="10"/>
        <v>A3</v>
      </c>
      <c r="AC6" s="5" t="s">
        <v>483</v>
      </c>
      <c r="AD6" s="5" t="s">
        <v>474</v>
      </c>
      <c r="AE6" s="5" t="s">
        <v>484</v>
      </c>
      <c r="AG6" s="49" t="str">
        <f t="shared" si="1"/>
        <v>03/09/2023</v>
      </c>
      <c r="AH6" s="46">
        <f t="shared" si="1"/>
        <v>54390</v>
      </c>
      <c r="AI6" s="49" t="str">
        <f t="shared" si="1"/>
        <v>A3</v>
      </c>
      <c r="AJ6" s="49" t="str">
        <f t="shared" ref="AJ6:AJ69" si="17">AI5</f>
        <v>A2</v>
      </c>
      <c r="AK6" s="50">
        <f t="shared" ref="AK6:AM69" si="18">VLOOKUP(AJ6,$AC$18:$AD$27,2,FALSE)</f>
        <v>49736.5</v>
      </c>
      <c r="AL6" s="49" t="str">
        <f>AI6</f>
        <v>A3</v>
      </c>
      <c r="AM6" s="50">
        <f t="shared" si="18"/>
        <v>55767.5</v>
      </c>
      <c r="AN6" s="56">
        <f>ABS(ABS(AH6-AH5)-ABS(AH5-AH4))</f>
        <v>2670</v>
      </c>
      <c r="AO6" s="57">
        <f>AH6+AN6/2</f>
        <v>55725</v>
      </c>
      <c r="AP6" s="23">
        <f t="shared" ref="AP6:AP69" si="19">AH6-AN6/2</f>
        <v>53055</v>
      </c>
      <c r="AQ6" s="23">
        <f t="shared" ref="AQ6:AQ69" si="20">AH6+AN6</f>
        <v>57060</v>
      </c>
      <c r="AR6" s="23">
        <f t="shared" ref="AR6:AR69" si="21">AH6-AN6</f>
        <v>51720</v>
      </c>
      <c r="AS6" s="23">
        <f t="shared" ref="AS6:AS69" si="22">AH6+AN6/4</f>
        <v>55057.5</v>
      </c>
      <c r="AT6" s="23">
        <f t="shared" ref="AT6:AT69" si="23">AH6-AN6/4</f>
        <v>53722.5</v>
      </c>
      <c r="AU6" s="23">
        <f t="shared" ref="AU6:AU69" si="24">AH6+2*AN6</f>
        <v>59730</v>
      </c>
      <c r="AV6" s="23">
        <f t="shared" ref="AV6:AV69" si="25">AH6-2*AN6</f>
        <v>49050</v>
      </c>
      <c r="AW6" s="23">
        <f t="shared" ref="AW6:AW69" si="26">AH6+AN6/6</f>
        <v>54835</v>
      </c>
      <c r="AX6" s="23">
        <f t="shared" ref="AX6:AX69" si="27">AH6-AN6/6</f>
        <v>53945</v>
      </c>
      <c r="AY6" s="23">
        <f t="shared" ref="AY6:AY69" si="28">AH6+3*AN6</f>
        <v>62400</v>
      </c>
      <c r="AZ6" s="23">
        <f t="shared" ref="AZ6:AZ69" si="29">AH6-3*AN6</f>
        <v>46380</v>
      </c>
      <c r="BA6" s="23" t="s">
        <v>475</v>
      </c>
      <c r="BB6" s="43"/>
      <c r="BC6" s="51">
        <f t="shared" si="2"/>
        <v>54390</v>
      </c>
      <c r="BD6" s="52" t="str">
        <f t="shared" si="11"/>
        <v>-</v>
      </c>
      <c r="BE6" s="37"/>
      <c r="BH6" s="38" t="s">
        <v>485</v>
      </c>
      <c r="BI6">
        <f>AVERAGE(BG7:BG386)</f>
        <v>2.3632925410267933E-2</v>
      </c>
      <c r="BJ6">
        <f>BI6*100</f>
        <v>2.3632925410267935</v>
      </c>
      <c r="BL6" s="53" t="str">
        <f>AG386</f>
        <v>19/09/2024</v>
      </c>
      <c r="BM6" s="54">
        <f t="shared" si="3"/>
        <v>69690</v>
      </c>
      <c r="BN6" s="54" t="str">
        <f t="shared" si="3"/>
        <v>A5</v>
      </c>
      <c r="BO6" s="54" t="str">
        <f t="shared" si="3"/>
        <v>A6</v>
      </c>
      <c r="BP6" s="54">
        <f t="shared" si="3"/>
        <v>73860.5</v>
      </c>
      <c r="BQ6" s="54" t="str">
        <f t="shared" si="3"/>
        <v>A5</v>
      </c>
      <c r="BR6" s="54">
        <f t="shared" si="3"/>
        <v>67829.5</v>
      </c>
      <c r="BS6" s="54">
        <f t="shared" si="4"/>
        <v>810</v>
      </c>
      <c r="BT6" s="54">
        <f t="shared" si="4"/>
        <v>70095</v>
      </c>
      <c r="BU6" s="54">
        <f t="shared" si="4"/>
        <v>69285</v>
      </c>
      <c r="BV6" s="54">
        <f t="shared" si="4"/>
        <v>70500</v>
      </c>
      <c r="BW6" s="54">
        <f t="shared" si="4"/>
        <v>68880</v>
      </c>
      <c r="BX6" s="54">
        <f t="shared" si="4"/>
        <v>69892.5</v>
      </c>
      <c r="BY6" s="54">
        <f t="shared" si="4"/>
        <v>69487.5</v>
      </c>
      <c r="BZ6" s="54">
        <f t="shared" si="4"/>
        <v>71310</v>
      </c>
      <c r="CA6" s="54">
        <f t="shared" si="4"/>
        <v>68070</v>
      </c>
      <c r="CB6" s="54">
        <f t="shared" si="4"/>
        <v>69825</v>
      </c>
      <c r="CC6" s="54">
        <f t="shared" si="4"/>
        <v>69555</v>
      </c>
      <c r="CD6" s="54">
        <f t="shared" si="4"/>
        <v>72120</v>
      </c>
      <c r="CE6" s="54">
        <f t="shared" si="4"/>
        <v>67260</v>
      </c>
      <c r="CF6" s="54">
        <f>BA386</f>
        <v>72720.25</v>
      </c>
      <c r="CH6" s="47">
        <f t="shared" si="12"/>
        <v>71770</v>
      </c>
      <c r="CI6" s="23">
        <f t="shared" si="13"/>
        <v>68834.75</v>
      </c>
      <c r="CJ6" s="37">
        <f t="shared" si="5"/>
        <v>2935.25</v>
      </c>
      <c r="CK6">
        <f t="shared" si="6"/>
        <v>2935.25</v>
      </c>
      <c r="CL6">
        <f t="shared" si="7"/>
        <v>4.0898007524035114E-2</v>
      </c>
      <c r="CM6" s="55" t="s">
        <v>485</v>
      </c>
      <c r="CN6">
        <f>AVERAGE(CL4:CL45)</f>
        <v>2.8598799445842437E-2</v>
      </c>
      <c r="CO6">
        <f>CN6*100</f>
        <v>2.8598799445842435</v>
      </c>
    </row>
    <row r="7" spans="1:93">
      <c r="A7" s="1" t="s">
        <v>8</v>
      </c>
      <c r="B7" s="1">
        <v>50410</v>
      </c>
      <c r="D7" t="s">
        <v>486</v>
      </c>
      <c r="E7">
        <v>12003.759312314842</v>
      </c>
      <c r="G7" s="39" t="s">
        <v>487</v>
      </c>
      <c r="H7" s="9">
        <f>(I4-H4)/I6</f>
        <v>6031</v>
      </c>
      <c r="L7">
        <v>3</v>
      </c>
      <c r="M7">
        <f t="shared" si="14"/>
        <v>58783</v>
      </c>
      <c r="N7">
        <f t="shared" si="15"/>
        <v>52752</v>
      </c>
      <c r="O7" s="4" t="s">
        <v>483</v>
      </c>
      <c r="Q7">
        <v>4</v>
      </c>
      <c r="R7" s="27" t="str">
        <f t="shared" si="8"/>
        <v>04/09/2023</v>
      </c>
      <c r="S7" s="27">
        <f t="shared" si="8"/>
        <v>50560</v>
      </c>
      <c r="T7" s="4" t="str">
        <f t="shared" si="9"/>
        <v>A2</v>
      </c>
      <c r="V7">
        <v>4</v>
      </c>
      <c r="W7" s="28" t="str">
        <f t="shared" si="0"/>
        <v>04/09/2023</v>
      </c>
      <c r="X7" s="28">
        <f t="shared" si="0"/>
        <v>50560</v>
      </c>
      <c r="Y7" s="28" t="str">
        <f t="shared" si="0"/>
        <v>A2</v>
      </c>
      <c r="Z7" s="5" t="str">
        <f>Y6</f>
        <v>A3</v>
      </c>
      <c r="AA7" s="5" t="str">
        <f t="shared" si="10"/>
        <v>A2</v>
      </c>
      <c r="AC7" s="5" t="s">
        <v>488</v>
      </c>
      <c r="AD7" s="5" t="s">
        <v>474</v>
      </c>
      <c r="AE7" s="5" t="s">
        <v>489</v>
      </c>
      <c r="AG7" s="49" t="str">
        <f t="shared" si="1"/>
        <v>04/09/2023</v>
      </c>
      <c r="AH7" s="46">
        <f t="shared" si="1"/>
        <v>50560</v>
      </c>
      <c r="AI7" s="49" t="str">
        <f t="shared" si="1"/>
        <v>A2</v>
      </c>
      <c r="AJ7" s="49" t="str">
        <f t="shared" si="17"/>
        <v>A3</v>
      </c>
      <c r="AK7" s="50">
        <f t="shared" si="18"/>
        <v>55767.5</v>
      </c>
      <c r="AL7" s="49" t="str">
        <f t="shared" ref="AL7:AL70" si="30">AI7</f>
        <v>A2</v>
      </c>
      <c r="AM7" s="50">
        <f t="shared" si="18"/>
        <v>49736.5</v>
      </c>
      <c r="AN7" s="56">
        <f t="shared" ref="AN7:AN70" si="31">ABS(ABS(AH7-AH6)-ABS(AH6-AH5))</f>
        <v>1100</v>
      </c>
      <c r="AO7" s="57">
        <f t="shared" ref="AO7:AO70" si="32">AH7+AN7/2</f>
        <v>51110</v>
      </c>
      <c r="AP7" s="23">
        <f t="shared" si="19"/>
        <v>50010</v>
      </c>
      <c r="AQ7" s="23">
        <f t="shared" si="20"/>
        <v>51660</v>
      </c>
      <c r="AR7" s="23">
        <f t="shared" si="21"/>
        <v>49460</v>
      </c>
      <c r="AS7" s="23">
        <f t="shared" si="22"/>
        <v>50835</v>
      </c>
      <c r="AT7" s="23">
        <f t="shared" si="23"/>
        <v>50285</v>
      </c>
      <c r="AU7" s="23">
        <f t="shared" si="24"/>
        <v>52760</v>
      </c>
      <c r="AV7" s="23">
        <f t="shared" si="25"/>
        <v>48360</v>
      </c>
      <c r="AW7" s="23">
        <f t="shared" si="26"/>
        <v>50743.333333333336</v>
      </c>
      <c r="AX7" s="23">
        <f t="shared" si="27"/>
        <v>50376.666666666664</v>
      </c>
      <c r="AY7" s="23">
        <f t="shared" si="28"/>
        <v>53860</v>
      </c>
      <c r="AZ7" s="23">
        <f t="shared" si="29"/>
        <v>47260</v>
      </c>
      <c r="BA7" s="23">
        <f>(AO6+AM7)/(1+1)</f>
        <v>52730.75</v>
      </c>
      <c r="BB7" s="43"/>
      <c r="BC7" s="51">
        <f t="shared" si="2"/>
        <v>50560</v>
      </c>
      <c r="BD7" s="52">
        <f t="shared" si="11"/>
        <v>52730.75</v>
      </c>
      <c r="BE7" s="37">
        <f t="shared" ref="BE7:BE70" si="33">BC7-BD7</f>
        <v>-2170.75</v>
      </c>
      <c r="BF7">
        <f t="shared" ref="BF7:BF70" si="34">ABS(BE7)</f>
        <v>2170.75</v>
      </c>
      <c r="BG7">
        <f t="shared" ref="BG7:BG70" si="35">BF7/BC7</f>
        <v>4.2934137658227851E-2</v>
      </c>
      <c r="BH7" s="38"/>
      <c r="BI7">
        <f>(BI5/380)*100</f>
        <v>2.3632925410267935</v>
      </c>
      <c r="BL7" s="1" t="s">
        <v>386</v>
      </c>
      <c r="BM7" s="1">
        <v>69390</v>
      </c>
      <c r="BN7" s="58" t="str">
        <f t="shared" ref="BN7:BN48" si="36">VLOOKUP(BM7,$N$5:$O$14,2,TRUE)</f>
        <v>A5</v>
      </c>
      <c r="BO7" s="43" t="str">
        <f>BN6</f>
        <v>A5</v>
      </c>
      <c r="BP7" s="43">
        <f t="shared" ref="BP7:BP48" si="37">VLOOKUP(BO7,$AC$16:$AD$25,2,FALSE)</f>
        <v>67829.5</v>
      </c>
      <c r="BQ7" s="43" t="str">
        <f>BN7</f>
        <v>A5</v>
      </c>
      <c r="BR7" s="43">
        <f t="shared" ref="BR7:BR48" si="38">VLOOKUP(BQ7,$AC$16:$AD$25,2,FALSE)</f>
        <v>67829.5</v>
      </c>
      <c r="BS7" s="59">
        <f t="shared" ref="BS7:BS48" si="39">ABS(ABS(BM7-BM6)-ABS(BM6-BM5))</f>
        <v>940</v>
      </c>
      <c r="BT7" s="60">
        <f>BM7+BS7/2</f>
        <v>69860</v>
      </c>
      <c r="BU7" s="43">
        <f t="shared" ref="BU7:BU48" si="40">BM7-BS7/2</f>
        <v>68920</v>
      </c>
      <c r="BV7" s="43">
        <f t="shared" ref="BV7:BV48" si="41">BM7+BS7</f>
        <v>70330</v>
      </c>
      <c r="BW7" s="43">
        <f t="shared" ref="BW7:BW48" si="42">BM7-BS7</f>
        <v>68450</v>
      </c>
      <c r="BX7" s="43">
        <f t="shared" ref="BX7:BX48" si="43">BM7+BS7/4</f>
        <v>69625</v>
      </c>
      <c r="BY7" s="43">
        <f t="shared" ref="BY7:BY48" si="44">BM7-BS7/4</f>
        <v>69155</v>
      </c>
      <c r="BZ7" s="43">
        <f t="shared" ref="BZ7:BZ48" si="45">BM7+2*BS7</f>
        <v>71270</v>
      </c>
      <c r="CA7" s="43">
        <f t="shared" ref="CA7:CA48" si="46">BM7-2*BS7</f>
        <v>67510</v>
      </c>
      <c r="CB7" s="43">
        <f t="shared" ref="CB7:CB48" si="47">BM7+BS7/6</f>
        <v>69546.666666666672</v>
      </c>
      <c r="CC7" s="43">
        <f t="shared" ref="CC7:CC48" si="48">BM7-BS7/6</f>
        <v>69233.333333333328</v>
      </c>
      <c r="CD7" s="43">
        <f t="shared" ref="CD7:CD48" si="49">BM7+3*BS7</f>
        <v>72210</v>
      </c>
      <c r="CE7" s="43">
        <f t="shared" ref="CE7:CE48" si="50">BM7-3*BS7</f>
        <v>66570</v>
      </c>
      <c r="CF7" s="37">
        <f>(BR6+BT6)/(1+1)</f>
        <v>68962.25</v>
      </c>
      <c r="CH7" s="47">
        <f t="shared" si="12"/>
        <v>71440</v>
      </c>
      <c r="CI7" s="23">
        <f t="shared" si="13"/>
        <v>73210.25</v>
      </c>
      <c r="CJ7" s="37">
        <f t="shared" si="5"/>
        <v>-1770.25</v>
      </c>
      <c r="CK7">
        <f t="shared" si="6"/>
        <v>1770.25</v>
      </c>
      <c r="CL7">
        <f t="shared" si="7"/>
        <v>2.4779535274356102E-2</v>
      </c>
      <c r="CM7" s="55"/>
      <c r="CN7">
        <f>(CN5/42)*100</f>
        <v>2.8598799445842435</v>
      </c>
    </row>
    <row r="8" spans="1:93">
      <c r="A8" s="1" t="s">
        <v>9</v>
      </c>
      <c r="B8" s="1">
        <v>50690</v>
      </c>
      <c r="D8" t="s">
        <v>490</v>
      </c>
      <c r="E8">
        <v>144090237.6279853</v>
      </c>
      <c r="L8">
        <v>4</v>
      </c>
      <c r="M8">
        <f t="shared" si="14"/>
        <v>64814</v>
      </c>
      <c r="N8">
        <f t="shared" si="15"/>
        <v>58783</v>
      </c>
      <c r="O8" s="4" t="s">
        <v>488</v>
      </c>
      <c r="Q8">
        <v>5</v>
      </c>
      <c r="R8" s="27" t="str">
        <f t="shared" si="8"/>
        <v>05/09/2023</v>
      </c>
      <c r="S8" s="27">
        <f t="shared" si="8"/>
        <v>50750</v>
      </c>
      <c r="T8" s="4" t="str">
        <f t="shared" si="9"/>
        <v>A2</v>
      </c>
      <c r="V8">
        <v>5</v>
      </c>
      <c r="W8" s="28" t="str">
        <f t="shared" si="0"/>
        <v>05/09/2023</v>
      </c>
      <c r="X8" s="28">
        <f t="shared" si="0"/>
        <v>50750</v>
      </c>
      <c r="Y8" s="28" t="str">
        <f t="shared" si="0"/>
        <v>A2</v>
      </c>
      <c r="Z8" s="5" t="str">
        <f t="shared" si="16"/>
        <v>A2</v>
      </c>
      <c r="AA8" s="5" t="str">
        <f t="shared" si="10"/>
        <v>A2</v>
      </c>
      <c r="AC8" s="5" t="s">
        <v>491</v>
      </c>
      <c r="AD8" s="5" t="s">
        <v>474</v>
      </c>
      <c r="AE8" s="5" t="s">
        <v>492</v>
      </c>
      <c r="AG8" s="49" t="str">
        <f t="shared" si="1"/>
        <v>05/09/2023</v>
      </c>
      <c r="AH8" s="46">
        <f t="shared" si="1"/>
        <v>50750</v>
      </c>
      <c r="AI8" s="49" t="str">
        <f t="shared" si="1"/>
        <v>A2</v>
      </c>
      <c r="AJ8" s="49" t="str">
        <f t="shared" si="17"/>
        <v>A2</v>
      </c>
      <c r="AK8" s="50">
        <f t="shared" si="18"/>
        <v>49736.5</v>
      </c>
      <c r="AL8" s="49" t="str">
        <f t="shared" si="30"/>
        <v>A2</v>
      </c>
      <c r="AM8" s="50">
        <f t="shared" si="18"/>
        <v>49736.5</v>
      </c>
      <c r="AN8" s="56">
        <f t="shared" si="31"/>
        <v>3640</v>
      </c>
      <c r="AO8" s="23">
        <f t="shared" si="32"/>
        <v>52570</v>
      </c>
      <c r="AP8" s="57">
        <f t="shared" si="19"/>
        <v>48930</v>
      </c>
      <c r="AQ8" s="23">
        <f t="shared" si="20"/>
        <v>54390</v>
      </c>
      <c r="AR8" s="23">
        <f t="shared" si="21"/>
        <v>47110</v>
      </c>
      <c r="AS8" s="23">
        <f t="shared" si="22"/>
        <v>51660</v>
      </c>
      <c r="AT8" s="23">
        <f t="shared" si="23"/>
        <v>49840</v>
      </c>
      <c r="AU8" s="23">
        <f t="shared" si="24"/>
        <v>58030</v>
      </c>
      <c r="AV8" s="23">
        <f t="shared" si="25"/>
        <v>43470</v>
      </c>
      <c r="AW8" s="23">
        <f t="shared" si="26"/>
        <v>51356.666666666664</v>
      </c>
      <c r="AX8" s="23">
        <f t="shared" si="27"/>
        <v>50143.333333333336</v>
      </c>
      <c r="AY8" s="23">
        <f t="shared" si="28"/>
        <v>61670</v>
      </c>
      <c r="AZ8" s="23">
        <f t="shared" si="29"/>
        <v>39830</v>
      </c>
      <c r="BA8" s="23">
        <f t="shared" ref="BA8:BA71" si="51">(AO7+AM7)/(1+1)</f>
        <v>50423.25</v>
      </c>
      <c r="BB8" s="43"/>
      <c r="BC8" s="51">
        <f t="shared" si="2"/>
        <v>50750</v>
      </c>
      <c r="BD8" s="52">
        <f t="shared" si="11"/>
        <v>50423.25</v>
      </c>
      <c r="BE8" s="37">
        <f t="shared" si="33"/>
        <v>326.75</v>
      </c>
      <c r="BF8">
        <f t="shared" si="34"/>
        <v>326.75</v>
      </c>
      <c r="BG8">
        <f t="shared" si="35"/>
        <v>6.438423645320197E-3</v>
      </c>
      <c r="BL8" s="1" t="s">
        <v>387</v>
      </c>
      <c r="BM8" s="1">
        <v>69790</v>
      </c>
      <c r="BN8" s="58" t="str">
        <f t="shared" si="36"/>
        <v>A5</v>
      </c>
      <c r="BO8" s="43" t="str">
        <f t="shared" ref="BO8:BO48" si="52">BN7</f>
        <v>A5</v>
      </c>
      <c r="BP8" s="43">
        <f t="shared" si="37"/>
        <v>67829.5</v>
      </c>
      <c r="BQ8" s="43" t="str">
        <f t="shared" ref="BQ8:BQ48" si="53">BN8</f>
        <v>A5</v>
      </c>
      <c r="BR8" s="43">
        <f t="shared" si="38"/>
        <v>67829.5</v>
      </c>
      <c r="BS8" s="59">
        <f t="shared" si="39"/>
        <v>100</v>
      </c>
      <c r="BT8" s="60">
        <f t="shared" ref="BT8:BT48" si="54">BM8+BS8/2</f>
        <v>69840</v>
      </c>
      <c r="BU8" s="43">
        <f t="shared" si="40"/>
        <v>69740</v>
      </c>
      <c r="BV8" s="43">
        <f t="shared" si="41"/>
        <v>69890</v>
      </c>
      <c r="BW8" s="43">
        <f t="shared" si="42"/>
        <v>69690</v>
      </c>
      <c r="BX8" s="43">
        <f t="shared" si="43"/>
        <v>69815</v>
      </c>
      <c r="BY8" s="43">
        <f t="shared" si="44"/>
        <v>69765</v>
      </c>
      <c r="BZ8" s="43">
        <f t="shared" si="45"/>
        <v>69990</v>
      </c>
      <c r="CA8" s="43">
        <f t="shared" si="46"/>
        <v>69590</v>
      </c>
      <c r="CB8" s="43">
        <f t="shared" si="47"/>
        <v>69806.666666666672</v>
      </c>
      <c r="CC8" s="43">
        <f t="shared" si="48"/>
        <v>69773.333333333328</v>
      </c>
      <c r="CD8" s="43">
        <f t="shared" si="49"/>
        <v>70090</v>
      </c>
      <c r="CE8" s="43">
        <f t="shared" si="50"/>
        <v>69490</v>
      </c>
      <c r="CF8" s="37">
        <f t="shared" ref="CF8:CF18" si="55">(BR7+BT7)/(1+1)</f>
        <v>68844.75</v>
      </c>
      <c r="CH8" s="47">
        <f t="shared" si="12"/>
        <v>70770</v>
      </c>
      <c r="CI8" s="23">
        <f t="shared" si="13"/>
        <v>73062.75</v>
      </c>
      <c r="CJ8" s="37">
        <f t="shared" si="5"/>
        <v>-2292.75</v>
      </c>
      <c r="CK8">
        <f t="shared" si="6"/>
        <v>2292.75</v>
      </c>
      <c r="CL8">
        <f t="shared" si="7"/>
        <v>3.2397202204323863E-2</v>
      </c>
    </row>
    <row r="9" spans="1:93">
      <c r="A9" s="1" t="s">
        <v>10</v>
      </c>
      <c r="B9" s="1">
        <v>50820</v>
      </c>
      <c r="D9" t="s">
        <v>493</v>
      </c>
      <c r="E9">
        <v>-0.50387091131485606</v>
      </c>
      <c r="G9" s="41" t="s">
        <v>494</v>
      </c>
      <c r="H9" s="41"/>
      <c r="I9" s="41"/>
      <c r="J9" s="41"/>
      <c r="L9">
        <v>5</v>
      </c>
      <c r="M9">
        <f t="shared" si="14"/>
        <v>70845</v>
      </c>
      <c r="N9">
        <f t="shared" si="15"/>
        <v>64814</v>
      </c>
      <c r="O9" s="4" t="s">
        <v>491</v>
      </c>
      <c r="Q9">
        <v>6</v>
      </c>
      <c r="R9" s="27" t="str">
        <f t="shared" si="8"/>
        <v>06/09/2023</v>
      </c>
      <c r="S9" s="27">
        <f t="shared" si="8"/>
        <v>50410</v>
      </c>
      <c r="T9" s="4" t="str">
        <f t="shared" si="9"/>
        <v>A2</v>
      </c>
      <c r="V9">
        <v>6</v>
      </c>
      <c r="W9" s="28" t="str">
        <f t="shared" si="0"/>
        <v>06/09/2023</v>
      </c>
      <c r="X9" s="28">
        <f t="shared" si="0"/>
        <v>50410</v>
      </c>
      <c r="Y9" s="28" t="str">
        <f t="shared" si="0"/>
        <v>A2</v>
      </c>
      <c r="Z9" s="5" t="str">
        <f t="shared" si="16"/>
        <v>A2</v>
      </c>
      <c r="AA9" s="5" t="str">
        <f t="shared" si="10"/>
        <v>A2</v>
      </c>
      <c r="AC9" s="5" t="s">
        <v>495</v>
      </c>
      <c r="AD9" s="5" t="s">
        <v>474</v>
      </c>
      <c r="AE9" s="5" t="s">
        <v>496</v>
      </c>
      <c r="AG9" s="49" t="str">
        <f t="shared" si="1"/>
        <v>06/09/2023</v>
      </c>
      <c r="AH9" s="46">
        <f t="shared" si="1"/>
        <v>50410</v>
      </c>
      <c r="AI9" s="49" t="str">
        <f t="shared" si="1"/>
        <v>A2</v>
      </c>
      <c r="AJ9" s="49" t="str">
        <f t="shared" si="17"/>
        <v>A2</v>
      </c>
      <c r="AK9" s="50">
        <f t="shared" si="18"/>
        <v>49736.5</v>
      </c>
      <c r="AL9" s="49" t="str">
        <f t="shared" si="30"/>
        <v>A2</v>
      </c>
      <c r="AM9" s="50">
        <f t="shared" si="18"/>
        <v>49736.5</v>
      </c>
      <c r="AN9" s="56">
        <f t="shared" si="31"/>
        <v>150</v>
      </c>
      <c r="AO9" s="57">
        <f t="shared" si="32"/>
        <v>50485</v>
      </c>
      <c r="AP9" s="23">
        <f t="shared" si="19"/>
        <v>50335</v>
      </c>
      <c r="AQ9" s="23">
        <f t="shared" si="20"/>
        <v>50560</v>
      </c>
      <c r="AR9" s="23">
        <f t="shared" si="21"/>
        <v>50260</v>
      </c>
      <c r="AS9" s="23">
        <f t="shared" si="22"/>
        <v>50447.5</v>
      </c>
      <c r="AT9" s="23">
        <f t="shared" si="23"/>
        <v>50372.5</v>
      </c>
      <c r="AU9" s="23">
        <f t="shared" si="24"/>
        <v>50710</v>
      </c>
      <c r="AV9" s="23">
        <f t="shared" si="25"/>
        <v>50110</v>
      </c>
      <c r="AW9" s="23">
        <f t="shared" si="26"/>
        <v>50435</v>
      </c>
      <c r="AX9" s="23">
        <f t="shared" si="27"/>
        <v>50385</v>
      </c>
      <c r="AY9" s="23">
        <f t="shared" si="28"/>
        <v>50860</v>
      </c>
      <c r="AZ9" s="23">
        <f t="shared" si="29"/>
        <v>49960</v>
      </c>
      <c r="BA9" s="23">
        <f t="shared" si="51"/>
        <v>51153.25</v>
      </c>
      <c r="BB9" s="43"/>
      <c r="BC9" s="51">
        <f t="shared" si="2"/>
        <v>50410</v>
      </c>
      <c r="BD9" s="52">
        <f t="shared" si="11"/>
        <v>51153.25</v>
      </c>
      <c r="BE9" s="37">
        <f t="shared" si="33"/>
        <v>-743.25</v>
      </c>
      <c r="BF9">
        <f t="shared" si="34"/>
        <v>743.25</v>
      </c>
      <c r="BG9">
        <f t="shared" si="35"/>
        <v>1.4744098393175958E-2</v>
      </c>
      <c r="BL9" s="1" t="s">
        <v>388</v>
      </c>
      <c r="BM9" s="1">
        <v>71770</v>
      </c>
      <c r="BN9" s="58" t="str">
        <f t="shared" si="36"/>
        <v>A6</v>
      </c>
      <c r="BO9" s="43" t="str">
        <f t="shared" si="52"/>
        <v>A5</v>
      </c>
      <c r="BP9" s="43">
        <f t="shared" si="37"/>
        <v>67829.5</v>
      </c>
      <c r="BQ9" s="43" t="str">
        <f t="shared" si="53"/>
        <v>A6</v>
      </c>
      <c r="BR9" s="43">
        <f t="shared" si="38"/>
        <v>73860.5</v>
      </c>
      <c r="BS9" s="59">
        <f t="shared" si="39"/>
        <v>1580</v>
      </c>
      <c r="BT9" s="60">
        <f t="shared" si="54"/>
        <v>72560</v>
      </c>
      <c r="BU9" s="43">
        <f t="shared" si="40"/>
        <v>70980</v>
      </c>
      <c r="BV9" s="43">
        <f t="shared" si="41"/>
        <v>73350</v>
      </c>
      <c r="BW9" s="43">
        <f t="shared" si="42"/>
        <v>70190</v>
      </c>
      <c r="BX9" s="43">
        <f t="shared" si="43"/>
        <v>72165</v>
      </c>
      <c r="BY9" s="43">
        <f t="shared" si="44"/>
        <v>71375</v>
      </c>
      <c r="BZ9" s="43">
        <f t="shared" si="45"/>
        <v>74930</v>
      </c>
      <c r="CA9" s="43">
        <f t="shared" si="46"/>
        <v>68610</v>
      </c>
      <c r="CB9" s="43">
        <f t="shared" si="47"/>
        <v>72033.333333333328</v>
      </c>
      <c r="CC9" s="43">
        <f t="shared" si="48"/>
        <v>71506.666666666672</v>
      </c>
      <c r="CD9" s="43">
        <f t="shared" si="49"/>
        <v>76510</v>
      </c>
      <c r="CE9" s="43">
        <f t="shared" si="50"/>
        <v>67030</v>
      </c>
      <c r="CF9" s="37">
        <f t="shared" si="55"/>
        <v>68834.75</v>
      </c>
      <c r="CH9" s="47">
        <f t="shared" si="12"/>
        <v>70620</v>
      </c>
      <c r="CI9" s="23">
        <f t="shared" si="13"/>
        <v>69214.75</v>
      </c>
      <c r="CJ9" s="37">
        <f t="shared" si="5"/>
        <v>1405.25</v>
      </c>
      <c r="CK9">
        <f t="shared" si="6"/>
        <v>1405.25</v>
      </c>
      <c r="CL9">
        <f t="shared" si="7"/>
        <v>1.9898753894080998E-2</v>
      </c>
    </row>
    <row r="10" spans="1:93">
      <c r="A10" s="1" t="s">
        <v>11</v>
      </c>
      <c r="B10" s="1">
        <v>51070</v>
      </c>
      <c r="D10" t="s">
        <v>497</v>
      </c>
      <c r="E10">
        <v>-0.13297973489353779</v>
      </c>
      <c r="G10" s="19" t="s">
        <v>441</v>
      </c>
      <c r="H10" s="19" t="s">
        <v>442</v>
      </c>
      <c r="I10" s="19"/>
      <c r="J10" s="19" t="s">
        <v>498</v>
      </c>
      <c r="L10">
        <v>6</v>
      </c>
      <c r="M10">
        <f t="shared" si="14"/>
        <v>76876</v>
      </c>
      <c r="N10">
        <f t="shared" si="15"/>
        <v>70845</v>
      </c>
      <c r="O10" s="4" t="s">
        <v>495</v>
      </c>
      <c r="Q10">
        <v>7</v>
      </c>
      <c r="R10" s="27" t="str">
        <f t="shared" si="8"/>
        <v>07/09/2023</v>
      </c>
      <c r="S10" s="27">
        <f t="shared" si="8"/>
        <v>50690</v>
      </c>
      <c r="T10" s="4" t="str">
        <f t="shared" si="9"/>
        <v>A2</v>
      </c>
      <c r="V10">
        <v>7</v>
      </c>
      <c r="W10" s="28" t="str">
        <f t="shared" si="0"/>
        <v>07/09/2023</v>
      </c>
      <c r="X10" s="28">
        <f t="shared" si="0"/>
        <v>50690</v>
      </c>
      <c r="Y10" s="28" t="str">
        <f t="shared" si="0"/>
        <v>A2</v>
      </c>
      <c r="Z10" s="5" t="str">
        <f t="shared" si="16"/>
        <v>A2</v>
      </c>
      <c r="AA10" s="5" t="str">
        <f t="shared" si="10"/>
        <v>A2</v>
      </c>
      <c r="AC10" s="5" t="s">
        <v>499</v>
      </c>
      <c r="AD10" s="5" t="s">
        <v>474</v>
      </c>
      <c r="AE10" s="5" t="s">
        <v>500</v>
      </c>
      <c r="AG10" s="49" t="str">
        <f t="shared" si="1"/>
        <v>07/09/2023</v>
      </c>
      <c r="AH10" s="46">
        <f t="shared" si="1"/>
        <v>50690</v>
      </c>
      <c r="AI10" s="49" t="str">
        <f t="shared" si="1"/>
        <v>A2</v>
      </c>
      <c r="AJ10" s="49" t="str">
        <f t="shared" si="17"/>
        <v>A2</v>
      </c>
      <c r="AK10" s="50">
        <f t="shared" si="18"/>
        <v>49736.5</v>
      </c>
      <c r="AL10" s="49" t="str">
        <f t="shared" si="30"/>
        <v>A2</v>
      </c>
      <c r="AM10" s="50">
        <f t="shared" si="18"/>
        <v>49736.5</v>
      </c>
      <c r="AN10" s="56">
        <f t="shared" si="31"/>
        <v>60</v>
      </c>
      <c r="AO10" s="57">
        <f t="shared" si="32"/>
        <v>50720</v>
      </c>
      <c r="AP10" s="23">
        <f t="shared" si="19"/>
        <v>50660</v>
      </c>
      <c r="AQ10" s="23">
        <f t="shared" si="20"/>
        <v>50750</v>
      </c>
      <c r="AR10" s="23">
        <f t="shared" si="21"/>
        <v>50630</v>
      </c>
      <c r="AS10" s="23">
        <f t="shared" si="22"/>
        <v>50705</v>
      </c>
      <c r="AT10" s="23">
        <f t="shared" si="23"/>
        <v>50675</v>
      </c>
      <c r="AU10" s="23">
        <f t="shared" si="24"/>
        <v>50810</v>
      </c>
      <c r="AV10" s="23">
        <f t="shared" si="25"/>
        <v>50570</v>
      </c>
      <c r="AW10" s="23">
        <f t="shared" si="26"/>
        <v>50700</v>
      </c>
      <c r="AX10" s="23">
        <f t="shared" si="27"/>
        <v>50680</v>
      </c>
      <c r="AY10" s="23">
        <f t="shared" si="28"/>
        <v>50870</v>
      </c>
      <c r="AZ10" s="23">
        <f t="shared" si="29"/>
        <v>50510</v>
      </c>
      <c r="BA10" s="23">
        <f t="shared" si="51"/>
        <v>50110.75</v>
      </c>
      <c r="BB10" s="43"/>
      <c r="BC10" s="51">
        <f t="shared" si="2"/>
        <v>50690</v>
      </c>
      <c r="BD10" s="52">
        <f t="shared" si="11"/>
        <v>50110.75</v>
      </c>
      <c r="BE10" s="37">
        <f t="shared" si="33"/>
        <v>579.25</v>
      </c>
      <c r="BF10">
        <f t="shared" si="34"/>
        <v>579.25</v>
      </c>
      <c r="BG10">
        <f t="shared" si="35"/>
        <v>1.1427303215624383E-2</v>
      </c>
      <c r="BL10" s="1" t="s">
        <v>389</v>
      </c>
      <c r="BM10" s="1">
        <v>71440</v>
      </c>
      <c r="BN10" s="58" t="str">
        <f t="shared" si="36"/>
        <v>A6</v>
      </c>
      <c r="BO10" s="43" t="str">
        <f t="shared" si="52"/>
        <v>A6</v>
      </c>
      <c r="BP10" s="43">
        <f t="shared" si="37"/>
        <v>73860.5</v>
      </c>
      <c r="BQ10" s="43" t="str">
        <f t="shared" si="53"/>
        <v>A6</v>
      </c>
      <c r="BR10" s="43">
        <f t="shared" si="38"/>
        <v>73860.5</v>
      </c>
      <c r="BS10" s="59">
        <f t="shared" si="39"/>
        <v>1650</v>
      </c>
      <c r="BT10" s="60">
        <f t="shared" si="54"/>
        <v>72265</v>
      </c>
      <c r="BU10" s="43">
        <f t="shared" si="40"/>
        <v>70615</v>
      </c>
      <c r="BV10" s="43">
        <f t="shared" si="41"/>
        <v>73090</v>
      </c>
      <c r="BW10" s="43">
        <f t="shared" si="42"/>
        <v>69790</v>
      </c>
      <c r="BX10" s="43">
        <f t="shared" si="43"/>
        <v>71852.5</v>
      </c>
      <c r="BY10" s="43">
        <f t="shared" si="44"/>
        <v>71027.5</v>
      </c>
      <c r="BZ10" s="43">
        <f t="shared" si="45"/>
        <v>74740</v>
      </c>
      <c r="CA10" s="43">
        <f t="shared" si="46"/>
        <v>68140</v>
      </c>
      <c r="CB10" s="43">
        <f t="shared" si="47"/>
        <v>71715</v>
      </c>
      <c r="CC10" s="43">
        <f t="shared" si="48"/>
        <v>71165</v>
      </c>
      <c r="CD10" s="43">
        <f t="shared" si="49"/>
        <v>76390</v>
      </c>
      <c r="CE10" s="43">
        <f t="shared" si="50"/>
        <v>66490</v>
      </c>
      <c r="CF10" s="37">
        <f t="shared" si="55"/>
        <v>73210.25</v>
      </c>
      <c r="CH10" s="47">
        <f t="shared" si="12"/>
        <v>70810</v>
      </c>
      <c r="CI10" s="23">
        <f t="shared" si="13"/>
        <v>69354.75</v>
      </c>
      <c r="CJ10" s="37">
        <f t="shared" si="5"/>
        <v>1455.25</v>
      </c>
      <c r="CK10">
        <f t="shared" si="6"/>
        <v>1455.25</v>
      </c>
      <c r="CL10">
        <f t="shared" si="7"/>
        <v>2.0551475780257025E-2</v>
      </c>
    </row>
    <row r="11" spans="1:93">
      <c r="A11" s="1" t="s">
        <v>12</v>
      </c>
      <c r="B11" s="1">
        <v>50630</v>
      </c>
      <c r="D11" t="s">
        <v>501</v>
      </c>
      <c r="E11">
        <v>52310</v>
      </c>
      <c r="G11" s="19"/>
      <c r="H11" s="4" t="s">
        <v>472</v>
      </c>
      <c r="I11" s="4" t="s">
        <v>471</v>
      </c>
      <c r="J11" s="19"/>
      <c r="L11">
        <v>7</v>
      </c>
      <c r="M11">
        <f t="shared" si="14"/>
        <v>82907</v>
      </c>
      <c r="N11">
        <f t="shared" si="15"/>
        <v>76876</v>
      </c>
      <c r="O11" s="4" t="s">
        <v>499</v>
      </c>
      <c r="Q11">
        <v>8</v>
      </c>
      <c r="R11" s="27" t="str">
        <f t="shared" si="8"/>
        <v>08/09/2023</v>
      </c>
      <c r="S11" s="27">
        <f t="shared" si="8"/>
        <v>50820</v>
      </c>
      <c r="T11" s="4" t="str">
        <f t="shared" si="9"/>
        <v>A2</v>
      </c>
      <c r="V11">
        <v>8</v>
      </c>
      <c r="W11" s="28" t="str">
        <f t="shared" si="0"/>
        <v>08/09/2023</v>
      </c>
      <c r="X11" s="28">
        <f t="shared" si="0"/>
        <v>50820</v>
      </c>
      <c r="Y11" s="28" t="str">
        <f t="shared" si="0"/>
        <v>A2</v>
      </c>
      <c r="Z11" s="5" t="str">
        <f t="shared" si="16"/>
        <v>A2</v>
      </c>
      <c r="AA11" s="5" t="str">
        <f t="shared" si="10"/>
        <v>A2</v>
      </c>
      <c r="AC11" s="5" t="s">
        <v>502</v>
      </c>
      <c r="AD11" s="5" t="s">
        <v>474</v>
      </c>
      <c r="AE11" s="5" t="s">
        <v>503</v>
      </c>
      <c r="AG11" s="49" t="str">
        <f t="shared" si="1"/>
        <v>08/09/2023</v>
      </c>
      <c r="AH11" s="46">
        <f t="shared" si="1"/>
        <v>50820</v>
      </c>
      <c r="AI11" s="49" t="str">
        <f t="shared" si="1"/>
        <v>A2</v>
      </c>
      <c r="AJ11" s="49" t="str">
        <f t="shared" si="17"/>
        <v>A2</v>
      </c>
      <c r="AK11" s="50">
        <f t="shared" si="18"/>
        <v>49736.5</v>
      </c>
      <c r="AL11" s="49" t="str">
        <f t="shared" si="30"/>
        <v>A2</v>
      </c>
      <c r="AM11" s="50">
        <f t="shared" si="18"/>
        <v>49736.5</v>
      </c>
      <c r="AN11" s="56">
        <f t="shared" si="31"/>
        <v>150</v>
      </c>
      <c r="AO11" s="57">
        <f t="shared" si="32"/>
        <v>50895</v>
      </c>
      <c r="AP11" s="23">
        <f t="shared" si="19"/>
        <v>50745</v>
      </c>
      <c r="AQ11" s="23">
        <f t="shared" si="20"/>
        <v>50970</v>
      </c>
      <c r="AR11" s="23">
        <f t="shared" si="21"/>
        <v>50670</v>
      </c>
      <c r="AS11" s="23">
        <f t="shared" si="22"/>
        <v>50857.5</v>
      </c>
      <c r="AT11" s="23">
        <f t="shared" si="23"/>
        <v>50782.5</v>
      </c>
      <c r="AU11" s="23">
        <f t="shared" si="24"/>
        <v>51120</v>
      </c>
      <c r="AV11" s="23">
        <f t="shared" si="25"/>
        <v>50520</v>
      </c>
      <c r="AW11" s="23">
        <f t="shared" si="26"/>
        <v>50845</v>
      </c>
      <c r="AX11" s="23">
        <f t="shared" si="27"/>
        <v>50795</v>
      </c>
      <c r="AY11" s="23">
        <f t="shared" si="28"/>
        <v>51270</v>
      </c>
      <c r="AZ11" s="23">
        <f t="shared" si="29"/>
        <v>50370</v>
      </c>
      <c r="BA11" s="23">
        <f t="shared" si="51"/>
        <v>50228.25</v>
      </c>
      <c r="BB11" s="43"/>
      <c r="BC11" s="51">
        <f t="shared" si="2"/>
        <v>50820</v>
      </c>
      <c r="BD11" s="52">
        <f t="shared" si="11"/>
        <v>50228.25</v>
      </c>
      <c r="BE11" s="37">
        <f t="shared" si="33"/>
        <v>591.75</v>
      </c>
      <c r="BF11">
        <f t="shared" si="34"/>
        <v>591.75</v>
      </c>
      <c r="BG11">
        <f t="shared" si="35"/>
        <v>1.1644037780401417E-2</v>
      </c>
      <c r="BL11" s="1" t="s">
        <v>390</v>
      </c>
      <c r="BM11" s="1">
        <v>70770</v>
      </c>
      <c r="BN11" s="58" t="str">
        <f t="shared" si="36"/>
        <v>A5</v>
      </c>
      <c r="BO11" s="43" t="str">
        <f t="shared" si="52"/>
        <v>A6</v>
      </c>
      <c r="BP11" s="43">
        <f t="shared" si="37"/>
        <v>73860.5</v>
      </c>
      <c r="BQ11" s="43" t="str">
        <f t="shared" si="53"/>
        <v>A5</v>
      </c>
      <c r="BR11" s="43">
        <f t="shared" si="38"/>
        <v>67829.5</v>
      </c>
      <c r="BS11" s="59">
        <f t="shared" si="39"/>
        <v>340</v>
      </c>
      <c r="BT11" s="43">
        <f t="shared" si="54"/>
        <v>70940</v>
      </c>
      <c r="BU11" s="61">
        <f t="shared" si="40"/>
        <v>70600</v>
      </c>
      <c r="BV11" s="43">
        <f t="shared" si="41"/>
        <v>71110</v>
      </c>
      <c r="BW11" s="43">
        <f t="shared" si="42"/>
        <v>70430</v>
      </c>
      <c r="BX11" s="43">
        <f t="shared" si="43"/>
        <v>70855</v>
      </c>
      <c r="BY11" s="43">
        <f t="shared" si="44"/>
        <v>70685</v>
      </c>
      <c r="BZ11" s="43">
        <f t="shared" si="45"/>
        <v>71450</v>
      </c>
      <c r="CA11" s="43">
        <f t="shared" si="46"/>
        <v>70090</v>
      </c>
      <c r="CB11" s="43">
        <f t="shared" si="47"/>
        <v>70826.666666666672</v>
      </c>
      <c r="CC11" s="43">
        <f t="shared" si="48"/>
        <v>70713.333333333328</v>
      </c>
      <c r="CD11" s="43">
        <f t="shared" si="49"/>
        <v>71790</v>
      </c>
      <c r="CE11" s="43">
        <f t="shared" si="50"/>
        <v>69750</v>
      </c>
      <c r="CF11" s="37">
        <f t="shared" si="55"/>
        <v>73062.75</v>
      </c>
      <c r="CH11" s="47">
        <f t="shared" si="12"/>
        <v>70310</v>
      </c>
      <c r="CI11" s="23">
        <f t="shared" si="13"/>
        <v>69329.75</v>
      </c>
      <c r="CJ11" s="37">
        <f t="shared" si="5"/>
        <v>980.25</v>
      </c>
      <c r="CK11">
        <f t="shared" si="6"/>
        <v>980.25</v>
      </c>
      <c r="CL11">
        <f t="shared" si="7"/>
        <v>1.3941829042810411E-2</v>
      </c>
    </row>
    <row r="12" spans="1:93">
      <c r="A12" s="1" t="s">
        <v>13</v>
      </c>
      <c r="B12" s="1">
        <v>49290</v>
      </c>
      <c r="D12" t="s">
        <v>504</v>
      </c>
      <c r="E12">
        <v>47690</v>
      </c>
      <c r="G12">
        <v>1</v>
      </c>
      <c r="H12">
        <f>H4</f>
        <v>40690</v>
      </c>
      <c r="I12">
        <f>H4+H7</f>
        <v>46721</v>
      </c>
      <c r="J12">
        <f>(H12+I12)/2</f>
        <v>43705.5</v>
      </c>
      <c r="L12">
        <v>8</v>
      </c>
      <c r="M12">
        <f t="shared" si="14"/>
        <v>88938</v>
      </c>
      <c r="N12">
        <f t="shared" si="15"/>
        <v>82907</v>
      </c>
      <c r="O12" s="4" t="s">
        <v>502</v>
      </c>
      <c r="Q12">
        <v>9</v>
      </c>
      <c r="R12" s="27" t="str">
        <f t="shared" si="8"/>
        <v>09/09/2023</v>
      </c>
      <c r="S12" s="27">
        <f t="shared" si="8"/>
        <v>51070</v>
      </c>
      <c r="T12" s="4" t="str">
        <f t="shared" si="9"/>
        <v>A2</v>
      </c>
      <c r="V12">
        <v>9</v>
      </c>
      <c r="W12" s="28" t="str">
        <f t="shared" si="0"/>
        <v>09/09/2023</v>
      </c>
      <c r="X12" s="28">
        <f t="shared" si="0"/>
        <v>51070</v>
      </c>
      <c r="Y12" s="28" t="str">
        <f t="shared" si="0"/>
        <v>A2</v>
      </c>
      <c r="Z12" s="5" t="str">
        <f t="shared" si="16"/>
        <v>A2</v>
      </c>
      <c r="AA12" s="5" t="str">
        <f t="shared" si="10"/>
        <v>A2</v>
      </c>
      <c r="AC12" s="5" t="s">
        <v>505</v>
      </c>
      <c r="AD12" s="5" t="s">
        <v>474</v>
      </c>
      <c r="AE12" s="5" t="s">
        <v>506</v>
      </c>
      <c r="AG12" s="49" t="str">
        <f t="shared" si="1"/>
        <v>09/09/2023</v>
      </c>
      <c r="AH12" s="46">
        <f t="shared" si="1"/>
        <v>51070</v>
      </c>
      <c r="AI12" s="49" t="str">
        <f t="shared" si="1"/>
        <v>A2</v>
      </c>
      <c r="AJ12" s="49" t="str">
        <f t="shared" si="17"/>
        <v>A2</v>
      </c>
      <c r="AK12" s="50">
        <f t="shared" si="18"/>
        <v>49736.5</v>
      </c>
      <c r="AL12" s="49" t="str">
        <f t="shared" si="30"/>
        <v>A2</v>
      </c>
      <c r="AM12" s="50">
        <f t="shared" si="18"/>
        <v>49736.5</v>
      </c>
      <c r="AN12" s="56">
        <f t="shared" si="31"/>
        <v>120</v>
      </c>
      <c r="AO12" s="57">
        <f t="shared" si="32"/>
        <v>51130</v>
      </c>
      <c r="AP12" s="23">
        <f t="shared" si="19"/>
        <v>51010</v>
      </c>
      <c r="AQ12" s="23">
        <f t="shared" si="20"/>
        <v>51190</v>
      </c>
      <c r="AR12" s="23">
        <f t="shared" si="21"/>
        <v>50950</v>
      </c>
      <c r="AS12" s="23">
        <f t="shared" si="22"/>
        <v>51100</v>
      </c>
      <c r="AT12" s="23">
        <f t="shared" si="23"/>
        <v>51040</v>
      </c>
      <c r="AU12" s="23">
        <f t="shared" si="24"/>
        <v>51310</v>
      </c>
      <c r="AV12" s="23">
        <f t="shared" si="25"/>
        <v>50830</v>
      </c>
      <c r="AW12" s="23">
        <f t="shared" si="26"/>
        <v>51090</v>
      </c>
      <c r="AX12" s="23">
        <f t="shared" si="27"/>
        <v>51050</v>
      </c>
      <c r="AY12" s="23">
        <f t="shared" si="28"/>
        <v>51430</v>
      </c>
      <c r="AZ12" s="23">
        <f t="shared" si="29"/>
        <v>50710</v>
      </c>
      <c r="BA12" s="23">
        <f t="shared" si="51"/>
        <v>50315.75</v>
      </c>
      <c r="BB12" s="43"/>
      <c r="BC12" s="51">
        <f t="shared" si="2"/>
        <v>51070</v>
      </c>
      <c r="BD12" s="52">
        <f t="shared" si="11"/>
        <v>50315.75</v>
      </c>
      <c r="BE12" s="37">
        <f t="shared" si="33"/>
        <v>754.25</v>
      </c>
      <c r="BF12">
        <f t="shared" si="34"/>
        <v>754.25</v>
      </c>
      <c r="BG12">
        <f t="shared" si="35"/>
        <v>1.4768944585862542E-2</v>
      </c>
      <c r="BL12" s="1" t="s">
        <v>391</v>
      </c>
      <c r="BM12" s="1">
        <v>70620</v>
      </c>
      <c r="BN12" s="58" t="str">
        <f t="shared" si="36"/>
        <v>A5</v>
      </c>
      <c r="BO12" s="43" t="str">
        <f t="shared" si="52"/>
        <v>A5</v>
      </c>
      <c r="BP12" s="43">
        <f t="shared" si="37"/>
        <v>67829.5</v>
      </c>
      <c r="BQ12" s="43" t="str">
        <f t="shared" si="53"/>
        <v>A5</v>
      </c>
      <c r="BR12" s="43">
        <f t="shared" si="38"/>
        <v>67829.5</v>
      </c>
      <c r="BS12" s="59">
        <f t="shared" si="39"/>
        <v>520</v>
      </c>
      <c r="BT12" s="60">
        <f t="shared" si="54"/>
        <v>70880</v>
      </c>
      <c r="BU12" s="43">
        <f t="shared" si="40"/>
        <v>70360</v>
      </c>
      <c r="BV12" s="43">
        <f t="shared" si="41"/>
        <v>71140</v>
      </c>
      <c r="BW12" s="43">
        <f t="shared" si="42"/>
        <v>70100</v>
      </c>
      <c r="BX12" s="43">
        <f t="shared" si="43"/>
        <v>70750</v>
      </c>
      <c r="BY12" s="43">
        <f t="shared" si="44"/>
        <v>70490</v>
      </c>
      <c r="BZ12" s="43">
        <f t="shared" si="45"/>
        <v>71660</v>
      </c>
      <c r="CA12" s="43">
        <f t="shared" si="46"/>
        <v>69580</v>
      </c>
      <c r="CB12" s="43">
        <f t="shared" si="47"/>
        <v>70706.666666666672</v>
      </c>
      <c r="CC12" s="43">
        <f t="shared" si="48"/>
        <v>70533.333333333328</v>
      </c>
      <c r="CD12" s="43">
        <f t="shared" si="49"/>
        <v>72180</v>
      </c>
      <c r="CE12" s="43">
        <f t="shared" si="50"/>
        <v>69060</v>
      </c>
      <c r="CF12" s="37">
        <f>(BR11+BU11)/(1+1)</f>
        <v>69214.75</v>
      </c>
      <c r="CH12" s="47">
        <f t="shared" si="12"/>
        <v>68150</v>
      </c>
      <c r="CI12" s="23">
        <f t="shared" si="13"/>
        <v>69147.25</v>
      </c>
      <c r="CJ12" s="37">
        <f t="shared" si="5"/>
        <v>-997.25</v>
      </c>
      <c r="CK12">
        <f t="shared" si="6"/>
        <v>997.25</v>
      </c>
      <c r="CL12">
        <f t="shared" si="7"/>
        <v>1.4633162142333088E-2</v>
      </c>
    </row>
    <row r="13" spans="1:93">
      <c r="A13" s="1" t="s">
        <v>14</v>
      </c>
      <c r="B13" s="1">
        <v>49820</v>
      </c>
      <c r="D13" t="s">
        <v>507</v>
      </c>
      <c r="E13">
        <v>100000</v>
      </c>
      <c r="G13">
        <v>2</v>
      </c>
      <c r="H13">
        <f>H4+H7</f>
        <v>46721</v>
      </c>
      <c r="I13">
        <f>$H$4+G13*$H$7</f>
        <v>52752</v>
      </c>
      <c r="J13">
        <f t="shared" ref="J13:J21" si="56">(H13+I13)/2</f>
        <v>49736.5</v>
      </c>
      <c r="L13">
        <v>9</v>
      </c>
      <c r="M13">
        <f t="shared" si="14"/>
        <v>94969</v>
      </c>
      <c r="N13">
        <f t="shared" si="15"/>
        <v>88938</v>
      </c>
      <c r="O13" s="4" t="s">
        <v>505</v>
      </c>
      <c r="Q13">
        <v>10</v>
      </c>
      <c r="R13" s="27" t="str">
        <f t="shared" si="8"/>
        <v>10/09/2023</v>
      </c>
      <c r="S13" s="27">
        <f t="shared" si="8"/>
        <v>50630</v>
      </c>
      <c r="T13" s="4" t="str">
        <f t="shared" si="9"/>
        <v>A2</v>
      </c>
      <c r="V13">
        <v>10</v>
      </c>
      <c r="W13" s="28" t="str">
        <f t="shared" si="0"/>
        <v>10/09/2023</v>
      </c>
      <c r="X13" s="28">
        <f t="shared" si="0"/>
        <v>50630</v>
      </c>
      <c r="Y13" s="28" t="str">
        <f t="shared" si="0"/>
        <v>A2</v>
      </c>
      <c r="Z13" s="5" t="str">
        <f t="shared" si="16"/>
        <v>A2</v>
      </c>
      <c r="AA13" s="5" t="str">
        <f t="shared" si="10"/>
        <v>A2</v>
      </c>
      <c r="AC13" s="5" t="s">
        <v>508</v>
      </c>
      <c r="AD13" s="5" t="s">
        <v>474</v>
      </c>
      <c r="AE13" s="5" t="s">
        <v>506</v>
      </c>
      <c r="AG13" s="49" t="str">
        <f t="shared" si="1"/>
        <v>10/09/2023</v>
      </c>
      <c r="AH13" s="46">
        <f t="shared" si="1"/>
        <v>50630</v>
      </c>
      <c r="AI13" s="49" t="str">
        <f t="shared" si="1"/>
        <v>A2</v>
      </c>
      <c r="AJ13" s="49" t="str">
        <f t="shared" si="17"/>
        <v>A2</v>
      </c>
      <c r="AK13" s="50">
        <f t="shared" si="18"/>
        <v>49736.5</v>
      </c>
      <c r="AL13" s="49" t="str">
        <f t="shared" si="30"/>
        <v>A2</v>
      </c>
      <c r="AM13" s="50">
        <f t="shared" si="18"/>
        <v>49736.5</v>
      </c>
      <c r="AN13" s="56">
        <f t="shared" si="31"/>
        <v>190</v>
      </c>
      <c r="AO13" s="57">
        <f t="shared" si="32"/>
        <v>50725</v>
      </c>
      <c r="AP13" s="23">
        <f t="shared" si="19"/>
        <v>50535</v>
      </c>
      <c r="AQ13" s="23">
        <f t="shared" si="20"/>
        <v>50820</v>
      </c>
      <c r="AR13" s="23">
        <f t="shared" si="21"/>
        <v>50440</v>
      </c>
      <c r="AS13" s="23">
        <f t="shared" si="22"/>
        <v>50677.5</v>
      </c>
      <c r="AT13" s="23">
        <f t="shared" si="23"/>
        <v>50582.5</v>
      </c>
      <c r="AU13" s="23">
        <f t="shared" si="24"/>
        <v>51010</v>
      </c>
      <c r="AV13" s="23">
        <f t="shared" si="25"/>
        <v>50250</v>
      </c>
      <c r="AW13" s="23">
        <f t="shared" si="26"/>
        <v>50661.666666666664</v>
      </c>
      <c r="AX13" s="23">
        <f t="shared" si="27"/>
        <v>50598.333333333336</v>
      </c>
      <c r="AY13" s="23">
        <f t="shared" si="28"/>
        <v>51200</v>
      </c>
      <c r="AZ13" s="23">
        <f t="shared" si="29"/>
        <v>50060</v>
      </c>
      <c r="BA13" s="23">
        <f t="shared" si="51"/>
        <v>50433.25</v>
      </c>
      <c r="BB13" s="43"/>
      <c r="BC13" s="51">
        <f t="shared" si="2"/>
        <v>50630</v>
      </c>
      <c r="BD13" s="52">
        <f t="shared" si="11"/>
        <v>50433.25</v>
      </c>
      <c r="BE13" s="37">
        <f t="shared" si="33"/>
        <v>196.75</v>
      </c>
      <c r="BF13">
        <f t="shared" si="34"/>
        <v>196.75</v>
      </c>
      <c r="BG13">
        <f t="shared" si="35"/>
        <v>3.8860359470669565E-3</v>
      </c>
      <c r="BL13" s="1" t="s">
        <v>392</v>
      </c>
      <c r="BM13" s="1">
        <v>70810</v>
      </c>
      <c r="BN13" s="58" t="str">
        <f t="shared" si="36"/>
        <v>A5</v>
      </c>
      <c r="BO13" s="43" t="str">
        <f t="shared" si="52"/>
        <v>A5</v>
      </c>
      <c r="BP13" s="43">
        <f t="shared" si="37"/>
        <v>67829.5</v>
      </c>
      <c r="BQ13" s="43" t="str">
        <f t="shared" si="53"/>
        <v>A5</v>
      </c>
      <c r="BR13" s="43">
        <f t="shared" si="38"/>
        <v>67829.5</v>
      </c>
      <c r="BS13" s="59">
        <f t="shared" si="39"/>
        <v>40</v>
      </c>
      <c r="BT13" s="60">
        <f t="shared" si="54"/>
        <v>70830</v>
      </c>
      <c r="BU13" s="43">
        <f t="shared" si="40"/>
        <v>70790</v>
      </c>
      <c r="BV13" s="43">
        <f t="shared" si="41"/>
        <v>70850</v>
      </c>
      <c r="BW13" s="43">
        <f t="shared" si="42"/>
        <v>70770</v>
      </c>
      <c r="BX13" s="43">
        <f t="shared" si="43"/>
        <v>70820</v>
      </c>
      <c r="BY13" s="43">
        <f t="shared" si="44"/>
        <v>70800</v>
      </c>
      <c r="BZ13" s="43">
        <f t="shared" si="45"/>
        <v>70890</v>
      </c>
      <c r="CA13" s="43">
        <f t="shared" si="46"/>
        <v>70730</v>
      </c>
      <c r="CB13" s="43">
        <f t="shared" si="47"/>
        <v>70816.666666666672</v>
      </c>
      <c r="CC13" s="43">
        <f t="shared" si="48"/>
        <v>70803.333333333328</v>
      </c>
      <c r="CD13" s="43">
        <f t="shared" si="49"/>
        <v>70930</v>
      </c>
      <c r="CE13" s="43">
        <f t="shared" si="50"/>
        <v>70690</v>
      </c>
      <c r="CF13" s="37">
        <f t="shared" si="55"/>
        <v>69354.75</v>
      </c>
      <c r="CH13" s="47">
        <f t="shared" si="12"/>
        <v>68870</v>
      </c>
      <c r="CI13" s="23">
        <f t="shared" si="13"/>
        <v>68404.75</v>
      </c>
      <c r="CJ13" s="37">
        <f t="shared" si="5"/>
        <v>465.25</v>
      </c>
      <c r="CK13">
        <f t="shared" si="6"/>
        <v>465.25</v>
      </c>
      <c r="CL13">
        <f t="shared" si="7"/>
        <v>6.7554813416581963E-3</v>
      </c>
    </row>
    <row r="14" spans="1:93">
      <c r="A14" s="1" t="s">
        <v>15</v>
      </c>
      <c r="B14" s="1">
        <v>50520</v>
      </c>
      <c r="D14" t="s">
        <v>509</v>
      </c>
      <c r="E14">
        <v>27798040</v>
      </c>
      <c r="G14">
        <v>3</v>
      </c>
      <c r="H14">
        <f t="shared" ref="H14:H21" si="57">$H$4+G13*$H$7</f>
        <v>52752</v>
      </c>
      <c r="I14">
        <f t="shared" ref="I14:I21" si="58">$H$4+G14*$H$7</f>
        <v>58783</v>
      </c>
      <c r="J14">
        <f t="shared" si="56"/>
        <v>55767.5</v>
      </c>
      <c r="L14">
        <v>10</v>
      </c>
      <c r="M14">
        <f t="shared" si="14"/>
        <v>101000</v>
      </c>
      <c r="N14">
        <f t="shared" si="15"/>
        <v>94969</v>
      </c>
      <c r="O14" s="4" t="s">
        <v>508</v>
      </c>
      <c r="Q14">
        <v>11</v>
      </c>
      <c r="R14" s="27" t="str">
        <f t="shared" si="8"/>
        <v>11/09/2023</v>
      </c>
      <c r="S14" s="27">
        <f t="shared" si="8"/>
        <v>49290</v>
      </c>
      <c r="T14" s="4" t="str">
        <f t="shared" si="9"/>
        <v>A2</v>
      </c>
      <c r="V14">
        <v>11</v>
      </c>
      <c r="W14" s="28" t="str">
        <f t="shared" si="0"/>
        <v>11/09/2023</v>
      </c>
      <c r="X14" s="28">
        <f t="shared" si="0"/>
        <v>49290</v>
      </c>
      <c r="Y14" s="28" t="str">
        <f t="shared" si="0"/>
        <v>A2</v>
      </c>
      <c r="Z14" s="5" t="str">
        <f t="shared" si="16"/>
        <v>A2</v>
      </c>
      <c r="AA14" s="5" t="str">
        <f t="shared" si="10"/>
        <v>A2</v>
      </c>
      <c r="AG14" s="49" t="str">
        <f t="shared" si="1"/>
        <v>11/09/2023</v>
      </c>
      <c r="AH14" s="46">
        <f t="shared" si="1"/>
        <v>49290</v>
      </c>
      <c r="AI14" s="49" t="str">
        <f t="shared" si="1"/>
        <v>A2</v>
      </c>
      <c r="AJ14" s="49" t="str">
        <f t="shared" si="17"/>
        <v>A2</v>
      </c>
      <c r="AK14" s="50">
        <f t="shared" si="18"/>
        <v>49736.5</v>
      </c>
      <c r="AL14" s="49" t="str">
        <f t="shared" si="30"/>
        <v>A2</v>
      </c>
      <c r="AM14" s="50">
        <f t="shared" si="18"/>
        <v>49736.5</v>
      </c>
      <c r="AN14" s="56">
        <f t="shared" si="31"/>
        <v>900</v>
      </c>
      <c r="AO14" s="57">
        <f t="shared" si="32"/>
        <v>49740</v>
      </c>
      <c r="AP14" s="23">
        <f t="shared" si="19"/>
        <v>48840</v>
      </c>
      <c r="AQ14" s="23">
        <f t="shared" si="20"/>
        <v>50190</v>
      </c>
      <c r="AR14" s="23">
        <f t="shared" si="21"/>
        <v>48390</v>
      </c>
      <c r="AS14" s="23">
        <f t="shared" si="22"/>
        <v>49515</v>
      </c>
      <c r="AT14" s="23">
        <f t="shared" si="23"/>
        <v>49065</v>
      </c>
      <c r="AU14" s="23">
        <f t="shared" si="24"/>
        <v>51090</v>
      </c>
      <c r="AV14" s="23">
        <f t="shared" si="25"/>
        <v>47490</v>
      </c>
      <c r="AW14" s="23">
        <f t="shared" si="26"/>
        <v>49440</v>
      </c>
      <c r="AX14" s="23">
        <f t="shared" si="27"/>
        <v>49140</v>
      </c>
      <c r="AY14" s="23">
        <f t="shared" si="28"/>
        <v>51990</v>
      </c>
      <c r="AZ14" s="23">
        <f t="shared" si="29"/>
        <v>46590</v>
      </c>
      <c r="BA14" s="23">
        <f t="shared" si="51"/>
        <v>50230.75</v>
      </c>
      <c r="BB14" s="43"/>
      <c r="BC14" s="51">
        <f t="shared" si="2"/>
        <v>49290</v>
      </c>
      <c r="BD14" s="52">
        <f t="shared" si="11"/>
        <v>50230.75</v>
      </c>
      <c r="BE14" s="37">
        <f t="shared" si="33"/>
        <v>-940.75</v>
      </c>
      <c r="BF14">
        <f t="shared" si="34"/>
        <v>940.75</v>
      </c>
      <c r="BG14">
        <f t="shared" si="35"/>
        <v>1.9086021505376343E-2</v>
      </c>
      <c r="BL14" s="1" t="s">
        <v>393</v>
      </c>
      <c r="BM14" s="1">
        <v>70310</v>
      </c>
      <c r="BN14" s="58" t="str">
        <f t="shared" si="36"/>
        <v>A5</v>
      </c>
      <c r="BO14" s="43" t="str">
        <f t="shared" si="52"/>
        <v>A5</v>
      </c>
      <c r="BP14" s="43">
        <f t="shared" si="37"/>
        <v>67829.5</v>
      </c>
      <c r="BQ14" s="43" t="str">
        <f t="shared" si="53"/>
        <v>A5</v>
      </c>
      <c r="BR14" s="43">
        <f t="shared" si="38"/>
        <v>67829.5</v>
      </c>
      <c r="BS14" s="59">
        <f t="shared" si="39"/>
        <v>310</v>
      </c>
      <c r="BT14" s="60">
        <f t="shared" si="54"/>
        <v>70465</v>
      </c>
      <c r="BU14" s="43">
        <f t="shared" si="40"/>
        <v>70155</v>
      </c>
      <c r="BV14" s="43">
        <f t="shared" si="41"/>
        <v>70620</v>
      </c>
      <c r="BW14" s="43">
        <f t="shared" si="42"/>
        <v>70000</v>
      </c>
      <c r="BX14" s="43">
        <f t="shared" si="43"/>
        <v>70387.5</v>
      </c>
      <c r="BY14" s="43">
        <f t="shared" si="44"/>
        <v>70232.5</v>
      </c>
      <c r="BZ14" s="43">
        <f t="shared" si="45"/>
        <v>70930</v>
      </c>
      <c r="CA14" s="43">
        <f t="shared" si="46"/>
        <v>69690</v>
      </c>
      <c r="CB14" s="43">
        <f t="shared" si="47"/>
        <v>70361.666666666672</v>
      </c>
      <c r="CC14" s="43">
        <f t="shared" si="48"/>
        <v>70258.333333333328</v>
      </c>
      <c r="CD14" s="43">
        <f t="shared" si="49"/>
        <v>71240</v>
      </c>
      <c r="CE14" s="43">
        <f t="shared" si="50"/>
        <v>69380</v>
      </c>
      <c r="CF14" s="37">
        <f t="shared" si="55"/>
        <v>69329.75</v>
      </c>
      <c r="CH14" s="47">
        <f t="shared" si="12"/>
        <v>66110</v>
      </c>
      <c r="CI14" s="23">
        <f t="shared" si="13"/>
        <v>68709.75</v>
      </c>
      <c r="CJ14" s="37">
        <f t="shared" si="5"/>
        <v>-2599.75</v>
      </c>
      <c r="CK14">
        <f t="shared" si="6"/>
        <v>2599.75</v>
      </c>
      <c r="CL14">
        <f t="shared" si="7"/>
        <v>3.932461049765542E-2</v>
      </c>
    </row>
    <row r="15" spans="1:93" ht="15.75" thickBot="1">
      <c r="A15" s="1" t="s">
        <v>16</v>
      </c>
      <c r="B15" s="1">
        <v>49640</v>
      </c>
      <c r="D15" s="42" t="s">
        <v>510</v>
      </c>
      <c r="E15" s="42">
        <v>383</v>
      </c>
      <c r="G15">
        <v>4</v>
      </c>
      <c r="H15">
        <f t="shared" si="57"/>
        <v>58783</v>
      </c>
      <c r="I15">
        <f t="shared" si="58"/>
        <v>64814</v>
      </c>
      <c r="J15">
        <f t="shared" si="56"/>
        <v>61798.5</v>
      </c>
      <c r="Q15">
        <v>12</v>
      </c>
      <c r="R15" s="27" t="str">
        <f t="shared" si="8"/>
        <v>12/09/2023</v>
      </c>
      <c r="S15" s="27">
        <f t="shared" si="8"/>
        <v>49820</v>
      </c>
      <c r="T15" s="4" t="str">
        <f t="shared" si="9"/>
        <v>A2</v>
      </c>
      <c r="V15">
        <v>12</v>
      </c>
      <c r="W15" s="28" t="str">
        <f t="shared" si="0"/>
        <v>12/09/2023</v>
      </c>
      <c r="X15" s="28">
        <f t="shared" si="0"/>
        <v>49820</v>
      </c>
      <c r="Y15" s="28" t="str">
        <f t="shared" si="0"/>
        <v>A2</v>
      </c>
      <c r="Z15" s="5" t="str">
        <f t="shared" si="16"/>
        <v>A2</v>
      </c>
      <c r="AA15" s="5" t="str">
        <f t="shared" si="10"/>
        <v>A2</v>
      </c>
      <c r="AG15" s="49" t="str">
        <f t="shared" si="1"/>
        <v>12/09/2023</v>
      </c>
      <c r="AH15" s="46">
        <f t="shared" si="1"/>
        <v>49820</v>
      </c>
      <c r="AI15" s="49" t="str">
        <f t="shared" si="1"/>
        <v>A2</v>
      </c>
      <c r="AJ15" s="49" t="str">
        <f t="shared" si="17"/>
        <v>A2</v>
      </c>
      <c r="AK15" s="50">
        <f t="shared" si="18"/>
        <v>49736.5</v>
      </c>
      <c r="AL15" s="49" t="str">
        <f t="shared" si="30"/>
        <v>A2</v>
      </c>
      <c r="AM15" s="50">
        <f t="shared" si="18"/>
        <v>49736.5</v>
      </c>
      <c r="AN15" s="56">
        <f t="shared" si="31"/>
        <v>810</v>
      </c>
      <c r="AO15" s="57">
        <f t="shared" si="32"/>
        <v>50225</v>
      </c>
      <c r="AP15" s="23">
        <f t="shared" si="19"/>
        <v>49415</v>
      </c>
      <c r="AQ15" s="23">
        <f t="shared" si="20"/>
        <v>50630</v>
      </c>
      <c r="AR15" s="23">
        <f t="shared" si="21"/>
        <v>49010</v>
      </c>
      <c r="AS15" s="23">
        <f t="shared" si="22"/>
        <v>50022.5</v>
      </c>
      <c r="AT15" s="23">
        <f t="shared" si="23"/>
        <v>49617.5</v>
      </c>
      <c r="AU15" s="23">
        <f t="shared" si="24"/>
        <v>51440</v>
      </c>
      <c r="AV15" s="23">
        <f t="shared" si="25"/>
        <v>48200</v>
      </c>
      <c r="AW15" s="23">
        <f t="shared" si="26"/>
        <v>49955</v>
      </c>
      <c r="AX15" s="23">
        <f t="shared" si="27"/>
        <v>49685</v>
      </c>
      <c r="AY15" s="23">
        <f t="shared" si="28"/>
        <v>52250</v>
      </c>
      <c r="AZ15" s="23">
        <f t="shared" si="29"/>
        <v>47390</v>
      </c>
      <c r="BA15" s="23">
        <f t="shared" si="51"/>
        <v>49738.25</v>
      </c>
      <c r="BB15" s="43"/>
      <c r="BC15" s="51">
        <f t="shared" si="2"/>
        <v>49820</v>
      </c>
      <c r="BD15" s="52">
        <f t="shared" si="11"/>
        <v>49738.25</v>
      </c>
      <c r="BE15" s="37">
        <f t="shared" si="33"/>
        <v>81.75</v>
      </c>
      <c r="BF15">
        <f t="shared" si="34"/>
        <v>81.75</v>
      </c>
      <c r="BG15">
        <f t="shared" si="35"/>
        <v>1.6409072661581693E-3</v>
      </c>
      <c r="BL15" s="1" t="s">
        <v>394</v>
      </c>
      <c r="BM15" s="1">
        <v>68150</v>
      </c>
      <c r="BN15" s="58" t="str">
        <f t="shared" si="36"/>
        <v>A5</v>
      </c>
      <c r="BO15" s="43" t="str">
        <f t="shared" si="52"/>
        <v>A5</v>
      </c>
      <c r="BP15" s="43">
        <f t="shared" si="37"/>
        <v>67829.5</v>
      </c>
      <c r="BQ15" s="43" t="str">
        <f t="shared" si="53"/>
        <v>A5</v>
      </c>
      <c r="BR15" s="43">
        <f t="shared" si="38"/>
        <v>67829.5</v>
      </c>
      <c r="BS15" s="59">
        <f t="shared" si="39"/>
        <v>1660</v>
      </c>
      <c r="BT15" s="60">
        <f t="shared" si="54"/>
        <v>68980</v>
      </c>
      <c r="BU15" s="43">
        <f t="shared" si="40"/>
        <v>67320</v>
      </c>
      <c r="BV15" s="43">
        <f t="shared" si="41"/>
        <v>69810</v>
      </c>
      <c r="BW15" s="43">
        <f t="shared" si="42"/>
        <v>66490</v>
      </c>
      <c r="BX15" s="43">
        <f t="shared" si="43"/>
        <v>68565</v>
      </c>
      <c r="BY15" s="43">
        <f t="shared" si="44"/>
        <v>67735</v>
      </c>
      <c r="BZ15" s="43">
        <f t="shared" si="45"/>
        <v>71470</v>
      </c>
      <c r="CA15" s="43">
        <f t="shared" si="46"/>
        <v>64830</v>
      </c>
      <c r="CB15" s="43">
        <f t="shared" si="47"/>
        <v>68426.666666666672</v>
      </c>
      <c r="CC15" s="43">
        <f t="shared" si="48"/>
        <v>67873.333333333328</v>
      </c>
      <c r="CD15" s="43">
        <f t="shared" si="49"/>
        <v>73130</v>
      </c>
      <c r="CE15" s="43">
        <f t="shared" si="50"/>
        <v>63170</v>
      </c>
      <c r="CF15" s="37">
        <f t="shared" si="55"/>
        <v>69147.25</v>
      </c>
      <c r="CH15" s="47">
        <f t="shared" si="12"/>
        <v>66770</v>
      </c>
      <c r="CI15" s="23">
        <f t="shared" si="13"/>
        <v>67479.75</v>
      </c>
      <c r="CJ15" s="37">
        <f t="shared" si="5"/>
        <v>-709.75</v>
      </c>
      <c r="CK15">
        <f t="shared" si="6"/>
        <v>709.75</v>
      </c>
      <c r="CL15">
        <f t="shared" si="7"/>
        <v>1.0629773850531677E-2</v>
      </c>
    </row>
    <row r="16" spans="1:93">
      <c r="A16" s="1" t="s">
        <v>17</v>
      </c>
      <c r="B16" s="1">
        <v>49200</v>
      </c>
      <c r="G16">
        <v>5</v>
      </c>
      <c r="H16">
        <f t="shared" si="57"/>
        <v>64814</v>
      </c>
      <c r="I16">
        <f t="shared" si="58"/>
        <v>70845</v>
      </c>
      <c r="J16">
        <f t="shared" si="56"/>
        <v>67829.5</v>
      </c>
      <c r="Q16">
        <v>13</v>
      </c>
      <c r="R16" s="27" t="str">
        <f t="shared" si="8"/>
        <v>13/09/2023</v>
      </c>
      <c r="S16" s="27">
        <f t="shared" si="8"/>
        <v>50520</v>
      </c>
      <c r="T16" s="4" t="str">
        <f t="shared" si="9"/>
        <v>A2</v>
      </c>
      <c r="V16">
        <v>13</v>
      </c>
      <c r="W16" s="28" t="str">
        <f t="shared" si="0"/>
        <v>13/09/2023</v>
      </c>
      <c r="X16" s="28">
        <f t="shared" si="0"/>
        <v>50520</v>
      </c>
      <c r="Y16" s="28" t="str">
        <f t="shared" si="0"/>
        <v>A2</v>
      </c>
      <c r="Z16" s="5" t="str">
        <f t="shared" si="16"/>
        <v>A2</v>
      </c>
      <c r="AA16" s="5" t="str">
        <f t="shared" si="10"/>
        <v>A2</v>
      </c>
      <c r="AG16" s="49" t="str">
        <f t="shared" si="1"/>
        <v>13/09/2023</v>
      </c>
      <c r="AH16" s="46">
        <f t="shared" si="1"/>
        <v>50520</v>
      </c>
      <c r="AI16" s="49" t="str">
        <f t="shared" si="1"/>
        <v>A2</v>
      </c>
      <c r="AJ16" s="49" t="str">
        <f t="shared" si="17"/>
        <v>A2</v>
      </c>
      <c r="AK16" s="50">
        <f t="shared" si="18"/>
        <v>49736.5</v>
      </c>
      <c r="AL16" s="49" t="str">
        <f t="shared" si="30"/>
        <v>A2</v>
      </c>
      <c r="AM16" s="50">
        <f t="shared" si="18"/>
        <v>49736.5</v>
      </c>
      <c r="AN16" s="56">
        <f t="shared" si="31"/>
        <v>170</v>
      </c>
      <c r="AO16" s="57">
        <f t="shared" si="32"/>
        <v>50605</v>
      </c>
      <c r="AP16" s="23">
        <f t="shared" si="19"/>
        <v>50435</v>
      </c>
      <c r="AQ16" s="23">
        <f t="shared" si="20"/>
        <v>50690</v>
      </c>
      <c r="AR16" s="23">
        <f t="shared" si="21"/>
        <v>50350</v>
      </c>
      <c r="AS16" s="23">
        <f t="shared" si="22"/>
        <v>50562.5</v>
      </c>
      <c r="AT16" s="23">
        <f t="shared" si="23"/>
        <v>50477.5</v>
      </c>
      <c r="AU16" s="23">
        <f t="shared" si="24"/>
        <v>50860</v>
      </c>
      <c r="AV16" s="23">
        <f t="shared" si="25"/>
        <v>50180</v>
      </c>
      <c r="AW16" s="23">
        <f t="shared" si="26"/>
        <v>50548.333333333336</v>
      </c>
      <c r="AX16" s="23">
        <f t="shared" si="27"/>
        <v>50491.666666666664</v>
      </c>
      <c r="AY16" s="23">
        <f t="shared" si="28"/>
        <v>51030</v>
      </c>
      <c r="AZ16" s="23">
        <f t="shared" si="29"/>
        <v>50010</v>
      </c>
      <c r="BA16" s="23">
        <f t="shared" si="51"/>
        <v>49980.75</v>
      </c>
      <c r="BB16" s="43"/>
      <c r="BC16" s="51">
        <f t="shared" si="2"/>
        <v>50520</v>
      </c>
      <c r="BD16" s="52">
        <f t="shared" si="11"/>
        <v>49980.75</v>
      </c>
      <c r="BE16" s="37">
        <f t="shared" si="33"/>
        <v>539.25</v>
      </c>
      <c r="BF16">
        <f t="shared" si="34"/>
        <v>539.25</v>
      </c>
      <c r="BG16">
        <f t="shared" si="35"/>
        <v>1.0673990498812352E-2</v>
      </c>
      <c r="BL16" s="1" t="s">
        <v>395</v>
      </c>
      <c r="BM16" s="1">
        <v>68870</v>
      </c>
      <c r="BN16" s="58" t="str">
        <f t="shared" si="36"/>
        <v>A5</v>
      </c>
      <c r="BO16" s="43" t="str">
        <f t="shared" si="52"/>
        <v>A5</v>
      </c>
      <c r="BP16" s="43">
        <f t="shared" si="37"/>
        <v>67829.5</v>
      </c>
      <c r="BQ16" s="43" t="str">
        <f t="shared" si="53"/>
        <v>A5</v>
      </c>
      <c r="BR16" s="43">
        <f t="shared" si="38"/>
        <v>67829.5</v>
      </c>
      <c r="BS16" s="59">
        <f t="shared" si="39"/>
        <v>1440</v>
      </c>
      <c r="BT16" s="61">
        <f t="shared" si="54"/>
        <v>69590</v>
      </c>
      <c r="BU16" s="43">
        <f t="shared" si="40"/>
        <v>68150</v>
      </c>
      <c r="BV16" s="43">
        <f t="shared" si="41"/>
        <v>70310</v>
      </c>
      <c r="BW16" s="43">
        <f t="shared" si="42"/>
        <v>67430</v>
      </c>
      <c r="BX16" s="43">
        <f t="shared" si="43"/>
        <v>69230</v>
      </c>
      <c r="BY16" s="43">
        <f t="shared" si="44"/>
        <v>68510</v>
      </c>
      <c r="BZ16" s="43">
        <f t="shared" si="45"/>
        <v>71750</v>
      </c>
      <c r="CA16" s="43">
        <f t="shared" si="46"/>
        <v>65990</v>
      </c>
      <c r="CB16" s="43">
        <f t="shared" si="47"/>
        <v>69110</v>
      </c>
      <c r="CC16" s="43">
        <f t="shared" si="48"/>
        <v>68630</v>
      </c>
      <c r="CD16" s="43">
        <f t="shared" si="49"/>
        <v>73190</v>
      </c>
      <c r="CE16" s="43">
        <f t="shared" si="50"/>
        <v>64550</v>
      </c>
      <c r="CF16" s="37">
        <f>(BR15+BT15)/(1+1)</f>
        <v>68404.75</v>
      </c>
      <c r="CH16" s="47">
        <f t="shared" si="12"/>
        <v>66030</v>
      </c>
      <c r="CI16" s="23">
        <f>CF19</f>
        <v>67824.75</v>
      </c>
      <c r="CJ16" s="37">
        <f t="shared" si="5"/>
        <v>-1794.75</v>
      </c>
      <c r="CK16">
        <f t="shared" si="6"/>
        <v>1794.75</v>
      </c>
      <c r="CL16">
        <f t="shared" si="7"/>
        <v>2.7180826896865063E-2</v>
      </c>
    </row>
    <row r="17" spans="1:90" ht="30">
      <c r="A17" s="1" t="s">
        <v>18</v>
      </c>
      <c r="B17" s="1">
        <v>50650</v>
      </c>
      <c r="G17">
        <v>6</v>
      </c>
      <c r="H17">
        <f t="shared" si="57"/>
        <v>70845</v>
      </c>
      <c r="I17">
        <f t="shared" si="58"/>
        <v>76876</v>
      </c>
      <c r="J17">
        <f t="shared" si="56"/>
        <v>73860.5</v>
      </c>
      <c r="Q17">
        <v>14</v>
      </c>
      <c r="R17" s="27" t="str">
        <f t="shared" si="8"/>
        <v>14/09/2023</v>
      </c>
      <c r="S17" s="27">
        <f t="shared" si="8"/>
        <v>49640</v>
      </c>
      <c r="T17" s="4" t="str">
        <f t="shared" si="9"/>
        <v>A2</v>
      </c>
      <c r="V17">
        <v>14</v>
      </c>
      <c r="W17" s="28" t="str">
        <f t="shared" si="0"/>
        <v>14/09/2023</v>
      </c>
      <c r="X17" s="28">
        <f t="shared" si="0"/>
        <v>49640</v>
      </c>
      <c r="Y17" s="28" t="str">
        <f t="shared" si="0"/>
        <v>A2</v>
      </c>
      <c r="Z17" s="5" t="str">
        <f t="shared" si="16"/>
        <v>A2</v>
      </c>
      <c r="AA17" s="5" t="str">
        <f t="shared" si="10"/>
        <v>A2</v>
      </c>
      <c r="AC17" s="20" t="s">
        <v>518</v>
      </c>
      <c r="AD17" s="20" t="s">
        <v>519</v>
      </c>
      <c r="AE17" s="20"/>
      <c r="AG17" s="49" t="str">
        <f t="shared" si="1"/>
        <v>14/09/2023</v>
      </c>
      <c r="AH17" s="46">
        <f t="shared" si="1"/>
        <v>49640</v>
      </c>
      <c r="AI17" s="49" t="str">
        <f t="shared" si="1"/>
        <v>A2</v>
      </c>
      <c r="AJ17" s="49" t="str">
        <f t="shared" si="17"/>
        <v>A2</v>
      </c>
      <c r="AK17" s="50">
        <f t="shared" si="18"/>
        <v>49736.5</v>
      </c>
      <c r="AL17" s="49" t="str">
        <f t="shared" si="30"/>
        <v>A2</v>
      </c>
      <c r="AM17" s="50">
        <f t="shared" si="18"/>
        <v>49736.5</v>
      </c>
      <c r="AN17" s="56">
        <f t="shared" si="31"/>
        <v>180</v>
      </c>
      <c r="AO17" s="57">
        <f t="shared" si="32"/>
        <v>49730</v>
      </c>
      <c r="AP17" s="23">
        <f t="shared" si="19"/>
        <v>49550</v>
      </c>
      <c r="AQ17" s="23">
        <f t="shared" si="20"/>
        <v>49820</v>
      </c>
      <c r="AR17" s="23">
        <f t="shared" si="21"/>
        <v>49460</v>
      </c>
      <c r="AS17" s="23">
        <f t="shared" si="22"/>
        <v>49685</v>
      </c>
      <c r="AT17" s="23">
        <f t="shared" si="23"/>
        <v>49595</v>
      </c>
      <c r="AU17" s="23">
        <f t="shared" si="24"/>
        <v>50000</v>
      </c>
      <c r="AV17" s="23">
        <f t="shared" si="25"/>
        <v>49280</v>
      </c>
      <c r="AW17" s="23">
        <f t="shared" si="26"/>
        <v>49670</v>
      </c>
      <c r="AX17" s="23">
        <f t="shared" si="27"/>
        <v>49610</v>
      </c>
      <c r="AY17" s="23">
        <f t="shared" si="28"/>
        <v>50180</v>
      </c>
      <c r="AZ17" s="23">
        <f t="shared" si="29"/>
        <v>49100</v>
      </c>
      <c r="BA17" s="23">
        <f t="shared" si="51"/>
        <v>50170.75</v>
      </c>
      <c r="BB17" s="43"/>
      <c r="BC17" s="51">
        <f t="shared" si="2"/>
        <v>49640</v>
      </c>
      <c r="BD17" s="52">
        <f t="shared" si="11"/>
        <v>50170.75</v>
      </c>
      <c r="BE17" s="37">
        <f t="shared" si="33"/>
        <v>-530.75</v>
      </c>
      <c r="BF17">
        <f t="shared" si="34"/>
        <v>530.75</v>
      </c>
      <c r="BG17">
        <f t="shared" si="35"/>
        <v>1.0691982272360999E-2</v>
      </c>
      <c r="BL17" s="1" t="s">
        <v>396</v>
      </c>
      <c r="BM17" s="1">
        <v>66110</v>
      </c>
      <c r="BN17" s="58" t="str">
        <f t="shared" si="36"/>
        <v>A5</v>
      </c>
      <c r="BO17" s="43" t="str">
        <f t="shared" si="52"/>
        <v>A5</v>
      </c>
      <c r="BP17" s="43">
        <f t="shared" si="37"/>
        <v>67829.5</v>
      </c>
      <c r="BQ17" s="43" t="str">
        <f t="shared" si="53"/>
        <v>A5</v>
      </c>
      <c r="BR17" s="43">
        <f t="shared" si="38"/>
        <v>67829.5</v>
      </c>
      <c r="BS17" s="59">
        <f t="shared" si="39"/>
        <v>2040</v>
      </c>
      <c r="BT17" s="60">
        <f t="shared" si="54"/>
        <v>67130</v>
      </c>
      <c r="BU17" s="43">
        <f t="shared" si="40"/>
        <v>65090</v>
      </c>
      <c r="BV17" s="43">
        <f t="shared" si="41"/>
        <v>68150</v>
      </c>
      <c r="BW17" s="43">
        <f t="shared" si="42"/>
        <v>64070</v>
      </c>
      <c r="BX17" s="43">
        <f t="shared" si="43"/>
        <v>66620</v>
      </c>
      <c r="BY17" s="43">
        <f t="shared" si="44"/>
        <v>65600</v>
      </c>
      <c r="BZ17" s="43">
        <f t="shared" si="45"/>
        <v>70190</v>
      </c>
      <c r="CA17" s="43">
        <f t="shared" si="46"/>
        <v>62030</v>
      </c>
      <c r="CB17" s="43">
        <f t="shared" si="47"/>
        <v>66450</v>
      </c>
      <c r="CC17" s="43">
        <f t="shared" si="48"/>
        <v>65770</v>
      </c>
      <c r="CD17" s="43">
        <f t="shared" si="49"/>
        <v>72230</v>
      </c>
      <c r="CE17" s="43">
        <f t="shared" si="50"/>
        <v>59990</v>
      </c>
      <c r="CF17" s="37">
        <f>(BR16+BT16)/(1+1)</f>
        <v>68709.75</v>
      </c>
      <c r="CH17" s="47">
        <f t="shared" si="12"/>
        <v>65680</v>
      </c>
      <c r="CI17" s="23">
        <f t="shared" ref="CI17:CI45" si="59">CF20</f>
        <v>66949.75</v>
      </c>
      <c r="CJ17" s="37">
        <f t="shared" si="5"/>
        <v>-1269.75</v>
      </c>
      <c r="CK17">
        <f t="shared" si="6"/>
        <v>1269.75</v>
      </c>
      <c r="CL17">
        <f t="shared" si="7"/>
        <v>1.9332369062119367E-2</v>
      </c>
    </row>
    <row r="18" spans="1:90">
      <c r="A18" s="1" t="s">
        <v>19</v>
      </c>
      <c r="B18" s="1">
        <v>49980</v>
      </c>
      <c r="G18">
        <v>7</v>
      </c>
      <c r="H18">
        <f t="shared" si="57"/>
        <v>76876</v>
      </c>
      <c r="I18">
        <f t="shared" si="58"/>
        <v>82907</v>
      </c>
      <c r="J18">
        <f t="shared" si="56"/>
        <v>79891.5</v>
      </c>
      <c r="Q18">
        <v>15</v>
      </c>
      <c r="R18" s="27" t="str">
        <f t="shared" si="8"/>
        <v>15/09/2023</v>
      </c>
      <c r="S18" s="27">
        <f t="shared" si="8"/>
        <v>49200</v>
      </c>
      <c r="T18" s="4" t="str">
        <f t="shared" si="9"/>
        <v>A2</v>
      </c>
      <c r="V18">
        <v>15</v>
      </c>
      <c r="W18" s="28" t="str">
        <f t="shared" si="0"/>
        <v>15/09/2023</v>
      </c>
      <c r="X18" s="28">
        <f t="shared" si="0"/>
        <v>49200</v>
      </c>
      <c r="Y18" s="28" t="str">
        <f t="shared" si="0"/>
        <v>A2</v>
      </c>
      <c r="Z18" s="5" t="str">
        <f t="shared" si="16"/>
        <v>A2</v>
      </c>
      <c r="AA18" s="5" t="str">
        <f t="shared" si="10"/>
        <v>A2</v>
      </c>
      <c r="AC18" s="5" t="s">
        <v>473</v>
      </c>
      <c r="AD18" s="20">
        <f>J12</f>
        <v>43705.5</v>
      </c>
      <c r="AE18" s="5"/>
      <c r="AG18" s="49" t="str">
        <f t="shared" si="1"/>
        <v>15/09/2023</v>
      </c>
      <c r="AH18" s="46">
        <f t="shared" si="1"/>
        <v>49200</v>
      </c>
      <c r="AI18" s="49" t="str">
        <f t="shared" si="1"/>
        <v>A2</v>
      </c>
      <c r="AJ18" s="49" t="str">
        <f t="shared" si="17"/>
        <v>A2</v>
      </c>
      <c r="AK18" s="50">
        <f t="shared" si="18"/>
        <v>49736.5</v>
      </c>
      <c r="AL18" s="49" t="str">
        <f t="shared" si="30"/>
        <v>A2</v>
      </c>
      <c r="AM18" s="50">
        <f t="shared" si="18"/>
        <v>49736.5</v>
      </c>
      <c r="AN18" s="56">
        <f t="shared" si="31"/>
        <v>440</v>
      </c>
      <c r="AO18" s="57">
        <f t="shared" si="32"/>
        <v>49420</v>
      </c>
      <c r="AP18" s="23">
        <f t="shared" si="19"/>
        <v>48980</v>
      </c>
      <c r="AQ18" s="23">
        <f t="shared" si="20"/>
        <v>49640</v>
      </c>
      <c r="AR18" s="23">
        <f t="shared" si="21"/>
        <v>48760</v>
      </c>
      <c r="AS18" s="23">
        <f t="shared" si="22"/>
        <v>49310</v>
      </c>
      <c r="AT18" s="23">
        <f t="shared" si="23"/>
        <v>49090</v>
      </c>
      <c r="AU18" s="23">
        <f t="shared" si="24"/>
        <v>50080</v>
      </c>
      <c r="AV18" s="23">
        <f t="shared" si="25"/>
        <v>48320</v>
      </c>
      <c r="AW18" s="23">
        <f t="shared" si="26"/>
        <v>49273.333333333336</v>
      </c>
      <c r="AX18" s="23">
        <f t="shared" si="27"/>
        <v>49126.666666666664</v>
      </c>
      <c r="AY18" s="23">
        <f t="shared" si="28"/>
        <v>50520</v>
      </c>
      <c r="AZ18" s="23">
        <f t="shared" si="29"/>
        <v>47880</v>
      </c>
      <c r="BA18" s="23">
        <f t="shared" si="51"/>
        <v>49733.25</v>
      </c>
      <c r="BB18" s="43"/>
      <c r="BC18" s="51">
        <f t="shared" si="2"/>
        <v>49200</v>
      </c>
      <c r="BD18" s="52">
        <f t="shared" si="11"/>
        <v>49733.25</v>
      </c>
      <c r="BE18" s="37">
        <f t="shared" si="33"/>
        <v>-533.25</v>
      </c>
      <c r="BF18">
        <f t="shared" si="34"/>
        <v>533.25</v>
      </c>
      <c r="BG18">
        <f t="shared" si="35"/>
        <v>1.0838414634146341E-2</v>
      </c>
      <c r="BL18" s="1" t="s">
        <v>397</v>
      </c>
      <c r="BM18" s="1">
        <v>66770</v>
      </c>
      <c r="BN18" s="58" t="str">
        <f t="shared" si="36"/>
        <v>A5</v>
      </c>
      <c r="BO18" s="43" t="str">
        <f t="shared" si="52"/>
        <v>A5</v>
      </c>
      <c r="BP18" s="43">
        <f t="shared" si="37"/>
        <v>67829.5</v>
      </c>
      <c r="BQ18" s="43" t="str">
        <f t="shared" si="53"/>
        <v>A5</v>
      </c>
      <c r="BR18" s="43">
        <f t="shared" si="38"/>
        <v>67829.5</v>
      </c>
      <c r="BS18" s="59">
        <f t="shared" si="39"/>
        <v>2100</v>
      </c>
      <c r="BT18" s="60">
        <f t="shared" si="54"/>
        <v>67820</v>
      </c>
      <c r="BU18" s="43">
        <f t="shared" si="40"/>
        <v>65720</v>
      </c>
      <c r="BV18" s="43">
        <f t="shared" si="41"/>
        <v>68870</v>
      </c>
      <c r="BW18" s="43">
        <f t="shared" si="42"/>
        <v>64670</v>
      </c>
      <c r="BX18" s="43">
        <f t="shared" si="43"/>
        <v>67295</v>
      </c>
      <c r="BY18" s="43">
        <f t="shared" si="44"/>
        <v>66245</v>
      </c>
      <c r="BZ18" s="43">
        <f t="shared" si="45"/>
        <v>70970</v>
      </c>
      <c r="CA18" s="43">
        <f t="shared" si="46"/>
        <v>62570</v>
      </c>
      <c r="CB18" s="43">
        <f t="shared" si="47"/>
        <v>67120</v>
      </c>
      <c r="CC18" s="43">
        <f t="shared" si="48"/>
        <v>66420</v>
      </c>
      <c r="CD18" s="43">
        <f t="shared" si="49"/>
        <v>73070</v>
      </c>
      <c r="CE18" s="43">
        <f t="shared" si="50"/>
        <v>60470</v>
      </c>
      <c r="CF18" s="37">
        <f t="shared" si="55"/>
        <v>67479.75</v>
      </c>
      <c r="CH18" s="47">
        <f t="shared" si="12"/>
        <v>65600</v>
      </c>
      <c r="CI18" s="23">
        <f t="shared" si="59"/>
        <v>66852.25</v>
      </c>
      <c r="CJ18" s="37">
        <f t="shared" si="5"/>
        <v>-1252.25</v>
      </c>
      <c r="CK18">
        <f t="shared" si="6"/>
        <v>1252.25</v>
      </c>
      <c r="CL18">
        <f t="shared" si="7"/>
        <v>1.9089176829268292E-2</v>
      </c>
    </row>
    <row r="19" spans="1:90">
      <c r="A19" s="1" t="s">
        <v>20</v>
      </c>
      <c r="B19" s="1">
        <v>52830</v>
      </c>
      <c r="G19">
        <v>8</v>
      </c>
      <c r="H19">
        <f t="shared" si="57"/>
        <v>82907</v>
      </c>
      <c r="I19">
        <f t="shared" si="58"/>
        <v>88938</v>
      </c>
      <c r="J19">
        <f t="shared" si="56"/>
        <v>85922.5</v>
      </c>
      <c r="Q19">
        <v>16</v>
      </c>
      <c r="R19" s="27" t="str">
        <f t="shared" si="8"/>
        <v>16/09/2023</v>
      </c>
      <c r="S19" s="27">
        <f t="shared" si="8"/>
        <v>50650</v>
      </c>
      <c r="T19" s="4" t="str">
        <f t="shared" si="9"/>
        <v>A2</v>
      </c>
      <c r="V19">
        <v>16</v>
      </c>
      <c r="W19" s="28" t="str">
        <f t="shared" si="0"/>
        <v>16/09/2023</v>
      </c>
      <c r="X19" s="28">
        <f t="shared" si="0"/>
        <v>50650</v>
      </c>
      <c r="Y19" s="28" t="str">
        <f t="shared" si="0"/>
        <v>A2</v>
      </c>
      <c r="Z19" s="5" t="str">
        <f t="shared" si="16"/>
        <v>A2</v>
      </c>
      <c r="AA19" s="5" t="str">
        <f t="shared" si="10"/>
        <v>A2</v>
      </c>
      <c r="AC19" s="5" t="s">
        <v>478</v>
      </c>
      <c r="AD19" s="20">
        <f t="shared" ref="AD19:AD27" si="60">J13</f>
        <v>49736.5</v>
      </c>
      <c r="AE19" s="5"/>
      <c r="AG19" s="49" t="str">
        <f t="shared" si="1"/>
        <v>16/09/2023</v>
      </c>
      <c r="AH19" s="46">
        <f t="shared" si="1"/>
        <v>50650</v>
      </c>
      <c r="AI19" s="49" t="str">
        <f t="shared" si="1"/>
        <v>A2</v>
      </c>
      <c r="AJ19" s="49" t="str">
        <f t="shared" si="17"/>
        <v>A2</v>
      </c>
      <c r="AK19" s="50">
        <f t="shared" si="18"/>
        <v>49736.5</v>
      </c>
      <c r="AL19" s="49" t="str">
        <f t="shared" si="30"/>
        <v>A2</v>
      </c>
      <c r="AM19" s="50">
        <f t="shared" si="18"/>
        <v>49736.5</v>
      </c>
      <c r="AN19" s="56">
        <f t="shared" si="31"/>
        <v>1010</v>
      </c>
      <c r="AO19" s="57">
        <f t="shared" si="32"/>
        <v>51155</v>
      </c>
      <c r="AP19" s="23">
        <f t="shared" si="19"/>
        <v>50145</v>
      </c>
      <c r="AQ19" s="23">
        <f t="shared" si="20"/>
        <v>51660</v>
      </c>
      <c r="AR19" s="23">
        <f t="shared" si="21"/>
        <v>49640</v>
      </c>
      <c r="AS19" s="23">
        <f t="shared" si="22"/>
        <v>50902.5</v>
      </c>
      <c r="AT19" s="23">
        <f t="shared" si="23"/>
        <v>50397.5</v>
      </c>
      <c r="AU19" s="23">
        <f t="shared" si="24"/>
        <v>52670</v>
      </c>
      <c r="AV19" s="23">
        <f t="shared" si="25"/>
        <v>48630</v>
      </c>
      <c r="AW19" s="23">
        <f t="shared" si="26"/>
        <v>50818.333333333336</v>
      </c>
      <c r="AX19" s="23">
        <f t="shared" si="27"/>
        <v>50481.666666666664</v>
      </c>
      <c r="AY19" s="23">
        <f t="shared" si="28"/>
        <v>53680</v>
      </c>
      <c r="AZ19" s="23">
        <f t="shared" si="29"/>
        <v>47620</v>
      </c>
      <c r="BA19" s="23">
        <f t="shared" si="51"/>
        <v>49578.25</v>
      </c>
      <c r="BB19" s="43"/>
      <c r="BC19" s="51">
        <f t="shared" si="2"/>
        <v>50650</v>
      </c>
      <c r="BD19" s="52">
        <f t="shared" si="11"/>
        <v>49578.25</v>
      </c>
      <c r="BE19" s="37">
        <f t="shared" si="33"/>
        <v>1071.75</v>
      </c>
      <c r="BF19">
        <f t="shared" si="34"/>
        <v>1071.75</v>
      </c>
      <c r="BG19">
        <f t="shared" si="35"/>
        <v>2.1159921026653504E-2</v>
      </c>
      <c r="BL19" s="1" t="s">
        <v>398</v>
      </c>
      <c r="BM19" s="1">
        <v>66030</v>
      </c>
      <c r="BN19" s="58" t="str">
        <f t="shared" si="36"/>
        <v>A5</v>
      </c>
      <c r="BO19" s="43" t="str">
        <f t="shared" si="52"/>
        <v>A5</v>
      </c>
      <c r="BP19" s="43">
        <f t="shared" si="37"/>
        <v>67829.5</v>
      </c>
      <c r="BQ19" s="43" t="str">
        <f t="shared" si="53"/>
        <v>A5</v>
      </c>
      <c r="BR19" s="43">
        <f t="shared" si="38"/>
        <v>67829.5</v>
      </c>
      <c r="BS19" s="59">
        <f t="shared" si="39"/>
        <v>80</v>
      </c>
      <c r="BT19" s="60">
        <f t="shared" si="54"/>
        <v>66070</v>
      </c>
      <c r="BU19" s="43">
        <f t="shared" si="40"/>
        <v>65990</v>
      </c>
      <c r="BV19" s="43">
        <f t="shared" si="41"/>
        <v>66110</v>
      </c>
      <c r="BW19" s="43">
        <f t="shared" si="42"/>
        <v>65950</v>
      </c>
      <c r="BX19" s="43">
        <f t="shared" si="43"/>
        <v>66050</v>
      </c>
      <c r="BY19" s="43">
        <f t="shared" si="44"/>
        <v>66010</v>
      </c>
      <c r="BZ19" s="43">
        <f t="shared" si="45"/>
        <v>66190</v>
      </c>
      <c r="CA19" s="43">
        <f t="shared" si="46"/>
        <v>65870</v>
      </c>
      <c r="CB19" s="43">
        <f t="shared" si="47"/>
        <v>66043.333333333328</v>
      </c>
      <c r="CC19" s="43">
        <f t="shared" si="48"/>
        <v>66016.666666666672</v>
      </c>
      <c r="CD19" s="43">
        <f t="shared" si="49"/>
        <v>66270</v>
      </c>
      <c r="CE19" s="43">
        <f t="shared" si="50"/>
        <v>65790</v>
      </c>
      <c r="CF19" s="37">
        <f>(BR18+BT18)/(1+1)</f>
        <v>67824.75</v>
      </c>
      <c r="CH19" s="47">
        <f t="shared" si="12"/>
        <v>64360</v>
      </c>
      <c r="CI19" s="23">
        <f t="shared" si="59"/>
        <v>66782.25</v>
      </c>
      <c r="CJ19" s="37">
        <f t="shared" si="5"/>
        <v>-2422.25</v>
      </c>
      <c r="CK19">
        <f t="shared" si="6"/>
        <v>2422.25</v>
      </c>
      <c r="CL19">
        <f t="shared" si="7"/>
        <v>3.763595400870106E-2</v>
      </c>
    </row>
    <row r="20" spans="1:90">
      <c r="A20" s="1" t="s">
        <v>21</v>
      </c>
      <c r="B20" s="1">
        <v>50560</v>
      </c>
      <c r="G20">
        <v>9</v>
      </c>
      <c r="H20">
        <f t="shared" si="57"/>
        <v>88938</v>
      </c>
      <c r="I20">
        <f t="shared" si="58"/>
        <v>94969</v>
      </c>
      <c r="J20">
        <f t="shared" si="56"/>
        <v>91953.5</v>
      </c>
      <c r="Q20">
        <v>17</v>
      </c>
      <c r="R20" s="27" t="str">
        <f t="shared" si="8"/>
        <v>17/09/2023</v>
      </c>
      <c r="S20" s="27">
        <f t="shared" si="8"/>
        <v>49980</v>
      </c>
      <c r="T20" s="4" t="str">
        <f t="shared" si="9"/>
        <v>A2</v>
      </c>
      <c r="V20">
        <v>17</v>
      </c>
      <c r="W20" s="28" t="str">
        <f t="shared" si="0"/>
        <v>17/09/2023</v>
      </c>
      <c r="X20" s="28">
        <f t="shared" si="0"/>
        <v>49980</v>
      </c>
      <c r="Y20" s="28" t="str">
        <f t="shared" si="0"/>
        <v>A2</v>
      </c>
      <c r="Z20" s="5" t="str">
        <f t="shared" si="16"/>
        <v>A2</v>
      </c>
      <c r="AA20" s="5" t="str">
        <f t="shared" si="10"/>
        <v>A2</v>
      </c>
      <c r="AC20" s="5" t="s">
        <v>483</v>
      </c>
      <c r="AD20" s="20">
        <f t="shared" si="60"/>
        <v>55767.5</v>
      </c>
      <c r="AE20" s="5"/>
      <c r="AG20" s="49" t="str">
        <f t="shared" si="1"/>
        <v>17/09/2023</v>
      </c>
      <c r="AH20" s="46">
        <f t="shared" si="1"/>
        <v>49980</v>
      </c>
      <c r="AI20" s="49" t="str">
        <f t="shared" si="1"/>
        <v>A2</v>
      </c>
      <c r="AJ20" s="49" t="str">
        <f t="shared" si="17"/>
        <v>A2</v>
      </c>
      <c r="AK20" s="50">
        <f t="shared" si="18"/>
        <v>49736.5</v>
      </c>
      <c r="AL20" s="49" t="str">
        <f t="shared" si="30"/>
        <v>A2</v>
      </c>
      <c r="AM20" s="50">
        <f t="shared" si="18"/>
        <v>49736.5</v>
      </c>
      <c r="AN20" s="56">
        <f t="shared" si="31"/>
        <v>780</v>
      </c>
      <c r="AO20" s="57">
        <f t="shared" si="32"/>
        <v>50370</v>
      </c>
      <c r="AP20" s="23">
        <f t="shared" si="19"/>
        <v>49590</v>
      </c>
      <c r="AQ20" s="23">
        <f t="shared" si="20"/>
        <v>50760</v>
      </c>
      <c r="AR20" s="23">
        <f t="shared" si="21"/>
        <v>49200</v>
      </c>
      <c r="AS20" s="23">
        <f t="shared" si="22"/>
        <v>50175</v>
      </c>
      <c r="AT20" s="23">
        <f t="shared" si="23"/>
        <v>49785</v>
      </c>
      <c r="AU20" s="23">
        <f t="shared" si="24"/>
        <v>51540</v>
      </c>
      <c r="AV20" s="23">
        <f t="shared" si="25"/>
        <v>48420</v>
      </c>
      <c r="AW20" s="23">
        <f t="shared" si="26"/>
        <v>50110</v>
      </c>
      <c r="AX20" s="23">
        <f t="shared" si="27"/>
        <v>49850</v>
      </c>
      <c r="AY20" s="23">
        <f t="shared" si="28"/>
        <v>52320</v>
      </c>
      <c r="AZ20" s="23">
        <f t="shared" si="29"/>
        <v>47640</v>
      </c>
      <c r="BA20" s="23">
        <f t="shared" si="51"/>
        <v>50445.75</v>
      </c>
      <c r="BB20" s="43"/>
      <c r="BC20" s="51">
        <f t="shared" si="2"/>
        <v>49980</v>
      </c>
      <c r="BD20" s="52">
        <f t="shared" si="11"/>
        <v>50445.75</v>
      </c>
      <c r="BE20" s="37">
        <f t="shared" si="33"/>
        <v>-465.75</v>
      </c>
      <c r="BF20">
        <f t="shared" si="34"/>
        <v>465.75</v>
      </c>
      <c r="BG20">
        <f t="shared" si="35"/>
        <v>9.3187274909963987E-3</v>
      </c>
      <c r="BL20" s="1" t="s">
        <v>399</v>
      </c>
      <c r="BM20" s="1">
        <v>65680</v>
      </c>
      <c r="BN20" s="58" t="str">
        <f t="shared" si="36"/>
        <v>A5</v>
      </c>
      <c r="BO20" s="43" t="str">
        <f t="shared" si="52"/>
        <v>A5</v>
      </c>
      <c r="BP20" s="43">
        <f t="shared" si="37"/>
        <v>67829.5</v>
      </c>
      <c r="BQ20" s="43" t="str">
        <f t="shared" si="53"/>
        <v>A5</v>
      </c>
      <c r="BR20" s="43">
        <f t="shared" si="38"/>
        <v>67829.5</v>
      </c>
      <c r="BS20" s="59">
        <f t="shared" si="39"/>
        <v>390</v>
      </c>
      <c r="BT20" s="60">
        <f t="shared" si="54"/>
        <v>65875</v>
      </c>
      <c r="BU20" s="43">
        <f t="shared" si="40"/>
        <v>65485</v>
      </c>
      <c r="BV20" s="43">
        <f t="shared" si="41"/>
        <v>66070</v>
      </c>
      <c r="BW20" s="43">
        <f t="shared" si="42"/>
        <v>65290</v>
      </c>
      <c r="BX20" s="43">
        <f t="shared" si="43"/>
        <v>65777.5</v>
      </c>
      <c r="BY20" s="43">
        <f t="shared" si="44"/>
        <v>65582.5</v>
      </c>
      <c r="BZ20" s="43">
        <f t="shared" si="45"/>
        <v>66460</v>
      </c>
      <c r="CA20" s="43">
        <f t="shared" si="46"/>
        <v>64900</v>
      </c>
      <c r="CB20" s="43">
        <f t="shared" si="47"/>
        <v>65745</v>
      </c>
      <c r="CC20" s="43">
        <f t="shared" si="48"/>
        <v>65615</v>
      </c>
      <c r="CD20" s="43">
        <f t="shared" si="49"/>
        <v>66850</v>
      </c>
      <c r="CE20" s="43">
        <f t="shared" si="50"/>
        <v>64510</v>
      </c>
      <c r="CF20" s="37">
        <f t="shared" ref="CF20:CF48" si="61">(BR19+BT19)/(1+1)</f>
        <v>66949.75</v>
      </c>
      <c r="CH20" s="47">
        <f t="shared" si="12"/>
        <v>64630</v>
      </c>
      <c r="CI20" s="23">
        <f t="shared" si="59"/>
        <v>62789.25</v>
      </c>
      <c r="CJ20" s="37">
        <f t="shared" si="5"/>
        <v>1840.75</v>
      </c>
      <c r="CK20">
        <f t="shared" si="6"/>
        <v>1840.75</v>
      </c>
      <c r="CL20">
        <f t="shared" si="7"/>
        <v>2.8481355407705401E-2</v>
      </c>
    </row>
    <row r="21" spans="1:90">
      <c r="A21" s="1" t="s">
        <v>22</v>
      </c>
      <c r="B21" s="1">
        <v>53130</v>
      </c>
      <c r="G21">
        <v>10</v>
      </c>
      <c r="H21">
        <f t="shared" si="57"/>
        <v>94969</v>
      </c>
      <c r="I21">
        <f t="shared" si="58"/>
        <v>101000</v>
      </c>
      <c r="J21">
        <f t="shared" si="56"/>
        <v>97984.5</v>
      </c>
      <c r="Q21">
        <v>18</v>
      </c>
      <c r="R21" s="27" t="str">
        <f t="shared" si="8"/>
        <v>18/09/2023</v>
      </c>
      <c r="S21" s="27">
        <f t="shared" si="8"/>
        <v>52830</v>
      </c>
      <c r="T21" s="4" t="str">
        <f t="shared" si="9"/>
        <v>A3</v>
      </c>
      <c r="V21">
        <v>18</v>
      </c>
      <c r="W21" s="28" t="str">
        <f t="shared" si="0"/>
        <v>18/09/2023</v>
      </c>
      <c r="X21" s="28">
        <f t="shared" si="0"/>
        <v>52830</v>
      </c>
      <c r="Y21" s="28" t="str">
        <f t="shared" si="0"/>
        <v>A3</v>
      </c>
      <c r="Z21" s="5" t="str">
        <f t="shared" si="16"/>
        <v>A2</v>
      </c>
      <c r="AA21" s="5" t="str">
        <f t="shared" si="10"/>
        <v>A3</v>
      </c>
      <c r="AC21" s="5" t="s">
        <v>488</v>
      </c>
      <c r="AD21" s="20">
        <f t="shared" si="60"/>
        <v>61798.5</v>
      </c>
      <c r="AE21" s="5"/>
      <c r="AG21" s="49" t="str">
        <f t="shared" si="1"/>
        <v>18/09/2023</v>
      </c>
      <c r="AH21" s="46">
        <f t="shared" si="1"/>
        <v>52830</v>
      </c>
      <c r="AI21" s="49" t="str">
        <f t="shared" si="1"/>
        <v>A3</v>
      </c>
      <c r="AJ21" s="49" t="str">
        <f t="shared" si="17"/>
        <v>A2</v>
      </c>
      <c r="AK21" s="50">
        <f t="shared" si="18"/>
        <v>49736.5</v>
      </c>
      <c r="AL21" s="49" t="str">
        <f t="shared" si="30"/>
        <v>A3</v>
      </c>
      <c r="AM21" s="50">
        <f t="shared" si="18"/>
        <v>55767.5</v>
      </c>
      <c r="AN21" s="56">
        <f t="shared" si="31"/>
        <v>2180</v>
      </c>
      <c r="AO21" s="57">
        <f t="shared" si="32"/>
        <v>53920</v>
      </c>
      <c r="AP21" s="23">
        <f t="shared" si="19"/>
        <v>51740</v>
      </c>
      <c r="AQ21" s="23">
        <f t="shared" si="20"/>
        <v>55010</v>
      </c>
      <c r="AR21" s="23">
        <f t="shared" si="21"/>
        <v>50650</v>
      </c>
      <c r="AS21" s="23">
        <f t="shared" si="22"/>
        <v>53375</v>
      </c>
      <c r="AT21" s="23">
        <f t="shared" si="23"/>
        <v>52285</v>
      </c>
      <c r="AU21" s="23">
        <f t="shared" si="24"/>
        <v>57190</v>
      </c>
      <c r="AV21" s="23">
        <f t="shared" si="25"/>
        <v>48470</v>
      </c>
      <c r="AW21" s="23">
        <f t="shared" si="26"/>
        <v>53193.333333333336</v>
      </c>
      <c r="AX21" s="23">
        <f t="shared" si="27"/>
        <v>52466.666666666664</v>
      </c>
      <c r="AY21" s="23">
        <f t="shared" si="28"/>
        <v>59370</v>
      </c>
      <c r="AZ21" s="23">
        <f t="shared" si="29"/>
        <v>46290</v>
      </c>
      <c r="BA21" s="23">
        <f t="shared" si="51"/>
        <v>50053.25</v>
      </c>
      <c r="BB21" s="43"/>
      <c r="BC21" s="51">
        <f t="shared" si="2"/>
        <v>52830</v>
      </c>
      <c r="BD21" s="52">
        <f t="shared" si="11"/>
        <v>50053.25</v>
      </c>
      <c r="BE21" s="37">
        <f t="shared" si="33"/>
        <v>2776.75</v>
      </c>
      <c r="BF21">
        <f t="shared" si="34"/>
        <v>2776.75</v>
      </c>
      <c r="BG21">
        <f t="shared" si="35"/>
        <v>5.2560098428922959E-2</v>
      </c>
      <c r="BL21" s="1" t="s">
        <v>400</v>
      </c>
      <c r="BM21" s="1">
        <v>65600</v>
      </c>
      <c r="BN21" s="58" t="str">
        <f t="shared" si="36"/>
        <v>A5</v>
      </c>
      <c r="BO21" s="43" t="str">
        <f t="shared" si="52"/>
        <v>A5</v>
      </c>
      <c r="BP21" s="43">
        <f t="shared" si="37"/>
        <v>67829.5</v>
      </c>
      <c r="BQ21" s="43" t="str">
        <f t="shared" si="53"/>
        <v>A5</v>
      </c>
      <c r="BR21" s="43">
        <f t="shared" si="38"/>
        <v>67829.5</v>
      </c>
      <c r="BS21" s="59">
        <f t="shared" si="39"/>
        <v>270</v>
      </c>
      <c r="BT21" s="60">
        <f t="shared" si="54"/>
        <v>65735</v>
      </c>
      <c r="BU21" s="43">
        <f t="shared" si="40"/>
        <v>65465</v>
      </c>
      <c r="BV21" s="43">
        <f t="shared" si="41"/>
        <v>65870</v>
      </c>
      <c r="BW21" s="43">
        <f t="shared" si="42"/>
        <v>65330</v>
      </c>
      <c r="BX21" s="43">
        <f t="shared" si="43"/>
        <v>65667.5</v>
      </c>
      <c r="BY21" s="43">
        <f t="shared" si="44"/>
        <v>65532.5</v>
      </c>
      <c r="BZ21" s="43">
        <f t="shared" si="45"/>
        <v>66140</v>
      </c>
      <c r="CA21" s="43">
        <f t="shared" si="46"/>
        <v>65060</v>
      </c>
      <c r="CB21" s="43">
        <f t="shared" si="47"/>
        <v>65645</v>
      </c>
      <c r="CC21" s="43">
        <f t="shared" si="48"/>
        <v>65555</v>
      </c>
      <c r="CD21" s="43">
        <f t="shared" si="49"/>
        <v>66410</v>
      </c>
      <c r="CE21" s="43">
        <f t="shared" si="50"/>
        <v>64790</v>
      </c>
      <c r="CF21" s="37">
        <f t="shared" si="61"/>
        <v>66852.25</v>
      </c>
      <c r="CH21" s="47">
        <f t="shared" si="12"/>
        <v>64260</v>
      </c>
      <c r="CI21" s="23">
        <f t="shared" si="59"/>
        <v>62971.75</v>
      </c>
      <c r="CJ21" s="37">
        <f t="shared" si="5"/>
        <v>1288.25</v>
      </c>
      <c r="CK21">
        <f t="shared" si="6"/>
        <v>1288.25</v>
      </c>
      <c r="CL21">
        <f t="shared" si="7"/>
        <v>2.0047463429816371E-2</v>
      </c>
    </row>
    <row r="22" spans="1:90">
      <c r="A22" s="1" t="s">
        <v>23</v>
      </c>
      <c r="B22" s="1">
        <v>53580</v>
      </c>
      <c r="Q22">
        <v>19</v>
      </c>
      <c r="R22" s="27" t="str">
        <f t="shared" si="8"/>
        <v>19/09/2023</v>
      </c>
      <c r="S22" s="27">
        <f t="shared" si="8"/>
        <v>50560</v>
      </c>
      <c r="T22" s="4" t="str">
        <f t="shared" si="9"/>
        <v>A2</v>
      </c>
      <c r="V22">
        <v>19</v>
      </c>
      <c r="W22" s="28" t="str">
        <f t="shared" si="0"/>
        <v>19/09/2023</v>
      </c>
      <c r="X22" s="28">
        <f t="shared" si="0"/>
        <v>50560</v>
      </c>
      <c r="Y22" s="28" t="str">
        <f t="shared" si="0"/>
        <v>A2</v>
      </c>
      <c r="Z22" s="5" t="str">
        <f t="shared" si="16"/>
        <v>A3</v>
      </c>
      <c r="AA22" s="5" t="str">
        <f t="shared" si="10"/>
        <v>A2</v>
      </c>
      <c r="AC22" s="5" t="s">
        <v>491</v>
      </c>
      <c r="AD22" s="20">
        <f t="shared" si="60"/>
        <v>67829.5</v>
      </c>
      <c r="AE22" s="5"/>
      <c r="AG22" s="49" t="str">
        <f t="shared" si="1"/>
        <v>19/09/2023</v>
      </c>
      <c r="AH22" s="46">
        <f t="shared" si="1"/>
        <v>50560</v>
      </c>
      <c r="AI22" s="49" t="str">
        <f t="shared" si="1"/>
        <v>A2</v>
      </c>
      <c r="AJ22" s="49" t="str">
        <f t="shared" si="17"/>
        <v>A3</v>
      </c>
      <c r="AK22" s="50">
        <f t="shared" si="18"/>
        <v>55767.5</v>
      </c>
      <c r="AL22" s="49" t="str">
        <f t="shared" si="30"/>
        <v>A2</v>
      </c>
      <c r="AM22" s="50">
        <f t="shared" si="18"/>
        <v>49736.5</v>
      </c>
      <c r="AN22" s="56">
        <f t="shared" si="31"/>
        <v>580</v>
      </c>
      <c r="AO22" s="57">
        <f t="shared" si="32"/>
        <v>50850</v>
      </c>
      <c r="AP22" s="23">
        <f t="shared" si="19"/>
        <v>50270</v>
      </c>
      <c r="AQ22" s="23">
        <f t="shared" si="20"/>
        <v>51140</v>
      </c>
      <c r="AR22" s="23">
        <f t="shared" si="21"/>
        <v>49980</v>
      </c>
      <c r="AS22" s="23">
        <f t="shared" si="22"/>
        <v>50705</v>
      </c>
      <c r="AT22" s="23">
        <f t="shared" si="23"/>
        <v>50415</v>
      </c>
      <c r="AU22" s="23">
        <f t="shared" si="24"/>
        <v>51720</v>
      </c>
      <c r="AV22" s="23">
        <f t="shared" si="25"/>
        <v>49400</v>
      </c>
      <c r="AW22" s="23">
        <f t="shared" si="26"/>
        <v>50656.666666666664</v>
      </c>
      <c r="AX22" s="23">
        <f t="shared" si="27"/>
        <v>50463.333333333336</v>
      </c>
      <c r="AY22" s="23">
        <f t="shared" si="28"/>
        <v>52300</v>
      </c>
      <c r="AZ22" s="23">
        <f t="shared" si="29"/>
        <v>48820</v>
      </c>
      <c r="BA22" s="23">
        <f t="shared" si="51"/>
        <v>54843.75</v>
      </c>
      <c r="BB22" s="43"/>
      <c r="BC22" s="51">
        <f t="shared" si="2"/>
        <v>50560</v>
      </c>
      <c r="BD22" s="52">
        <f t="shared" si="11"/>
        <v>54843.75</v>
      </c>
      <c r="BE22" s="37">
        <f t="shared" si="33"/>
        <v>-4283.75</v>
      </c>
      <c r="BF22">
        <f t="shared" si="34"/>
        <v>4283.75</v>
      </c>
      <c r="BG22">
        <f t="shared" si="35"/>
        <v>8.4726068037974681E-2</v>
      </c>
      <c r="BL22" s="1" t="s">
        <v>401</v>
      </c>
      <c r="BM22" s="1">
        <v>64360</v>
      </c>
      <c r="BN22" s="58" t="str">
        <f t="shared" si="36"/>
        <v>A4</v>
      </c>
      <c r="BO22" s="43" t="str">
        <f t="shared" si="52"/>
        <v>A5</v>
      </c>
      <c r="BP22" s="43">
        <f t="shared" si="37"/>
        <v>67829.5</v>
      </c>
      <c r="BQ22" s="43" t="str">
        <f t="shared" si="53"/>
        <v>A4</v>
      </c>
      <c r="BR22" s="43">
        <f t="shared" si="38"/>
        <v>61798.5</v>
      </c>
      <c r="BS22" s="59">
        <f t="shared" si="39"/>
        <v>1160</v>
      </c>
      <c r="BT22" s="43">
        <f t="shared" si="54"/>
        <v>64940</v>
      </c>
      <c r="BU22" s="61">
        <f t="shared" si="40"/>
        <v>63780</v>
      </c>
      <c r="BV22" s="43">
        <f t="shared" si="41"/>
        <v>65520</v>
      </c>
      <c r="BW22" s="43">
        <f t="shared" si="42"/>
        <v>63200</v>
      </c>
      <c r="BX22" s="43">
        <f t="shared" si="43"/>
        <v>64650</v>
      </c>
      <c r="BY22" s="43">
        <f t="shared" si="44"/>
        <v>64070</v>
      </c>
      <c r="BZ22" s="43">
        <f t="shared" si="45"/>
        <v>66680</v>
      </c>
      <c r="CA22" s="43">
        <f t="shared" si="46"/>
        <v>62040</v>
      </c>
      <c r="CB22" s="43">
        <f t="shared" si="47"/>
        <v>64553.333333333336</v>
      </c>
      <c r="CC22" s="43">
        <f t="shared" si="48"/>
        <v>64166.666666666664</v>
      </c>
      <c r="CD22" s="43">
        <f t="shared" si="49"/>
        <v>67840</v>
      </c>
      <c r="CE22" s="43">
        <f t="shared" si="50"/>
        <v>60880</v>
      </c>
      <c r="CF22" s="37">
        <f t="shared" si="61"/>
        <v>66782.25</v>
      </c>
      <c r="CH22" s="47">
        <f t="shared" si="12"/>
        <v>63710</v>
      </c>
      <c r="CI22" s="23">
        <f t="shared" si="59"/>
        <v>63054.25</v>
      </c>
      <c r="CJ22" s="37">
        <f t="shared" si="5"/>
        <v>655.75</v>
      </c>
      <c r="CK22">
        <f t="shared" si="6"/>
        <v>655.75</v>
      </c>
      <c r="CL22">
        <f t="shared" si="7"/>
        <v>1.0292732695024329E-2</v>
      </c>
    </row>
    <row r="23" spans="1:90">
      <c r="A23" s="1" t="s">
        <v>24</v>
      </c>
      <c r="B23" s="1">
        <v>55150</v>
      </c>
      <c r="Q23">
        <v>20</v>
      </c>
      <c r="R23" s="27" t="str">
        <f t="shared" si="8"/>
        <v>20/09/2023</v>
      </c>
      <c r="S23" s="27">
        <f t="shared" si="8"/>
        <v>53130</v>
      </c>
      <c r="T23" s="4" t="str">
        <f t="shared" si="9"/>
        <v>A3</v>
      </c>
      <c r="V23">
        <v>20</v>
      </c>
      <c r="W23" s="28" t="str">
        <f t="shared" si="0"/>
        <v>20/09/2023</v>
      </c>
      <c r="X23" s="28">
        <f t="shared" si="0"/>
        <v>53130</v>
      </c>
      <c r="Y23" s="28" t="str">
        <f t="shared" si="0"/>
        <v>A3</v>
      </c>
      <c r="Z23" s="5" t="str">
        <f t="shared" si="16"/>
        <v>A2</v>
      </c>
      <c r="AA23" s="5" t="str">
        <f t="shared" si="10"/>
        <v>A3</v>
      </c>
      <c r="AC23" s="5" t="s">
        <v>495</v>
      </c>
      <c r="AD23" s="20">
        <f t="shared" si="60"/>
        <v>73860.5</v>
      </c>
      <c r="AE23" s="5"/>
      <c r="AG23" s="49" t="str">
        <f t="shared" si="1"/>
        <v>20/09/2023</v>
      </c>
      <c r="AH23" s="46">
        <f t="shared" si="1"/>
        <v>53130</v>
      </c>
      <c r="AI23" s="49" t="str">
        <f t="shared" si="1"/>
        <v>A3</v>
      </c>
      <c r="AJ23" s="49" t="str">
        <f t="shared" si="17"/>
        <v>A2</v>
      </c>
      <c r="AK23" s="50">
        <f t="shared" si="18"/>
        <v>49736.5</v>
      </c>
      <c r="AL23" s="49" t="str">
        <f t="shared" si="30"/>
        <v>A3</v>
      </c>
      <c r="AM23" s="50">
        <f t="shared" si="18"/>
        <v>55767.5</v>
      </c>
      <c r="AN23" s="56">
        <f t="shared" si="31"/>
        <v>300</v>
      </c>
      <c r="AO23" s="57">
        <f t="shared" si="32"/>
        <v>53280</v>
      </c>
      <c r="AP23" s="23">
        <f t="shared" si="19"/>
        <v>52980</v>
      </c>
      <c r="AQ23" s="23">
        <f t="shared" si="20"/>
        <v>53430</v>
      </c>
      <c r="AR23" s="23">
        <f t="shared" si="21"/>
        <v>52830</v>
      </c>
      <c r="AS23" s="23">
        <f t="shared" si="22"/>
        <v>53205</v>
      </c>
      <c r="AT23" s="23">
        <f t="shared" si="23"/>
        <v>53055</v>
      </c>
      <c r="AU23" s="23">
        <f t="shared" si="24"/>
        <v>53730</v>
      </c>
      <c r="AV23" s="23">
        <f t="shared" si="25"/>
        <v>52530</v>
      </c>
      <c r="AW23" s="23">
        <f t="shared" si="26"/>
        <v>53180</v>
      </c>
      <c r="AX23" s="23">
        <f t="shared" si="27"/>
        <v>53080</v>
      </c>
      <c r="AY23" s="23">
        <f t="shared" si="28"/>
        <v>54030</v>
      </c>
      <c r="AZ23" s="23">
        <f t="shared" si="29"/>
        <v>52230</v>
      </c>
      <c r="BA23" s="23">
        <f t="shared" si="51"/>
        <v>50293.25</v>
      </c>
      <c r="BB23" s="43"/>
      <c r="BC23" s="51">
        <f t="shared" si="2"/>
        <v>53130</v>
      </c>
      <c r="BD23" s="52">
        <f t="shared" si="11"/>
        <v>50293.25</v>
      </c>
      <c r="BE23" s="37">
        <f t="shared" si="33"/>
        <v>2836.75</v>
      </c>
      <c r="BF23">
        <f t="shared" si="34"/>
        <v>2836.75</v>
      </c>
      <c r="BG23">
        <f t="shared" si="35"/>
        <v>5.3392621870882742E-2</v>
      </c>
      <c r="BL23" s="1" t="s">
        <v>402</v>
      </c>
      <c r="BM23" s="1">
        <v>64630</v>
      </c>
      <c r="BN23" s="58" t="str">
        <f t="shared" si="36"/>
        <v>A4</v>
      </c>
      <c r="BO23" s="43" t="str">
        <f t="shared" si="52"/>
        <v>A4</v>
      </c>
      <c r="BP23" s="43">
        <f t="shared" si="37"/>
        <v>61798.5</v>
      </c>
      <c r="BQ23" s="43" t="str">
        <f t="shared" si="53"/>
        <v>A4</v>
      </c>
      <c r="BR23" s="43">
        <f t="shared" si="38"/>
        <v>61798.5</v>
      </c>
      <c r="BS23" s="59">
        <f t="shared" si="39"/>
        <v>970</v>
      </c>
      <c r="BT23" s="43">
        <f t="shared" si="54"/>
        <v>65115</v>
      </c>
      <c r="BU23" s="61">
        <f t="shared" si="40"/>
        <v>64145</v>
      </c>
      <c r="BV23" s="43">
        <f t="shared" si="41"/>
        <v>65600</v>
      </c>
      <c r="BW23" s="43">
        <f t="shared" si="42"/>
        <v>63660</v>
      </c>
      <c r="BX23" s="43">
        <f t="shared" si="43"/>
        <v>64872.5</v>
      </c>
      <c r="BY23" s="43">
        <f t="shared" si="44"/>
        <v>64387.5</v>
      </c>
      <c r="BZ23" s="43">
        <f t="shared" si="45"/>
        <v>66570</v>
      </c>
      <c r="CA23" s="43">
        <f t="shared" si="46"/>
        <v>62690</v>
      </c>
      <c r="CB23" s="43">
        <f t="shared" si="47"/>
        <v>64791.666666666664</v>
      </c>
      <c r="CC23" s="43">
        <f t="shared" si="48"/>
        <v>64468.333333333336</v>
      </c>
      <c r="CD23" s="43">
        <f t="shared" si="49"/>
        <v>67540</v>
      </c>
      <c r="CE23" s="43">
        <f t="shared" si="50"/>
        <v>61720</v>
      </c>
      <c r="CF23" s="37">
        <f>(BR22+BU22)/(1+1)</f>
        <v>62789.25</v>
      </c>
      <c r="CH23" s="47">
        <f t="shared" si="12"/>
        <v>63010</v>
      </c>
      <c r="CI23" s="23">
        <f t="shared" si="59"/>
        <v>62799.25</v>
      </c>
      <c r="CJ23" s="37">
        <f t="shared" si="5"/>
        <v>210.75</v>
      </c>
      <c r="CK23">
        <f t="shared" si="6"/>
        <v>210.75</v>
      </c>
      <c r="CL23">
        <f t="shared" si="7"/>
        <v>3.3447071893350261E-3</v>
      </c>
    </row>
    <row r="24" spans="1:90">
      <c r="A24" s="1" t="s">
        <v>25</v>
      </c>
      <c r="B24" s="1">
        <v>56540</v>
      </c>
      <c r="Q24">
        <v>21</v>
      </c>
      <c r="R24" s="27" t="str">
        <f t="shared" si="8"/>
        <v>21/09/2023</v>
      </c>
      <c r="S24" s="27">
        <f t="shared" si="8"/>
        <v>53580</v>
      </c>
      <c r="T24" s="4" t="str">
        <f t="shared" si="9"/>
        <v>A3</v>
      </c>
      <c r="V24">
        <v>21</v>
      </c>
      <c r="W24" s="28" t="str">
        <f t="shared" si="0"/>
        <v>21/09/2023</v>
      </c>
      <c r="X24" s="28">
        <f t="shared" si="0"/>
        <v>53580</v>
      </c>
      <c r="Y24" s="28" t="str">
        <f t="shared" si="0"/>
        <v>A3</v>
      </c>
      <c r="Z24" s="5" t="str">
        <f t="shared" si="16"/>
        <v>A3</v>
      </c>
      <c r="AA24" s="5" t="str">
        <f t="shared" si="10"/>
        <v>A3</v>
      </c>
      <c r="AC24" s="5" t="s">
        <v>499</v>
      </c>
      <c r="AD24" s="20">
        <f t="shared" si="60"/>
        <v>79891.5</v>
      </c>
      <c r="AE24" s="5"/>
      <c r="AG24" s="49" t="str">
        <f t="shared" si="1"/>
        <v>21/09/2023</v>
      </c>
      <c r="AH24" s="46">
        <f t="shared" si="1"/>
        <v>53580</v>
      </c>
      <c r="AI24" s="49" t="str">
        <f t="shared" si="1"/>
        <v>A3</v>
      </c>
      <c r="AJ24" s="49" t="str">
        <f t="shared" si="17"/>
        <v>A3</v>
      </c>
      <c r="AK24" s="50">
        <f t="shared" si="18"/>
        <v>55767.5</v>
      </c>
      <c r="AL24" s="49" t="str">
        <f t="shared" si="30"/>
        <v>A3</v>
      </c>
      <c r="AM24" s="50">
        <f t="shared" si="18"/>
        <v>55767.5</v>
      </c>
      <c r="AN24" s="56">
        <f t="shared" si="31"/>
        <v>2120</v>
      </c>
      <c r="AO24" s="57">
        <f t="shared" si="32"/>
        <v>54640</v>
      </c>
      <c r="AP24" s="23">
        <f t="shared" si="19"/>
        <v>52520</v>
      </c>
      <c r="AQ24" s="23">
        <f t="shared" si="20"/>
        <v>55700</v>
      </c>
      <c r="AR24" s="23">
        <f t="shared" si="21"/>
        <v>51460</v>
      </c>
      <c r="AS24" s="23">
        <f t="shared" si="22"/>
        <v>54110</v>
      </c>
      <c r="AT24" s="23">
        <f t="shared" si="23"/>
        <v>53050</v>
      </c>
      <c r="AU24" s="23">
        <f t="shared" si="24"/>
        <v>57820</v>
      </c>
      <c r="AV24" s="23">
        <f t="shared" si="25"/>
        <v>49340</v>
      </c>
      <c r="AW24" s="23">
        <f t="shared" si="26"/>
        <v>53933.333333333336</v>
      </c>
      <c r="AX24" s="23">
        <f t="shared" si="27"/>
        <v>53226.666666666664</v>
      </c>
      <c r="AY24" s="23">
        <f t="shared" si="28"/>
        <v>59940</v>
      </c>
      <c r="AZ24" s="23">
        <f t="shared" si="29"/>
        <v>47220</v>
      </c>
      <c r="BA24" s="23">
        <f t="shared" si="51"/>
        <v>54523.75</v>
      </c>
      <c r="BB24" s="43"/>
      <c r="BC24" s="51">
        <f t="shared" si="2"/>
        <v>53580</v>
      </c>
      <c r="BD24" s="52">
        <f t="shared" si="11"/>
        <v>54523.75</v>
      </c>
      <c r="BE24" s="37">
        <f t="shared" si="33"/>
        <v>-943.75</v>
      </c>
      <c r="BF24">
        <f t="shared" si="34"/>
        <v>943.75</v>
      </c>
      <c r="BG24">
        <f t="shared" si="35"/>
        <v>1.7613848450914519E-2</v>
      </c>
      <c r="BL24" s="1" t="s">
        <v>403</v>
      </c>
      <c r="BM24" s="1">
        <v>64260</v>
      </c>
      <c r="BN24" s="58" t="str">
        <f t="shared" si="36"/>
        <v>A4</v>
      </c>
      <c r="BO24" s="43" t="str">
        <f t="shared" si="52"/>
        <v>A4</v>
      </c>
      <c r="BP24" s="43">
        <f t="shared" si="37"/>
        <v>61798.5</v>
      </c>
      <c r="BQ24" s="43" t="str">
        <f t="shared" si="53"/>
        <v>A4</v>
      </c>
      <c r="BR24" s="43">
        <f t="shared" si="38"/>
        <v>61798.5</v>
      </c>
      <c r="BS24" s="59">
        <f t="shared" si="39"/>
        <v>100</v>
      </c>
      <c r="BT24" s="60">
        <f t="shared" si="54"/>
        <v>64310</v>
      </c>
      <c r="BU24" s="43">
        <f t="shared" si="40"/>
        <v>64210</v>
      </c>
      <c r="BV24" s="43">
        <f t="shared" si="41"/>
        <v>64360</v>
      </c>
      <c r="BW24" s="43">
        <f t="shared" si="42"/>
        <v>64160</v>
      </c>
      <c r="BX24" s="43">
        <f t="shared" si="43"/>
        <v>64285</v>
      </c>
      <c r="BY24" s="43">
        <f t="shared" si="44"/>
        <v>64235</v>
      </c>
      <c r="BZ24" s="43">
        <f t="shared" si="45"/>
        <v>64460</v>
      </c>
      <c r="CA24" s="43">
        <f t="shared" si="46"/>
        <v>64060</v>
      </c>
      <c r="CB24" s="43">
        <f t="shared" si="47"/>
        <v>64276.666666666664</v>
      </c>
      <c r="CC24" s="43">
        <f t="shared" si="48"/>
        <v>64243.333333333336</v>
      </c>
      <c r="CD24" s="43">
        <f t="shared" si="49"/>
        <v>64560</v>
      </c>
      <c r="CE24" s="43">
        <f t="shared" si="50"/>
        <v>63960</v>
      </c>
      <c r="CF24" s="37">
        <f>(BR23+BU23)/(1+1)</f>
        <v>62971.75</v>
      </c>
      <c r="CH24" s="47">
        <f t="shared" si="12"/>
        <v>61350</v>
      </c>
      <c r="CI24" s="23">
        <f t="shared" si="59"/>
        <v>62441.75</v>
      </c>
      <c r="CJ24" s="37">
        <f t="shared" si="5"/>
        <v>-1091.75</v>
      </c>
      <c r="CK24">
        <f t="shared" si="6"/>
        <v>1091.75</v>
      </c>
      <c r="CL24">
        <f t="shared" si="7"/>
        <v>1.7795436022819886E-2</v>
      </c>
    </row>
    <row r="25" spans="1:90">
      <c r="A25" s="1" t="s">
        <v>26</v>
      </c>
      <c r="B25" s="1">
        <v>55860</v>
      </c>
      <c r="Q25">
        <v>22</v>
      </c>
      <c r="R25" s="27" t="str">
        <f t="shared" si="8"/>
        <v>22/09/2023</v>
      </c>
      <c r="S25" s="27">
        <f t="shared" si="8"/>
        <v>55150</v>
      </c>
      <c r="T25" s="4" t="str">
        <f t="shared" si="9"/>
        <v>A3</v>
      </c>
      <c r="V25">
        <v>22</v>
      </c>
      <c r="W25" s="28" t="str">
        <f t="shared" si="0"/>
        <v>22/09/2023</v>
      </c>
      <c r="X25" s="28">
        <f t="shared" si="0"/>
        <v>55150</v>
      </c>
      <c r="Y25" s="28" t="str">
        <f t="shared" si="0"/>
        <v>A3</v>
      </c>
      <c r="Z25" s="5" t="str">
        <f t="shared" si="16"/>
        <v>A3</v>
      </c>
      <c r="AA25" s="5" t="str">
        <f t="shared" si="10"/>
        <v>A3</v>
      </c>
      <c r="AC25" s="5" t="s">
        <v>502</v>
      </c>
      <c r="AD25" s="20">
        <f t="shared" si="60"/>
        <v>85922.5</v>
      </c>
      <c r="AE25" s="5"/>
      <c r="AG25" s="49" t="str">
        <f t="shared" si="1"/>
        <v>22/09/2023</v>
      </c>
      <c r="AH25" s="46">
        <f t="shared" si="1"/>
        <v>55150</v>
      </c>
      <c r="AI25" s="49" t="str">
        <f t="shared" si="1"/>
        <v>A3</v>
      </c>
      <c r="AJ25" s="49" t="str">
        <f t="shared" si="17"/>
        <v>A3</v>
      </c>
      <c r="AK25" s="50">
        <f t="shared" si="18"/>
        <v>55767.5</v>
      </c>
      <c r="AL25" s="49" t="str">
        <f t="shared" si="30"/>
        <v>A3</v>
      </c>
      <c r="AM25" s="50">
        <f t="shared" si="18"/>
        <v>55767.5</v>
      </c>
      <c r="AN25" s="56">
        <f t="shared" si="31"/>
        <v>1120</v>
      </c>
      <c r="AO25" s="57">
        <f t="shared" si="32"/>
        <v>55710</v>
      </c>
      <c r="AP25" s="23">
        <f t="shared" si="19"/>
        <v>54590</v>
      </c>
      <c r="AQ25" s="23">
        <f t="shared" si="20"/>
        <v>56270</v>
      </c>
      <c r="AR25" s="23">
        <f t="shared" si="21"/>
        <v>54030</v>
      </c>
      <c r="AS25" s="23">
        <f t="shared" si="22"/>
        <v>55430</v>
      </c>
      <c r="AT25" s="23">
        <f t="shared" si="23"/>
        <v>54870</v>
      </c>
      <c r="AU25" s="23">
        <f t="shared" si="24"/>
        <v>57390</v>
      </c>
      <c r="AV25" s="23">
        <f t="shared" si="25"/>
        <v>52910</v>
      </c>
      <c r="AW25" s="23">
        <f t="shared" si="26"/>
        <v>55336.666666666664</v>
      </c>
      <c r="AX25" s="23">
        <f t="shared" si="27"/>
        <v>54963.333333333336</v>
      </c>
      <c r="AY25" s="23">
        <f t="shared" si="28"/>
        <v>58510</v>
      </c>
      <c r="AZ25" s="23">
        <f t="shared" si="29"/>
        <v>51790</v>
      </c>
      <c r="BA25" s="23">
        <f t="shared" si="51"/>
        <v>55203.75</v>
      </c>
      <c r="BB25" s="43"/>
      <c r="BC25" s="51">
        <f t="shared" si="2"/>
        <v>55150</v>
      </c>
      <c r="BD25" s="52">
        <f t="shared" si="11"/>
        <v>55203.75</v>
      </c>
      <c r="BE25" s="37">
        <f t="shared" si="33"/>
        <v>-53.75</v>
      </c>
      <c r="BF25">
        <f t="shared" si="34"/>
        <v>53.75</v>
      </c>
      <c r="BG25">
        <f t="shared" si="35"/>
        <v>9.7461468721668173E-4</v>
      </c>
      <c r="BL25" s="1" t="s">
        <v>404</v>
      </c>
      <c r="BM25" s="1">
        <v>63710</v>
      </c>
      <c r="BN25" s="58" t="str">
        <f t="shared" si="36"/>
        <v>A4</v>
      </c>
      <c r="BO25" s="43" t="str">
        <f t="shared" si="52"/>
        <v>A4</v>
      </c>
      <c r="BP25" s="43">
        <f t="shared" si="37"/>
        <v>61798.5</v>
      </c>
      <c r="BQ25" s="43" t="str">
        <f t="shared" si="53"/>
        <v>A4</v>
      </c>
      <c r="BR25" s="43">
        <f t="shared" si="38"/>
        <v>61798.5</v>
      </c>
      <c r="BS25" s="59">
        <f t="shared" si="39"/>
        <v>180</v>
      </c>
      <c r="BT25" s="60">
        <f t="shared" si="54"/>
        <v>63800</v>
      </c>
      <c r="BU25" s="43">
        <f t="shared" si="40"/>
        <v>63620</v>
      </c>
      <c r="BV25" s="43">
        <f t="shared" si="41"/>
        <v>63890</v>
      </c>
      <c r="BW25" s="43">
        <f t="shared" si="42"/>
        <v>63530</v>
      </c>
      <c r="BX25" s="43">
        <f t="shared" si="43"/>
        <v>63755</v>
      </c>
      <c r="BY25" s="43">
        <f t="shared" si="44"/>
        <v>63665</v>
      </c>
      <c r="BZ25" s="43">
        <f t="shared" si="45"/>
        <v>64070</v>
      </c>
      <c r="CA25" s="43">
        <f t="shared" si="46"/>
        <v>63350</v>
      </c>
      <c r="CB25" s="43">
        <f t="shared" si="47"/>
        <v>63740</v>
      </c>
      <c r="CC25" s="43">
        <f t="shared" si="48"/>
        <v>63680</v>
      </c>
      <c r="CD25" s="43">
        <f t="shared" si="49"/>
        <v>64250</v>
      </c>
      <c r="CE25" s="43">
        <f t="shared" si="50"/>
        <v>63170</v>
      </c>
      <c r="CF25" s="37">
        <f t="shared" si="61"/>
        <v>63054.25</v>
      </c>
      <c r="CH25" s="47">
        <f t="shared" si="12"/>
        <v>60640</v>
      </c>
      <c r="CI25" s="23">
        <f t="shared" si="59"/>
        <v>61814.25</v>
      </c>
      <c r="CJ25" s="37">
        <f t="shared" si="5"/>
        <v>-1174.25</v>
      </c>
      <c r="CK25">
        <f t="shared" si="6"/>
        <v>1174.25</v>
      </c>
      <c r="CL25">
        <f t="shared" si="7"/>
        <v>1.9364281002638522E-2</v>
      </c>
    </row>
    <row r="26" spans="1:90">
      <c r="A26" s="1" t="s">
        <v>27</v>
      </c>
      <c r="B26" s="1">
        <v>57090</v>
      </c>
      <c r="Q26">
        <v>23</v>
      </c>
      <c r="R26" s="27" t="str">
        <f t="shared" si="8"/>
        <v>23/09/2023</v>
      </c>
      <c r="S26" s="27">
        <f t="shared" si="8"/>
        <v>56540</v>
      </c>
      <c r="T26" s="4" t="str">
        <f t="shared" si="9"/>
        <v>A3</v>
      </c>
      <c r="V26">
        <v>23</v>
      </c>
      <c r="W26" s="28" t="str">
        <f t="shared" si="0"/>
        <v>23/09/2023</v>
      </c>
      <c r="X26" s="28">
        <f t="shared" si="0"/>
        <v>56540</v>
      </c>
      <c r="Y26" s="28" t="str">
        <f t="shared" si="0"/>
        <v>A3</v>
      </c>
      <c r="Z26" s="5" t="str">
        <f t="shared" si="16"/>
        <v>A3</v>
      </c>
      <c r="AA26" s="5" t="str">
        <f t="shared" si="10"/>
        <v>A3</v>
      </c>
      <c r="AC26" s="5" t="s">
        <v>505</v>
      </c>
      <c r="AD26" s="20">
        <f t="shared" si="60"/>
        <v>91953.5</v>
      </c>
      <c r="AE26" s="5"/>
      <c r="AG26" s="49" t="str">
        <f t="shared" si="1"/>
        <v>23/09/2023</v>
      </c>
      <c r="AH26" s="46">
        <f t="shared" si="1"/>
        <v>56540</v>
      </c>
      <c r="AI26" s="49" t="str">
        <f t="shared" si="1"/>
        <v>A3</v>
      </c>
      <c r="AJ26" s="49" t="str">
        <f t="shared" si="17"/>
        <v>A3</v>
      </c>
      <c r="AK26" s="50">
        <f t="shared" si="18"/>
        <v>55767.5</v>
      </c>
      <c r="AL26" s="49" t="str">
        <f t="shared" si="30"/>
        <v>A3</v>
      </c>
      <c r="AM26" s="50">
        <f t="shared" si="18"/>
        <v>55767.5</v>
      </c>
      <c r="AN26" s="56">
        <f t="shared" si="31"/>
        <v>180</v>
      </c>
      <c r="AO26" s="57">
        <f t="shared" si="32"/>
        <v>56630</v>
      </c>
      <c r="AP26" s="23">
        <f t="shared" si="19"/>
        <v>56450</v>
      </c>
      <c r="AQ26" s="23">
        <f t="shared" si="20"/>
        <v>56720</v>
      </c>
      <c r="AR26" s="23">
        <f t="shared" si="21"/>
        <v>56360</v>
      </c>
      <c r="AS26" s="23">
        <f t="shared" si="22"/>
        <v>56585</v>
      </c>
      <c r="AT26" s="23">
        <f t="shared" si="23"/>
        <v>56495</v>
      </c>
      <c r="AU26" s="23">
        <f t="shared" si="24"/>
        <v>56900</v>
      </c>
      <c r="AV26" s="23">
        <f t="shared" si="25"/>
        <v>56180</v>
      </c>
      <c r="AW26" s="23">
        <f t="shared" si="26"/>
        <v>56570</v>
      </c>
      <c r="AX26" s="23">
        <f t="shared" si="27"/>
        <v>56510</v>
      </c>
      <c r="AY26" s="23">
        <f t="shared" si="28"/>
        <v>57080</v>
      </c>
      <c r="AZ26" s="23">
        <f t="shared" si="29"/>
        <v>56000</v>
      </c>
      <c r="BA26" s="23">
        <f t="shared" si="51"/>
        <v>55738.75</v>
      </c>
      <c r="BB26" s="43"/>
      <c r="BC26" s="51">
        <f t="shared" si="2"/>
        <v>56540</v>
      </c>
      <c r="BD26" s="52">
        <f t="shared" si="11"/>
        <v>55738.75</v>
      </c>
      <c r="BE26" s="37">
        <f t="shared" si="33"/>
        <v>801.25</v>
      </c>
      <c r="BF26">
        <f t="shared" si="34"/>
        <v>801.25</v>
      </c>
      <c r="BG26">
        <f t="shared" si="35"/>
        <v>1.4171383091616554E-2</v>
      </c>
      <c r="BL26" s="1" t="s">
        <v>405</v>
      </c>
      <c r="BM26" s="1">
        <v>63010</v>
      </c>
      <c r="BN26" s="58" t="str">
        <f t="shared" si="36"/>
        <v>A4</v>
      </c>
      <c r="BO26" s="43" t="str">
        <f t="shared" si="52"/>
        <v>A4</v>
      </c>
      <c r="BP26" s="43">
        <f t="shared" si="37"/>
        <v>61798.5</v>
      </c>
      <c r="BQ26" s="43" t="str">
        <f t="shared" si="53"/>
        <v>A4</v>
      </c>
      <c r="BR26" s="43">
        <f t="shared" si="38"/>
        <v>61798.5</v>
      </c>
      <c r="BS26" s="59">
        <f t="shared" si="39"/>
        <v>150</v>
      </c>
      <c r="BT26" s="60">
        <f t="shared" si="54"/>
        <v>63085</v>
      </c>
      <c r="BU26" s="43">
        <f t="shared" si="40"/>
        <v>62935</v>
      </c>
      <c r="BV26" s="43">
        <f t="shared" si="41"/>
        <v>63160</v>
      </c>
      <c r="BW26" s="43">
        <f t="shared" si="42"/>
        <v>62860</v>
      </c>
      <c r="BX26" s="43">
        <f t="shared" si="43"/>
        <v>63047.5</v>
      </c>
      <c r="BY26" s="43">
        <f t="shared" si="44"/>
        <v>62972.5</v>
      </c>
      <c r="BZ26" s="43">
        <f t="shared" si="45"/>
        <v>63310</v>
      </c>
      <c r="CA26" s="43">
        <f t="shared" si="46"/>
        <v>62710</v>
      </c>
      <c r="CB26" s="43">
        <f t="shared" si="47"/>
        <v>63035</v>
      </c>
      <c r="CC26" s="43">
        <f t="shared" si="48"/>
        <v>62985</v>
      </c>
      <c r="CD26" s="43">
        <f t="shared" si="49"/>
        <v>63460</v>
      </c>
      <c r="CE26" s="43">
        <f t="shared" si="50"/>
        <v>62560</v>
      </c>
      <c r="CF26" s="37">
        <f t="shared" si="61"/>
        <v>62799.25</v>
      </c>
      <c r="CH26" s="47">
        <f t="shared" si="12"/>
        <v>60690</v>
      </c>
      <c r="CI26" s="23">
        <f t="shared" si="59"/>
        <v>61456.75</v>
      </c>
      <c r="CJ26" s="37">
        <f t="shared" si="5"/>
        <v>-766.75</v>
      </c>
      <c r="CK26">
        <f t="shared" si="6"/>
        <v>766.75</v>
      </c>
      <c r="CL26">
        <f t="shared" si="7"/>
        <v>1.2633877080243862E-2</v>
      </c>
    </row>
    <row r="27" spans="1:90">
      <c r="A27" s="1" t="s">
        <v>28</v>
      </c>
      <c r="B27" s="1">
        <v>57520</v>
      </c>
      <c r="Q27">
        <v>24</v>
      </c>
      <c r="R27" s="27" t="str">
        <f t="shared" si="8"/>
        <v>24/09/2023</v>
      </c>
      <c r="S27" s="27">
        <f t="shared" si="8"/>
        <v>55860</v>
      </c>
      <c r="T27" s="4" t="str">
        <f t="shared" si="9"/>
        <v>A3</v>
      </c>
      <c r="V27">
        <v>24</v>
      </c>
      <c r="W27" s="28" t="str">
        <f t="shared" si="0"/>
        <v>24/09/2023</v>
      </c>
      <c r="X27" s="28">
        <f t="shared" si="0"/>
        <v>55860</v>
      </c>
      <c r="Y27" s="28" t="str">
        <f t="shared" si="0"/>
        <v>A3</v>
      </c>
      <c r="Z27" s="5" t="str">
        <f t="shared" si="16"/>
        <v>A3</v>
      </c>
      <c r="AA27" s="5" t="str">
        <f t="shared" si="10"/>
        <v>A3</v>
      </c>
      <c r="AC27" s="5" t="s">
        <v>508</v>
      </c>
      <c r="AD27" s="20">
        <f t="shared" si="60"/>
        <v>97984.5</v>
      </c>
      <c r="AE27" s="5"/>
      <c r="AG27" s="49" t="str">
        <f t="shared" si="1"/>
        <v>24/09/2023</v>
      </c>
      <c r="AH27" s="46">
        <f t="shared" si="1"/>
        <v>55860</v>
      </c>
      <c r="AI27" s="49" t="str">
        <f t="shared" si="1"/>
        <v>A3</v>
      </c>
      <c r="AJ27" s="49" t="str">
        <f t="shared" si="17"/>
        <v>A3</v>
      </c>
      <c r="AK27" s="50">
        <f t="shared" si="18"/>
        <v>55767.5</v>
      </c>
      <c r="AL27" s="49" t="str">
        <f t="shared" si="30"/>
        <v>A3</v>
      </c>
      <c r="AM27" s="50">
        <f t="shared" si="18"/>
        <v>55767.5</v>
      </c>
      <c r="AN27" s="56">
        <f t="shared" si="31"/>
        <v>710</v>
      </c>
      <c r="AO27" s="57">
        <f t="shared" si="32"/>
        <v>56215</v>
      </c>
      <c r="AP27" s="23">
        <f t="shared" si="19"/>
        <v>55505</v>
      </c>
      <c r="AQ27" s="23">
        <f t="shared" si="20"/>
        <v>56570</v>
      </c>
      <c r="AR27" s="23">
        <f t="shared" si="21"/>
        <v>55150</v>
      </c>
      <c r="AS27" s="23">
        <f t="shared" si="22"/>
        <v>56037.5</v>
      </c>
      <c r="AT27" s="23">
        <f t="shared" si="23"/>
        <v>55682.5</v>
      </c>
      <c r="AU27" s="23">
        <f t="shared" si="24"/>
        <v>57280</v>
      </c>
      <c r="AV27" s="23">
        <f t="shared" si="25"/>
        <v>54440</v>
      </c>
      <c r="AW27" s="23">
        <f t="shared" si="26"/>
        <v>55978.333333333336</v>
      </c>
      <c r="AX27" s="23">
        <f t="shared" si="27"/>
        <v>55741.666666666664</v>
      </c>
      <c r="AY27" s="23">
        <f t="shared" si="28"/>
        <v>57990</v>
      </c>
      <c r="AZ27" s="23">
        <f t="shared" si="29"/>
        <v>53730</v>
      </c>
      <c r="BA27" s="23">
        <f t="shared" si="51"/>
        <v>56198.75</v>
      </c>
      <c r="BB27" s="43"/>
      <c r="BC27" s="51">
        <f t="shared" si="2"/>
        <v>55860</v>
      </c>
      <c r="BD27" s="52">
        <f t="shared" si="11"/>
        <v>56198.75</v>
      </c>
      <c r="BE27" s="37">
        <f t="shared" si="33"/>
        <v>-338.75</v>
      </c>
      <c r="BF27">
        <f t="shared" si="34"/>
        <v>338.75</v>
      </c>
      <c r="BG27">
        <f t="shared" si="35"/>
        <v>6.0642678123881133E-3</v>
      </c>
      <c r="BL27" s="1" t="s">
        <v>406</v>
      </c>
      <c r="BM27" s="1">
        <v>61350</v>
      </c>
      <c r="BN27" s="58" t="str">
        <f t="shared" si="36"/>
        <v>A4</v>
      </c>
      <c r="BO27" s="43" t="str">
        <f t="shared" si="52"/>
        <v>A4</v>
      </c>
      <c r="BP27" s="43">
        <f t="shared" si="37"/>
        <v>61798.5</v>
      </c>
      <c r="BQ27" s="43" t="str">
        <f t="shared" si="53"/>
        <v>A4</v>
      </c>
      <c r="BR27" s="43">
        <f t="shared" si="38"/>
        <v>61798.5</v>
      </c>
      <c r="BS27" s="59">
        <f t="shared" si="39"/>
        <v>960</v>
      </c>
      <c r="BT27" s="60">
        <f t="shared" si="54"/>
        <v>61830</v>
      </c>
      <c r="BU27" s="43">
        <f t="shared" si="40"/>
        <v>60870</v>
      </c>
      <c r="BV27" s="43">
        <f t="shared" si="41"/>
        <v>62310</v>
      </c>
      <c r="BW27" s="43">
        <f t="shared" si="42"/>
        <v>60390</v>
      </c>
      <c r="BX27" s="43">
        <f t="shared" si="43"/>
        <v>61590</v>
      </c>
      <c r="BY27" s="43">
        <f t="shared" si="44"/>
        <v>61110</v>
      </c>
      <c r="BZ27" s="43">
        <f t="shared" si="45"/>
        <v>63270</v>
      </c>
      <c r="CA27" s="43">
        <f t="shared" si="46"/>
        <v>59430</v>
      </c>
      <c r="CB27" s="43">
        <f t="shared" si="47"/>
        <v>61510</v>
      </c>
      <c r="CC27" s="43">
        <f t="shared" si="48"/>
        <v>61190</v>
      </c>
      <c r="CD27" s="43">
        <f t="shared" si="49"/>
        <v>64230</v>
      </c>
      <c r="CE27" s="43">
        <f t="shared" si="50"/>
        <v>58470</v>
      </c>
      <c r="CF27" s="37">
        <f t="shared" si="61"/>
        <v>62441.75</v>
      </c>
      <c r="CH27" s="47">
        <f t="shared" si="12"/>
        <v>61940</v>
      </c>
      <c r="CI27" s="23">
        <f t="shared" si="59"/>
        <v>61409.25</v>
      </c>
      <c r="CJ27" s="37">
        <f t="shared" si="5"/>
        <v>530.75</v>
      </c>
      <c r="CK27">
        <f t="shared" si="6"/>
        <v>530.75</v>
      </c>
      <c r="CL27">
        <f t="shared" si="7"/>
        <v>8.5687762350661924E-3</v>
      </c>
    </row>
    <row r="28" spans="1:90">
      <c r="A28" s="1" t="s">
        <v>29</v>
      </c>
      <c r="B28" s="1">
        <v>57180</v>
      </c>
      <c r="Q28">
        <v>25</v>
      </c>
      <c r="R28" s="27" t="str">
        <f t="shared" si="8"/>
        <v>25/09/2023</v>
      </c>
      <c r="S28" s="27">
        <f t="shared" si="8"/>
        <v>57090</v>
      </c>
      <c r="T28" s="4" t="str">
        <f t="shared" si="9"/>
        <v>A3</v>
      </c>
      <c r="V28">
        <v>25</v>
      </c>
      <c r="W28" s="28" t="str">
        <f t="shared" si="0"/>
        <v>25/09/2023</v>
      </c>
      <c r="X28" s="28">
        <f t="shared" si="0"/>
        <v>57090</v>
      </c>
      <c r="Y28" s="28" t="str">
        <f t="shared" si="0"/>
        <v>A3</v>
      </c>
      <c r="Z28" s="5" t="str">
        <f t="shared" si="16"/>
        <v>A3</v>
      </c>
      <c r="AA28" s="5" t="str">
        <f t="shared" si="10"/>
        <v>A3</v>
      </c>
      <c r="AG28" s="49" t="str">
        <f t="shared" si="1"/>
        <v>25/09/2023</v>
      </c>
      <c r="AH28" s="46">
        <f t="shared" si="1"/>
        <v>57090</v>
      </c>
      <c r="AI28" s="49" t="str">
        <f t="shared" si="1"/>
        <v>A3</v>
      </c>
      <c r="AJ28" s="49" t="str">
        <f t="shared" si="17"/>
        <v>A3</v>
      </c>
      <c r="AK28" s="50">
        <f t="shared" si="18"/>
        <v>55767.5</v>
      </c>
      <c r="AL28" s="49" t="str">
        <f t="shared" si="30"/>
        <v>A3</v>
      </c>
      <c r="AM28" s="50">
        <f t="shared" si="18"/>
        <v>55767.5</v>
      </c>
      <c r="AN28" s="56">
        <f t="shared" si="31"/>
        <v>550</v>
      </c>
      <c r="AO28" s="57">
        <f t="shared" si="32"/>
        <v>57365</v>
      </c>
      <c r="AP28" s="23">
        <f t="shared" si="19"/>
        <v>56815</v>
      </c>
      <c r="AQ28" s="23">
        <f t="shared" si="20"/>
        <v>57640</v>
      </c>
      <c r="AR28" s="23">
        <f t="shared" si="21"/>
        <v>56540</v>
      </c>
      <c r="AS28" s="23">
        <f t="shared" si="22"/>
        <v>57227.5</v>
      </c>
      <c r="AT28" s="23">
        <f t="shared" si="23"/>
        <v>56952.5</v>
      </c>
      <c r="AU28" s="23">
        <f t="shared" si="24"/>
        <v>58190</v>
      </c>
      <c r="AV28" s="23">
        <f t="shared" si="25"/>
        <v>55990</v>
      </c>
      <c r="AW28" s="23">
        <f t="shared" si="26"/>
        <v>57181.666666666664</v>
      </c>
      <c r="AX28" s="23">
        <f t="shared" si="27"/>
        <v>56998.333333333336</v>
      </c>
      <c r="AY28" s="23">
        <f t="shared" si="28"/>
        <v>58740</v>
      </c>
      <c r="AZ28" s="23">
        <f t="shared" si="29"/>
        <v>55440</v>
      </c>
      <c r="BA28" s="23">
        <f t="shared" si="51"/>
        <v>55991.25</v>
      </c>
      <c r="BB28" s="43"/>
      <c r="BC28" s="51">
        <f t="shared" si="2"/>
        <v>57090</v>
      </c>
      <c r="BD28" s="52">
        <f t="shared" si="11"/>
        <v>55991.25</v>
      </c>
      <c r="BE28" s="37">
        <f t="shared" si="33"/>
        <v>1098.75</v>
      </c>
      <c r="BF28">
        <f t="shared" si="34"/>
        <v>1098.75</v>
      </c>
      <c r="BG28">
        <f t="shared" si="35"/>
        <v>1.9245927482921702E-2</v>
      </c>
      <c r="BL28" s="1" t="s">
        <v>407</v>
      </c>
      <c r="BM28" s="1">
        <v>60640</v>
      </c>
      <c r="BN28" s="58" t="str">
        <f t="shared" si="36"/>
        <v>A4</v>
      </c>
      <c r="BO28" s="43" t="str">
        <f t="shared" si="52"/>
        <v>A4</v>
      </c>
      <c r="BP28" s="43">
        <f t="shared" si="37"/>
        <v>61798.5</v>
      </c>
      <c r="BQ28" s="43" t="str">
        <f t="shared" si="53"/>
        <v>A4</v>
      </c>
      <c r="BR28" s="43">
        <f t="shared" si="38"/>
        <v>61798.5</v>
      </c>
      <c r="BS28" s="59">
        <f t="shared" si="39"/>
        <v>950</v>
      </c>
      <c r="BT28" s="60">
        <f t="shared" si="54"/>
        <v>61115</v>
      </c>
      <c r="BU28" s="43">
        <f t="shared" si="40"/>
        <v>60165</v>
      </c>
      <c r="BV28" s="43">
        <f t="shared" si="41"/>
        <v>61590</v>
      </c>
      <c r="BW28" s="43">
        <f t="shared" si="42"/>
        <v>59690</v>
      </c>
      <c r="BX28" s="43">
        <f t="shared" si="43"/>
        <v>60877.5</v>
      </c>
      <c r="BY28" s="43">
        <f t="shared" si="44"/>
        <v>60402.5</v>
      </c>
      <c r="BZ28" s="43">
        <f t="shared" si="45"/>
        <v>62540</v>
      </c>
      <c r="CA28" s="43">
        <f t="shared" si="46"/>
        <v>58740</v>
      </c>
      <c r="CB28" s="43">
        <f t="shared" si="47"/>
        <v>60798.333333333336</v>
      </c>
      <c r="CC28" s="43">
        <f t="shared" si="48"/>
        <v>60481.666666666664</v>
      </c>
      <c r="CD28" s="43">
        <f t="shared" si="49"/>
        <v>63490</v>
      </c>
      <c r="CE28" s="43">
        <f t="shared" si="50"/>
        <v>57790</v>
      </c>
      <c r="CF28" s="37">
        <f t="shared" si="61"/>
        <v>61814.25</v>
      </c>
      <c r="CH28" s="47">
        <f t="shared" si="12"/>
        <v>58410</v>
      </c>
      <c r="CI28" s="23">
        <f t="shared" si="59"/>
        <v>62169.25</v>
      </c>
      <c r="CJ28" s="37">
        <f t="shared" si="5"/>
        <v>-3759.25</v>
      </c>
      <c r="CK28">
        <f t="shared" si="6"/>
        <v>3759.25</v>
      </c>
      <c r="CL28">
        <f t="shared" si="7"/>
        <v>6.435969868173258E-2</v>
      </c>
    </row>
    <row r="29" spans="1:90">
      <c r="A29" s="1" t="s">
        <v>30</v>
      </c>
      <c r="B29" s="1">
        <v>56610</v>
      </c>
      <c r="Q29">
        <v>26</v>
      </c>
      <c r="R29" s="27" t="str">
        <f t="shared" si="8"/>
        <v>26/09/2023</v>
      </c>
      <c r="S29" s="27">
        <f t="shared" si="8"/>
        <v>57520</v>
      </c>
      <c r="T29" s="4" t="str">
        <f t="shared" si="9"/>
        <v>A3</v>
      </c>
      <c r="V29">
        <v>26</v>
      </c>
      <c r="W29" s="28" t="str">
        <f t="shared" si="0"/>
        <v>26/09/2023</v>
      </c>
      <c r="X29" s="28">
        <f t="shared" si="0"/>
        <v>57520</v>
      </c>
      <c r="Y29" s="28" t="str">
        <f t="shared" si="0"/>
        <v>A3</v>
      </c>
      <c r="Z29" s="5" t="str">
        <f t="shared" si="16"/>
        <v>A3</v>
      </c>
      <c r="AA29" s="5" t="str">
        <f t="shared" si="10"/>
        <v>A3</v>
      </c>
      <c r="AG29" s="49" t="str">
        <f t="shared" si="1"/>
        <v>26/09/2023</v>
      </c>
      <c r="AH29" s="46">
        <f t="shared" si="1"/>
        <v>57520</v>
      </c>
      <c r="AI29" s="49" t="str">
        <f t="shared" si="1"/>
        <v>A3</v>
      </c>
      <c r="AJ29" s="49" t="str">
        <f t="shared" si="17"/>
        <v>A3</v>
      </c>
      <c r="AK29" s="50">
        <f t="shared" si="18"/>
        <v>55767.5</v>
      </c>
      <c r="AL29" s="49" t="str">
        <f t="shared" si="30"/>
        <v>A3</v>
      </c>
      <c r="AM29" s="50">
        <f t="shared" si="18"/>
        <v>55767.5</v>
      </c>
      <c r="AN29" s="56">
        <f t="shared" si="31"/>
        <v>800</v>
      </c>
      <c r="AO29" s="57">
        <f t="shared" si="32"/>
        <v>57920</v>
      </c>
      <c r="AP29" s="23">
        <f t="shared" si="19"/>
        <v>57120</v>
      </c>
      <c r="AQ29" s="23">
        <f t="shared" si="20"/>
        <v>58320</v>
      </c>
      <c r="AR29" s="23">
        <f t="shared" si="21"/>
        <v>56720</v>
      </c>
      <c r="AS29" s="23">
        <f t="shared" si="22"/>
        <v>57720</v>
      </c>
      <c r="AT29" s="23">
        <f t="shared" si="23"/>
        <v>57320</v>
      </c>
      <c r="AU29" s="23">
        <f t="shared" si="24"/>
        <v>59120</v>
      </c>
      <c r="AV29" s="23">
        <f t="shared" si="25"/>
        <v>55920</v>
      </c>
      <c r="AW29" s="23">
        <f t="shared" si="26"/>
        <v>57653.333333333336</v>
      </c>
      <c r="AX29" s="23">
        <f t="shared" si="27"/>
        <v>57386.666666666664</v>
      </c>
      <c r="AY29" s="23">
        <f t="shared" si="28"/>
        <v>59920</v>
      </c>
      <c r="AZ29" s="23">
        <f t="shared" si="29"/>
        <v>55120</v>
      </c>
      <c r="BA29" s="23">
        <f t="shared" si="51"/>
        <v>56566.25</v>
      </c>
      <c r="BB29" s="43"/>
      <c r="BC29" s="51">
        <f t="shared" si="2"/>
        <v>57520</v>
      </c>
      <c r="BD29" s="52">
        <f t="shared" si="11"/>
        <v>56566.25</v>
      </c>
      <c r="BE29" s="37">
        <f t="shared" si="33"/>
        <v>953.75</v>
      </c>
      <c r="BF29">
        <f t="shared" si="34"/>
        <v>953.75</v>
      </c>
      <c r="BG29">
        <f t="shared" si="35"/>
        <v>1.6581189151599444E-2</v>
      </c>
      <c r="BL29" s="1" t="s">
        <v>408</v>
      </c>
      <c r="BM29" s="1">
        <v>60690</v>
      </c>
      <c r="BN29" s="58" t="str">
        <f t="shared" si="36"/>
        <v>A4</v>
      </c>
      <c r="BO29" s="43" t="str">
        <f t="shared" si="52"/>
        <v>A4</v>
      </c>
      <c r="BP29" s="43">
        <f t="shared" si="37"/>
        <v>61798.5</v>
      </c>
      <c r="BQ29" s="43" t="str">
        <f t="shared" si="53"/>
        <v>A4</v>
      </c>
      <c r="BR29" s="43">
        <f t="shared" si="38"/>
        <v>61798.5</v>
      </c>
      <c r="BS29" s="59">
        <f t="shared" si="39"/>
        <v>660</v>
      </c>
      <c r="BT29" s="60">
        <f t="shared" si="54"/>
        <v>61020</v>
      </c>
      <c r="BU29" s="43">
        <f t="shared" si="40"/>
        <v>60360</v>
      </c>
      <c r="BV29" s="43">
        <f t="shared" si="41"/>
        <v>61350</v>
      </c>
      <c r="BW29" s="43">
        <f t="shared" si="42"/>
        <v>60030</v>
      </c>
      <c r="BX29" s="43">
        <f t="shared" si="43"/>
        <v>60855</v>
      </c>
      <c r="BY29" s="43">
        <f t="shared" si="44"/>
        <v>60525</v>
      </c>
      <c r="BZ29" s="43">
        <f t="shared" si="45"/>
        <v>62010</v>
      </c>
      <c r="CA29" s="43">
        <f t="shared" si="46"/>
        <v>59370</v>
      </c>
      <c r="CB29" s="43">
        <f t="shared" si="47"/>
        <v>60800</v>
      </c>
      <c r="CC29" s="43">
        <f t="shared" si="48"/>
        <v>60580</v>
      </c>
      <c r="CD29" s="43">
        <f t="shared" si="49"/>
        <v>62670</v>
      </c>
      <c r="CE29" s="43">
        <f t="shared" si="50"/>
        <v>58710</v>
      </c>
      <c r="CF29" s="37">
        <f t="shared" si="61"/>
        <v>61456.75</v>
      </c>
      <c r="CH29" s="47">
        <f t="shared" si="12"/>
        <v>58400</v>
      </c>
      <c r="CI29" s="23">
        <f t="shared" si="59"/>
        <v>56518.75</v>
      </c>
      <c r="CJ29" s="37">
        <f t="shared" si="5"/>
        <v>1881.25</v>
      </c>
      <c r="CK29">
        <f t="shared" si="6"/>
        <v>1881.25</v>
      </c>
      <c r="CL29">
        <f t="shared" si="7"/>
        <v>3.221318493150685E-2</v>
      </c>
    </row>
    <row r="30" spans="1:90">
      <c r="A30" s="1" t="s">
        <v>31</v>
      </c>
      <c r="B30" s="1">
        <v>59040</v>
      </c>
      <c r="Q30">
        <v>27</v>
      </c>
      <c r="R30" s="27" t="str">
        <f t="shared" si="8"/>
        <v>27/09/2023</v>
      </c>
      <c r="S30" s="27">
        <f t="shared" si="8"/>
        <v>57180</v>
      </c>
      <c r="T30" s="4" t="str">
        <f t="shared" si="9"/>
        <v>A3</v>
      </c>
      <c r="V30">
        <v>27</v>
      </c>
      <c r="W30" s="28" t="str">
        <f t="shared" si="0"/>
        <v>27/09/2023</v>
      </c>
      <c r="X30" s="28">
        <f t="shared" si="0"/>
        <v>57180</v>
      </c>
      <c r="Y30" s="28" t="str">
        <f t="shared" si="0"/>
        <v>A3</v>
      </c>
      <c r="Z30" s="5" t="str">
        <f t="shared" si="16"/>
        <v>A3</v>
      </c>
      <c r="AA30" s="5" t="str">
        <f t="shared" si="10"/>
        <v>A3</v>
      </c>
      <c r="AG30" s="49" t="str">
        <f t="shared" si="1"/>
        <v>27/09/2023</v>
      </c>
      <c r="AH30" s="46">
        <f t="shared" si="1"/>
        <v>57180</v>
      </c>
      <c r="AI30" s="49" t="str">
        <f t="shared" si="1"/>
        <v>A3</v>
      </c>
      <c r="AJ30" s="49" t="str">
        <f t="shared" si="17"/>
        <v>A3</v>
      </c>
      <c r="AK30" s="50">
        <f t="shared" si="18"/>
        <v>55767.5</v>
      </c>
      <c r="AL30" s="49" t="str">
        <f t="shared" si="30"/>
        <v>A3</v>
      </c>
      <c r="AM30" s="50">
        <f t="shared" si="18"/>
        <v>55767.5</v>
      </c>
      <c r="AN30" s="56">
        <f t="shared" si="31"/>
        <v>90</v>
      </c>
      <c r="AO30" s="57">
        <f t="shared" si="32"/>
        <v>57225</v>
      </c>
      <c r="AP30" s="23">
        <f t="shared" si="19"/>
        <v>57135</v>
      </c>
      <c r="AQ30" s="23">
        <f t="shared" si="20"/>
        <v>57270</v>
      </c>
      <c r="AR30" s="23">
        <f t="shared" si="21"/>
        <v>57090</v>
      </c>
      <c r="AS30" s="23">
        <f t="shared" si="22"/>
        <v>57202.5</v>
      </c>
      <c r="AT30" s="23">
        <f t="shared" si="23"/>
        <v>57157.5</v>
      </c>
      <c r="AU30" s="23">
        <f t="shared" si="24"/>
        <v>57360</v>
      </c>
      <c r="AV30" s="23">
        <f t="shared" si="25"/>
        <v>57000</v>
      </c>
      <c r="AW30" s="23">
        <f t="shared" si="26"/>
        <v>57195</v>
      </c>
      <c r="AX30" s="23">
        <f t="shared" si="27"/>
        <v>57165</v>
      </c>
      <c r="AY30" s="23">
        <f t="shared" si="28"/>
        <v>57450</v>
      </c>
      <c r="AZ30" s="23">
        <f t="shared" si="29"/>
        <v>56910</v>
      </c>
      <c r="BA30" s="23">
        <f t="shared" si="51"/>
        <v>56843.75</v>
      </c>
      <c r="BB30" s="43"/>
      <c r="BC30" s="51">
        <f t="shared" si="2"/>
        <v>57180</v>
      </c>
      <c r="BD30" s="52">
        <f t="shared" si="11"/>
        <v>56843.75</v>
      </c>
      <c r="BE30" s="37">
        <f t="shared" si="33"/>
        <v>336.25</v>
      </c>
      <c r="BF30">
        <f t="shared" si="34"/>
        <v>336.25</v>
      </c>
      <c r="BG30">
        <f t="shared" si="35"/>
        <v>5.8805526407834903E-3</v>
      </c>
      <c r="BL30" s="1" t="s">
        <v>409</v>
      </c>
      <c r="BM30" s="1">
        <v>61940</v>
      </c>
      <c r="BN30" s="58" t="str">
        <f t="shared" si="36"/>
        <v>A4</v>
      </c>
      <c r="BO30" s="43" t="str">
        <f t="shared" si="52"/>
        <v>A4</v>
      </c>
      <c r="BP30" s="43">
        <f t="shared" si="37"/>
        <v>61798.5</v>
      </c>
      <c r="BQ30" s="43" t="str">
        <f t="shared" si="53"/>
        <v>A4</v>
      </c>
      <c r="BR30" s="43">
        <f t="shared" si="38"/>
        <v>61798.5</v>
      </c>
      <c r="BS30" s="59">
        <f t="shared" si="39"/>
        <v>1200</v>
      </c>
      <c r="BT30" s="60">
        <f t="shared" si="54"/>
        <v>62540</v>
      </c>
      <c r="BU30" s="43">
        <f t="shared" si="40"/>
        <v>61340</v>
      </c>
      <c r="BV30" s="43">
        <f t="shared" si="41"/>
        <v>63140</v>
      </c>
      <c r="BW30" s="43">
        <f t="shared" si="42"/>
        <v>60740</v>
      </c>
      <c r="BX30" s="43">
        <f t="shared" si="43"/>
        <v>62240</v>
      </c>
      <c r="BY30" s="43">
        <f t="shared" si="44"/>
        <v>61640</v>
      </c>
      <c r="BZ30" s="43">
        <f t="shared" si="45"/>
        <v>64340</v>
      </c>
      <c r="CA30" s="43">
        <f t="shared" si="46"/>
        <v>59540</v>
      </c>
      <c r="CB30" s="43">
        <f t="shared" si="47"/>
        <v>62140</v>
      </c>
      <c r="CC30" s="43">
        <f t="shared" si="48"/>
        <v>61740</v>
      </c>
      <c r="CD30" s="43">
        <f t="shared" si="49"/>
        <v>65540</v>
      </c>
      <c r="CE30" s="43">
        <f t="shared" si="50"/>
        <v>58340</v>
      </c>
      <c r="CF30" s="37">
        <f t="shared" si="61"/>
        <v>61409.25</v>
      </c>
      <c r="CH30" s="47">
        <f t="shared" si="12"/>
        <v>57730</v>
      </c>
      <c r="CI30" s="23">
        <f t="shared" si="59"/>
        <v>57963.75</v>
      </c>
      <c r="CJ30" s="37">
        <f t="shared" si="5"/>
        <v>-233.75</v>
      </c>
      <c r="CK30">
        <f t="shared" si="6"/>
        <v>233.75</v>
      </c>
      <c r="CL30">
        <f t="shared" si="7"/>
        <v>4.0490213060800275E-3</v>
      </c>
    </row>
    <row r="31" spans="1:90">
      <c r="A31" s="1" t="s">
        <v>32</v>
      </c>
      <c r="B31" s="1">
        <v>60850</v>
      </c>
      <c r="Q31">
        <v>28</v>
      </c>
      <c r="R31" s="27" t="str">
        <f t="shared" si="8"/>
        <v>28/09/2023</v>
      </c>
      <c r="S31" s="27">
        <f t="shared" si="8"/>
        <v>56610</v>
      </c>
      <c r="T31" s="4" t="str">
        <f t="shared" si="9"/>
        <v>A3</v>
      </c>
      <c r="V31">
        <v>28</v>
      </c>
      <c r="W31" s="28" t="str">
        <f t="shared" si="0"/>
        <v>28/09/2023</v>
      </c>
      <c r="X31" s="28">
        <f t="shared" si="0"/>
        <v>56610</v>
      </c>
      <c r="Y31" s="28" t="str">
        <f t="shared" si="0"/>
        <v>A3</v>
      </c>
      <c r="Z31" s="5" t="str">
        <f t="shared" si="16"/>
        <v>A3</v>
      </c>
      <c r="AA31" s="5" t="str">
        <f t="shared" si="10"/>
        <v>A3</v>
      </c>
      <c r="AG31" s="49" t="str">
        <f t="shared" si="1"/>
        <v>28/09/2023</v>
      </c>
      <c r="AH31" s="46">
        <f t="shared" si="1"/>
        <v>56610</v>
      </c>
      <c r="AI31" s="49" t="str">
        <f t="shared" si="1"/>
        <v>A3</v>
      </c>
      <c r="AJ31" s="49" t="str">
        <f t="shared" si="17"/>
        <v>A3</v>
      </c>
      <c r="AK31" s="50">
        <f t="shared" si="18"/>
        <v>55767.5</v>
      </c>
      <c r="AL31" s="49" t="str">
        <f t="shared" si="30"/>
        <v>A3</v>
      </c>
      <c r="AM31" s="50">
        <f t="shared" si="18"/>
        <v>55767.5</v>
      </c>
      <c r="AN31" s="56">
        <f t="shared" si="31"/>
        <v>230</v>
      </c>
      <c r="AO31" s="57">
        <f t="shared" si="32"/>
        <v>56725</v>
      </c>
      <c r="AP31" s="23">
        <f t="shared" si="19"/>
        <v>56495</v>
      </c>
      <c r="AQ31" s="23">
        <f t="shared" si="20"/>
        <v>56840</v>
      </c>
      <c r="AR31" s="23">
        <f t="shared" si="21"/>
        <v>56380</v>
      </c>
      <c r="AS31" s="23">
        <f t="shared" si="22"/>
        <v>56667.5</v>
      </c>
      <c r="AT31" s="23">
        <f t="shared" si="23"/>
        <v>56552.5</v>
      </c>
      <c r="AU31" s="23">
        <f t="shared" si="24"/>
        <v>57070</v>
      </c>
      <c r="AV31" s="23">
        <f t="shared" si="25"/>
        <v>56150</v>
      </c>
      <c r="AW31" s="23">
        <f t="shared" si="26"/>
        <v>56648.333333333336</v>
      </c>
      <c r="AX31" s="23">
        <f t="shared" si="27"/>
        <v>56571.666666666664</v>
      </c>
      <c r="AY31" s="23">
        <f t="shared" si="28"/>
        <v>57300</v>
      </c>
      <c r="AZ31" s="23">
        <f t="shared" si="29"/>
        <v>55920</v>
      </c>
      <c r="BA31" s="23">
        <f t="shared" si="51"/>
        <v>56496.25</v>
      </c>
      <c r="BB31" s="43"/>
      <c r="BC31" s="51">
        <f t="shared" si="2"/>
        <v>56610</v>
      </c>
      <c r="BD31" s="52">
        <f t="shared" si="11"/>
        <v>56496.25</v>
      </c>
      <c r="BE31" s="37">
        <f t="shared" si="33"/>
        <v>113.75</v>
      </c>
      <c r="BF31">
        <f t="shared" si="34"/>
        <v>113.75</v>
      </c>
      <c r="BG31">
        <f t="shared" si="35"/>
        <v>2.0093623034799506E-3</v>
      </c>
      <c r="BL31" s="1" t="s">
        <v>410</v>
      </c>
      <c r="BM31" s="1">
        <v>58410</v>
      </c>
      <c r="BN31" s="58" t="str">
        <f t="shared" si="36"/>
        <v>A3</v>
      </c>
      <c r="BO31" s="43" t="str">
        <f t="shared" si="52"/>
        <v>A4</v>
      </c>
      <c r="BP31" s="43">
        <f t="shared" si="37"/>
        <v>61798.5</v>
      </c>
      <c r="BQ31" s="43" t="str">
        <f t="shared" si="53"/>
        <v>A3</v>
      </c>
      <c r="BR31" s="43">
        <f t="shared" si="38"/>
        <v>55767.5</v>
      </c>
      <c r="BS31" s="59">
        <f t="shared" si="39"/>
        <v>2280</v>
      </c>
      <c r="BT31" s="43">
        <f t="shared" si="54"/>
        <v>59550</v>
      </c>
      <c r="BU31" s="61">
        <f t="shared" si="40"/>
        <v>57270</v>
      </c>
      <c r="BV31" s="43">
        <f t="shared" si="41"/>
        <v>60690</v>
      </c>
      <c r="BW31" s="43">
        <f t="shared" si="42"/>
        <v>56130</v>
      </c>
      <c r="BX31" s="43">
        <f t="shared" si="43"/>
        <v>58980</v>
      </c>
      <c r="BY31" s="43">
        <f t="shared" si="44"/>
        <v>57840</v>
      </c>
      <c r="BZ31" s="43">
        <f t="shared" si="45"/>
        <v>62970</v>
      </c>
      <c r="CA31" s="43">
        <f t="shared" si="46"/>
        <v>53850</v>
      </c>
      <c r="CB31" s="43">
        <f t="shared" si="47"/>
        <v>58790</v>
      </c>
      <c r="CC31" s="43">
        <f t="shared" si="48"/>
        <v>58030</v>
      </c>
      <c r="CD31" s="43">
        <f t="shared" si="49"/>
        <v>65250</v>
      </c>
      <c r="CE31" s="43">
        <f t="shared" si="50"/>
        <v>51570</v>
      </c>
      <c r="CF31" s="37">
        <f t="shared" si="61"/>
        <v>62169.25</v>
      </c>
      <c r="CH31" s="47">
        <f t="shared" si="12"/>
        <v>56490</v>
      </c>
      <c r="CI31" s="23">
        <f t="shared" si="59"/>
        <v>56913.75</v>
      </c>
      <c r="CJ31" s="37">
        <f t="shared" si="5"/>
        <v>-423.75</v>
      </c>
      <c r="CK31">
        <f t="shared" si="6"/>
        <v>423.75</v>
      </c>
      <c r="CL31">
        <f t="shared" si="7"/>
        <v>7.5013276686139137E-3</v>
      </c>
    </row>
    <row r="32" spans="1:90">
      <c r="A32" s="1" t="s">
        <v>33</v>
      </c>
      <c r="B32" s="1">
        <v>59170</v>
      </c>
      <c r="Q32">
        <v>29</v>
      </c>
      <c r="R32" s="27" t="str">
        <f t="shared" si="8"/>
        <v>29/09/2023</v>
      </c>
      <c r="S32" s="27">
        <f t="shared" si="8"/>
        <v>59040</v>
      </c>
      <c r="T32" s="4" t="str">
        <f t="shared" si="9"/>
        <v>A4</v>
      </c>
      <c r="V32">
        <v>29</v>
      </c>
      <c r="W32" s="28" t="str">
        <f t="shared" si="0"/>
        <v>29/09/2023</v>
      </c>
      <c r="X32" s="28">
        <f t="shared" si="0"/>
        <v>59040</v>
      </c>
      <c r="Y32" s="28" t="str">
        <f t="shared" si="0"/>
        <v>A4</v>
      </c>
      <c r="Z32" s="5" t="str">
        <f t="shared" si="16"/>
        <v>A3</v>
      </c>
      <c r="AA32" s="5" t="str">
        <f t="shared" si="10"/>
        <v>A4</v>
      </c>
      <c r="AG32" s="49" t="str">
        <f t="shared" si="1"/>
        <v>29/09/2023</v>
      </c>
      <c r="AH32" s="46">
        <f t="shared" si="1"/>
        <v>59040</v>
      </c>
      <c r="AI32" s="49" t="str">
        <f t="shared" si="1"/>
        <v>A4</v>
      </c>
      <c r="AJ32" s="49" t="str">
        <f t="shared" si="17"/>
        <v>A3</v>
      </c>
      <c r="AK32" s="50">
        <f t="shared" si="18"/>
        <v>55767.5</v>
      </c>
      <c r="AL32" s="49" t="str">
        <f t="shared" si="30"/>
        <v>A4</v>
      </c>
      <c r="AM32" s="50">
        <f t="shared" si="18"/>
        <v>61798.5</v>
      </c>
      <c r="AN32" s="56">
        <f t="shared" si="31"/>
        <v>1860</v>
      </c>
      <c r="AO32" s="57">
        <f t="shared" si="32"/>
        <v>59970</v>
      </c>
      <c r="AP32" s="23">
        <f t="shared" si="19"/>
        <v>58110</v>
      </c>
      <c r="AQ32" s="23">
        <f t="shared" si="20"/>
        <v>60900</v>
      </c>
      <c r="AR32" s="23">
        <f t="shared" si="21"/>
        <v>57180</v>
      </c>
      <c r="AS32" s="23">
        <f t="shared" si="22"/>
        <v>59505</v>
      </c>
      <c r="AT32" s="23">
        <f t="shared" si="23"/>
        <v>58575</v>
      </c>
      <c r="AU32" s="23">
        <f t="shared" si="24"/>
        <v>62760</v>
      </c>
      <c r="AV32" s="23">
        <f t="shared" si="25"/>
        <v>55320</v>
      </c>
      <c r="AW32" s="23">
        <f t="shared" si="26"/>
        <v>59350</v>
      </c>
      <c r="AX32" s="23">
        <f t="shared" si="27"/>
        <v>58730</v>
      </c>
      <c r="AY32" s="23">
        <f t="shared" si="28"/>
        <v>64620</v>
      </c>
      <c r="AZ32" s="23">
        <f t="shared" si="29"/>
        <v>53460</v>
      </c>
      <c r="BA32" s="23">
        <f t="shared" si="51"/>
        <v>56246.25</v>
      </c>
      <c r="BB32" s="43"/>
      <c r="BC32" s="51">
        <f t="shared" si="2"/>
        <v>59040</v>
      </c>
      <c r="BD32" s="52">
        <f t="shared" si="11"/>
        <v>56246.25</v>
      </c>
      <c r="BE32" s="37">
        <f t="shared" si="33"/>
        <v>2793.75</v>
      </c>
      <c r="BF32">
        <f t="shared" si="34"/>
        <v>2793.75</v>
      </c>
      <c r="BG32">
        <f t="shared" si="35"/>
        <v>4.7319613821138209E-2</v>
      </c>
      <c r="BL32" s="1" t="s">
        <v>411</v>
      </c>
      <c r="BM32" s="1">
        <v>58400</v>
      </c>
      <c r="BN32" s="58" t="str">
        <f t="shared" si="36"/>
        <v>A3</v>
      </c>
      <c r="BO32" s="43" t="str">
        <f t="shared" si="52"/>
        <v>A3</v>
      </c>
      <c r="BP32" s="43">
        <f t="shared" si="37"/>
        <v>55767.5</v>
      </c>
      <c r="BQ32" s="43" t="str">
        <f t="shared" si="53"/>
        <v>A3</v>
      </c>
      <c r="BR32" s="43">
        <f t="shared" si="38"/>
        <v>55767.5</v>
      </c>
      <c r="BS32" s="59">
        <f t="shared" si="39"/>
        <v>3520</v>
      </c>
      <c r="BT32" s="60">
        <f t="shared" si="54"/>
        <v>60160</v>
      </c>
      <c r="BU32" s="43">
        <f t="shared" si="40"/>
        <v>56640</v>
      </c>
      <c r="BV32" s="43">
        <f t="shared" si="41"/>
        <v>61920</v>
      </c>
      <c r="BW32" s="43">
        <f t="shared" si="42"/>
        <v>54880</v>
      </c>
      <c r="BX32" s="43">
        <f t="shared" si="43"/>
        <v>59280</v>
      </c>
      <c r="BY32" s="43">
        <f t="shared" si="44"/>
        <v>57520</v>
      </c>
      <c r="BZ32" s="43">
        <f t="shared" si="45"/>
        <v>65440</v>
      </c>
      <c r="CA32" s="43">
        <f t="shared" si="46"/>
        <v>51360</v>
      </c>
      <c r="CB32" s="43">
        <f t="shared" si="47"/>
        <v>58986.666666666664</v>
      </c>
      <c r="CC32" s="43">
        <f t="shared" si="48"/>
        <v>57813.333333333336</v>
      </c>
      <c r="CD32" s="43">
        <f t="shared" si="49"/>
        <v>68960</v>
      </c>
      <c r="CE32" s="43">
        <f t="shared" si="50"/>
        <v>47840</v>
      </c>
      <c r="CF32" s="37">
        <f>(BR31+BU31)/(1+1)</f>
        <v>56518.75</v>
      </c>
      <c r="CH32" s="47">
        <f t="shared" si="12"/>
        <v>54650</v>
      </c>
      <c r="CI32" s="23">
        <f t="shared" si="59"/>
        <v>56271.25</v>
      </c>
      <c r="CJ32" s="37">
        <f t="shared" si="5"/>
        <v>-1621.25</v>
      </c>
      <c r="CK32">
        <f t="shared" si="6"/>
        <v>1621.25</v>
      </c>
      <c r="CL32">
        <f t="shared" si="7"/>
        <v>2.9666056724611162E-2</v>
      </c>
    </row>
    <row r="33" spans="1:90">
      <c r="A33" s="1" t="s">
        <v>34</v>
      </c>
      <c r="B33" s="1">
        <v>59780</v>
      </c>
      <c r="Q33">
        <v>30</v>
      </c>
      <c r="R33" s="27" t="str">
        <f t="shared" si="8"/>
        <v>30/09/2023</v>
      </c>
      <c r="S33" s="27">
        <f t="shared" si="8"/>
        <v>60850</v>
      </c>
      <c r="T33" s="4" t="str">
        <f t="shared" si="9"/>
        <v>A4</v>
      </c>
      <c r="V33">
        <v>30</v>
      </c>
      <c r="W33" s="28" t="str">
        <f t="shared" si="0"/>
        <v>30/09/2023</v>
      </c>
      <c r="X33" s="28">
        <f t="shared" si="0"/>
        <v>60850</v>
      </c>
      <c r="Y33" s="28" t="str">
        <f t="shared" si="0"/>
        <v>A4</v>
      </c>
      <c r="Z33" s="5" t="str">
        <f t="shared" si="16"/>
        <v>A4</v>
      </c>
      <c r="AA33" s="5" t="str">
        <f t="shared" si="10"/>
        <v>A4</v>
      </c>
      <c r="AG33" s="49" t="str">
        <f t="shared" si="1"/>
        <v>30/09/2023</v>
      </c>
      <c r="AH33" s="46">
        <f t="shared" si="1"/>
        <v>60850</v>
      </c>
      <c r="AI33" s="49" t="str">
        <f t="shared" si="1"/>
        <v>A4</v>
      </c>
      <c r="AJ33" s="49" t="str">
        <f t="shared" si="17"/>
        <v>A4</v>
      </c>
      <c r="AK33" s="50">
        <f t="shared" si="18"/>
        <v>61798.5</v>
      </c>
      <c r="AL33" s="49" t="str">
        <f t="shared" si="30"/>
        <v>A4</v>
      </c>
      <c r="AM33" s="50">
        <f t="shared" si="18"/>
        <v>61798.5</v>
      </c>
      <c r="AN33" s="56">
        <f t="shared" si="31"/>
        <v>620</v>
      </c>
      <c r="AO33" s="57">
        <f t="shared" si="32"/>
        <v>61160</v>
      </c>
      <c r="AP33" s="23">
        <f t="shared" si="19"/>
        <v>60540</v>
      </c>
      <c r="AQ33" s="23">
        <f t="shared" si="20"/>
        <v>61470</v>
      </c>
      <c r="AR33" s="23">
        <f t="shared" si="21"/>
        <v>60230</v>
      </c>
      <c r="AS33" s="23">
        <f t="shared" si="22"/>
        <v>61005</v>
      </c>
      <c r="AT33" s="23">
        <f t="shared" si="23"/>
        <v>60695</v>
      </c>
      <c r="AU33" s="23">
        <f t="shared" si="24"/>
        <v>62090</v>
      </c>
      <c r="AV33" s="23">
        <f t="shared" si="25"/>
        <v>59610</v>
      </c>
      <c r="AW33" s="23">
        <f t="shared" si="26"/>
        <v>60953.333333333336</v>
      </c>
      <c r="AX33" s="23">
        <f t="shared" si="27"/>
        <v>60746.666666666664</v>
      </c>
      <c r="AY33" s="23">
        <f t="shared" si="28"/>
        <v>62710</v>
      </c>
      <c r="AZ33" s="23">
        <f t="shared" si="29"/>
        <v>58990</v>
      </c>
      <c r="BA33" s="23">
        <f t="shared" si="51"/>
        <v>60884.25</v>
      </c>
      <c r="BB33" s="43"/>
      <c r="BC33" s="51">
        <f t="shared" si="2"/>
        <v>60850</v>
      </c>
      <c r="BD33" s="52">
        <f t="shared" si="11"/>
        <v>60884.25</v>
      </c>
      <c r="BE33" s="37">
        <f t="shared" si="33"/>
        <v>-34.25</v>
      </c>
      <c r="BF33">
        <f t="shared" si="34"/>
        <v>34.25</v>
      </c>
      <c r="BG33">
        <f t="shared" si="35"/>
        <v>5.6285949055053408E-4</v>
      </c>
      <c r="BL33" s="1" t="s">
        <v>412</v>
      </c>
      <c r="BM33" s="1">
        <v>57730</v>
      </c>
      <c r="BN33" s="58" t="str">
        <f t="shared" si="36"/>
        <v>A3</v>
      </c>
      <c r="BO33" s="43" t="str">
        <f t="shared" si="52"/>
        <v>A3</v>
      </c>
      <c r="BP33" s="43">
        <f t="shared" si="37"/>
        <v>55767.5</v>
      </c>
      <c r="BQ33" s="43" t="str">
        <f t="shared" si="53"/>
        <v>A3</v>
      </c>
      <c r="BR33" s="43">
        <f t="shared" si="38"/>
        <v>55767.5</v>
      </c>
      <c r="BS33" s="59">
        <f t="shared" si="39"/>
        <v>660</v>
      </c>
      <c r="BT33" s="60">
        <f t="shared" si="54"/>
        <v>58060</v>
      </c>
      <c r="BU33" s="43">
        <f t="shared" si="40"/>
        <v>57400</v>
      </c>
      <c r="BV33" s="43">
        <f t="shared" si="41"/>
        <v>58390</v>
      </c>
      <c r="BW33" s="43">
        <f t="shared" si="42"/>
        <v>57070</v>
      </c>
      <c r="BX33" s="43">
        <f t="shared" si="43"/>
        <v>57895</v>
      </c>
      <c r="BY33" s="43">
        <f t="shared" si="44"/>
        <v>57565</v>
      </c>
      <c r="BZ33" s="43">
        <f t="shared" si="45"/>
        <v>59050</v>
      </c>
      <c r="CA33" s="43">
        <f t="shared" si="46"/>
        <v>56410</v>
      </c>
      <c r="CB33" s="43">
        <f t="shared" si="47"/>
        <v>57840</v>
      </c>
      <c r="CC33" s="43">
        <f t="shared" si="48"/>
        <v>57620</v>
      </c>
      <c r="CD33" s="43">
        <f t="shared" si="49"/>
        <v>59710</v>
      </c>
      <c r="CE33" s="43">
        <f t="shared" si="50"/>
        <v>55750</v>
      </c>
      <c r="CF33" s="37">
        <f t="shared" si="61"/>
        <v>57963.75</v>
      </c>
      <c r="CH33" s="47">
        <f t="shared" si="12"/>
        <v>54680</v>
      </c>
      <c r="CI33" s="23">
        <f t="shared" si="59"/>
        <v>55358.75</v>
      </c>
      <c r="CJ33" s="37">
        <f t="shared" si="5"/>
        <v>-678.75</v>
      </c>
      <c r="CK33">
        <f t="shared" si="6"/>
        <v>678.75</v>
      </c>
      <c r="CL33">
        <f t="shared" si="7"/>
        <v>1.2413130943672275E-2</v>
      </c>
    </row>
    <row r="34" spans="1:90">
      <c r="A34" s="1" t="s">
        <v>35</v>
      </c>
      <c r="B34" s="1">
        <v>60060</v>
      </c>
      <c r="Q34">
        <v>31</v>
      </c>
      <c r="R34" s="27" t="str">
        <f t="shared" si="8"/>
        <v>01/10/2023</v>
      </c>
      <c r="S34" s="27">
        <f t="shared" si="8"/>
        <v>59170</v>
      </c>
      <c r="T34" s="4" t="str">
        <f t="shared" si="9"/>
        <v>A4</v>
      </c>
      <c r="V34">
        <v>31</v>
      </c>
      <c r="W34" s="28" t="str">
        <f t="shared" si="0"/>
        <v>01/10/2023</v>
      </c>
      <c r="X34" s="28">
        <f t="shared" si="0"/>
        <v>59170</v>
      </c>
      <c r="Y34" s="28" t="str">
        <f t="shared" si="0"/>
        <v>A4</v>
      </c>
      <c r="Z34" s="5" t="str">
        <f t="shared" si="16"/>
        <v>A4</v>
      </c>
      <c r="AA34" s="5" t="str">
        <f t="shared" si="10"/>
        <v>A4</v>
      </c>
      <c r="AG34" s="49" t="str">
        <f t="shared" si="1"/>
        <v>01/10/2023</v>
      </c>
      <c r="AH34" s="46">
        <f t="shared" si="1"/>
        <v>59170</v>
      </c>
      <c r="AI34" s="49" t="str">
        <f t="shared" si="1"/>
        <v>A4</v>
      </c>
      <c r="AJ34" s="49" t="str">
        <f t="shared" si="17"/>
        <v>A4</v>
      </c>
      <c r="AK34" s="50">
        <f t="shared" si="18"/>
        <v>61798.5</v>
      </c>
      <c r="AL34" s="49" t="str">
        <f t="shared" si="30"/>
        <v>A4</v>
      </c>
      <c r="AM34" s="50">
        <f t="shared" si="18"/>
        <v>61798.5</v>
      </c>
      <c r="AN34" s="56">
        <f t="shared" si="31"/>
        <v>130</v>
      </c>
      <c r="AO34" s="57">
        <f t="shared" si="32"/>
        <v>59235</v>
      </c>
      <c r="AP34" s="23">
        <f t="shared" si="19"/>
        <v>59105</v>
      </c>
      <c r="AQ34" s="23">
        <f t="shared" si="20"/>
        <v>59300</v>
      </c>
      <c r="AR34" s="23">
        <f t="shared" si="21"/>
        <v>59040</v>
      </c>
      <c r="AS34" s="23">
        <f t="shared" si="22"/>
        <v>59202.5</v>
      </c>
      <c r="AT34" s="23">
        <f t="shared" si="23"/>
        <v>59137.5</v>
      </c>
      <c r="AU34" s="23">
        <f t="shared" si="24"/>
        <v>59430</v>
      </c>
      <c r="AV34" s="23">
        <f t="shared" si="25"/>
        <v>58910</v>
      </c>
      <c r="AW34" s="23">
        <f t="shared" si="26"/>
        <v>59191.666666666664</v>
      </c>
      <c r="AX34" s="23">
        <f t="shared" si="27"/>
        <v>59148.333333333336</v>
      </c>
      <c r="AY34" s="23">
        <f t="shared" si="28"/>
        <v>59560</v>
      </c>
      <c r="AZ34" s="23">
        <f t="shared" si="29"/>
        <v>58780</v>
      </c>
      <c r="BA34" s="23">
        <f t="shared" si="51"/>
        <v>61479.25</v>
      </c>
      <c r="BB34" s="43"/>
      <c r="BC34" s="51">
        <f t="shared" si="2"/>
        <v>59170</v>
      </c>
      <c r="BD34" s="52">
        <f t="shared" si="11"/>
        <v>61479.25</v>
      </c>
      <c r="BE34" s="37">
        <f t="shared" si="33"/>
        <v>-2309.25</v>
      </c>
      <c r="BF34">
        <f t="shared" si="34"/>
        <v>2309.25</v>
      </c>
      <c r="BG34">
        <f t="shared" si="35"/>
        <v>3.902737873922596E-2</v>
      </c>
      <c r="BL34" s="1" t="s">
        <v>413</v>
      </c>
      <c r="BM34" s="1">
        <v>56490</v>
      </c>
      <c r="BN34" s="58" t="str">
        <f t="shared" si="36"/>
        <v>A3</v>
      </c>
      <c r="BO34" s="43" t="str">
        <f t="shared" si="52"/>
        <v>A3</v>
      </c>
      <c r="BP34" s="43">
        <f t="shared" si="37"/>
        <v>55767.5</v>
      </c>
      <c r="BQ34" s="43" t="str">
        <f t="shared" si="53"/>
        <v>A3</v>
      </c>
      <c r="BR34" s="43">
        <f t="shared" si="38"/>
        <v>55767.5</v>
      </c>
      <c r="BS34" s="59">
        <f t="shared" si="39"/>
        <v>570</v>
      </c>
      <c r="BT34" s="60">
        <f t="shared" si="54"/>
        <v>56775</v>
      </c>
      <c r="BU34" s="43">
        <f t="shared" si="40"/>
        <v>56205</v>
      </c>
      <c r="BV34" s="43">
        <f t="shared" si="41"/>
        <v>57060</v>
      </c>
      <c r="BW34" s="43">
        <f t="shared" si="42"/>
        <v>55920</v>
      </c>
      <c r="BX34" s="43">
        <f t="shared" si="43"/>
        <v>56632.5</v>
      </c>
      <c r="BY34" s="43">
        <f t="shared" si="44"/>
        <v>56347.5</v>
      </c>
      <c r="BZ34" s="43">
        <f t="shared" si="45"/>
        <v>57630</v>
      </c>
      <c r="CA34" s="43">
        <f t="shared" si="46"/>
        <v>55350</v>
      </c>
      <c r="CB34" s="43">
        <f t="shared" si="47"/>
        <v>56585</v>
      </c>
      <c r="CC34" s="43">
        <f t="shared" si="48"/>
        <v>56395</v>
      </c>
      <c r="CD34" s="43">
        <f t="shared" si="49"/>
        <v>58200</v>
      </c>
      <c r="CE34" s="43">
        <f t="shared" si="50"/>
        <v>54780</v>
      </c>
      <c r="CF34" s="37">
        <f t="shared" si="61"/>
        <v>56913.75</v>
      </c>
      <c r="CH34" s="47">
        <f t="shared" si="12"/>
        <v>52140</v>
      </c>
      <c r="CI34" s="23">
        <f t="shared" si="59"/>
        <v>55676.25</v>
      </c>
      <c r="CJ34" s="37">
        <f t="shared" si="5"/>
        <v>-3536.25</v>
      </c>
      <c r="CK34">
        <f t="shared" si="6"/>
        <v>3536.25</v>
      </c>
      <c r="CL34">
        <f t="shared" si="7"/>
        <v>6.7822209436133485E-2</v>
      </c>
    </row>
    <row r="35" spans="1:90">
      <c r="A35" s="1" t="s">
        <v>36</v>
      </c>
      <c r="B35" s="1">
        <v>61520</v>
      </c>
      <c r="Q35">
        <v>32</v>
      </c>
      <c r="R35" s="27" t="str">
        <f t="shared" si="8"/>
        <v>02/10/2023</v>
      </c>
      <c r="S35" s="27">
        <f t="shared" si="8"/>
        <v>59780</v>
      </c>
      <c r="T35" s="4" t="str">
        <f t="shared" si="9"/>
        <v>A4</v>
      </c>
      <c r="V35">
        <v>32</v>
      </c>
      <c r="W35" s="28" t="str">
        <f t="shared" si="0"/>
        <v>02/10/2023</v>
      </c>
      <c r="X35" s="28">
        <f t="shared" si="0"/>
        <v>59780</v>
      </c>
      <c r="Y35" s="28" t="str">
        <f t="shared" si="0"/>
        <v>A4</v>
      </c>
      <c r="Z35" s="5" t="str">
        <f t="shared" si="16"/>
        <v>A4</v>
      </c>
      <c r="AA35" s="5" t="str">
        <f t="shared" si="10"/>
        <v>A4</v>
      </c>
      <c r="AG35" s="49" t="str">
        <f t="shared" si="1"/>
        <v>02/10/2023</v>
      </c>
      <c r="AH35" s="46">
        <f t="shared" si="1"/>
        <v>59780</v>
      </c>
      <c r="AI35" s="49" t="str">
        <f t="shared" si="1"/>
        <v>A4</v>
      </c>
      <c r="AJ35" s="49" t="str">
        <f t="shared" si="17"/>
        <v>A4</v>
      </c>
      <c r="AK35" s="50">
        <f t="shared" si="18"/>
        <v>61798.5</v>
      </c>
      <c r="AL35" s="49" t="str">
        <f t="shared" si="30"/>
        <v>A4</v>
      </c>
      <c r="AM35" s="50">
        <f t="shared" si="18"/>
        <v>61798.5</v>
      </c>
      <c r="AN35" s="56">
        <f t="shared" si="31"/>
        <v>1070</v>
      </c>
      <c r="AO35" s="57">
        <f t="shared" si="32"/>
        <v>60315</v>
      </c>
      <c r="AP35" s="23">
        <f t="shared" si="19"/>
        <v>59245</v>
      </c>
      <c r="AQ35" s="23">
        <f t="shared" si="20"/>
        <v>60850</v>
      </c>
      <c r="AR35" s="23">
        <f t="shared" si="21"/>
        <v>58710</v>
      </c>
      <c r="AS35" s="23">
        <f t="shared" si="22"/>
        <v>60047.5</v>
      </c>
      <c r="AT35" s="23">
        <f t="shared" si="23"/>
        <v>59512.5</v>
      </c>
      <c r="AU35" s="23">
        <f t="shared" si="24"/>
        <v>61920</v>
      </c>
      <c r="AV35" s="23">
        <f t="shared" si="25"/>
        <v>57640</v>
      </c>
      <c r="AW35" s="23">
        <f t="shared" si="26"/>
        <v>59958.333333333336</v>
      </c>
      <c r="AX35" s="23">
        <f t="shared" si="27"/>
        <v>59601.666666666664</v>
      </c>
      <c r="AY35" s="23">
        <f t="shared" si="28"/>
        <v>62990</v>
      </c>
      <c r="AZ35" s="23">
        <f t="shared" si="29"/>
        <v>56570</v>
      </c>
      <c r="BA35" s="23">
        <f t="shared" si="51"/>
        <v>60516.75</v>
      </c>
      <c r="BB35" s="43"/>
      <c r="BC35" s="51">
        <f t="shared" si="2"/>
        <v>59780</v>
      </c>
      <c r="BD35" s="52">
        <f t="shared" si="11"/>
        <v>60516.75</v>
      </c>
      <c r="BE35" s="37">
        <f t="shared" si="33"/>
        <v>-736.75</v>
      </c>
      <c r="BF35">
        <f t="shared" si="34"/>
        <v>736.75</v>
      </c>
      <c r="BG35">
        <f t="shared" si="35"/>
        <v>1.2324355971896956E-2</v>
      </c>
      <c r="BL35" s="1" t="s">
        <v>414</v>
      </c>
      <c r="BM35" s="1">
        <v>54650</v>
      </c>
      <c r="BN35" s="58" t="str">
        <f t="shared" si="36"/>
        <v>A3</v>
      </c>
      <c r="BO35" s="43" t="str">
        <f t="shared" si="52"/>
        <v>A3</v>
      </c>
      <c r="BP35" s="43">
        <f t="shared" si="37"/>
        <v>55767.5</v>
      </c>
      <c r="BQ35" s="43" t="str">
        <f t="shared" si="53"/>
        <v>A3</v>
      </c>
      <c r="BR35" s="43">
        <f t="shared" si="38"/>
        <v>55767.5</v>
      </c>
      <c r="BS35" s="59">
        <f t="shared" si="39"/>
        <v>600</v>
      </c>
      <c r="BT35" s="60">
        <f t="shared" si="54"/>
        <v>54950</v>
      </c>
      <c r="BU35" s="43">
        <f t="shared" si="40"/>
        <v>54350</v>
      </c>
      <c r="BV35" s="43">
        <f t="shared" si="41"/>
        <v>55250</v>
      </c>
      <c r="BW35" s="43">
        <f t="shared" si="42"/>
        <v>54050</v>
      </c>
      <c r="BX35" s="43">
        <f t="shared" si="43"/>
        <v>54800</v>
      </c>
      <c r="BY35" s="43">
        <f t="shared" si="44"/>
        <v>54500</v>
      </c>
      <c r="BZ35" s="43">
        <f t="shared" si="45"/>
        <v>55850</v>
      </c>
      <c r="CA35" s="43">
        <f t="shared" si="46"/>
        <v>53450</v>
      </c>
      <c r="CB35" s="43">
        <f t="shared" si="47"/>
        <v>54750</v>
      </c>
      <c r="CC35" s="43">
        <f t="shared" si="48"/>
        <v>54550</v>
      </c>
      <c r="CD35" s="43">
        <f t="shared" si="49"/>
        <v>56450</v>
      </c>
      <c r="CE35" s="43">
        <f t="shared" si="50"/>
        <v>52850</v>
      </c>
      <c r="CF35" s="37">
        <f t="shared" si="61"/>
        <v>56271.25</v>
      </c>
      <c r="CH35" s="47">
        <f t="shared" si="12"/>
        <v>48990</v>
      </c>
      <c r="CI35" s="23">
        <f t="shared" si="59"/>
        <v>50310.75</v>
      </c>
      <c r="CJ35" s="37">
        <f t="shared" si="5"/>
        <v>-1320.75</v>
      </c>
      <c r="CK35">
        <f t="shared" si="6"/>
        <v>1320.75</v>
      </c>
      <c r="CL35">
        <f t="shared" si="7"/>
        <v>2.6959583588487445E-2</v>
      </c>
    </row>
    <row r="36" spans="1:90">
      <c r="A36" s="1" t="s">
        <v>37</v>
      </c>
      <c r="B36" s="1">
        <v>64300</v>
      </c>
      <c r="Q36">
        <v>33</v>
      </c>
      <c r="R36" s="27" t="str">
        <f t="shared" si="8"/>
        <v>03/10/2023</v>
      </c>
      <c r="S36" s="27">
        <f t="shared" si="8"/>
        <v>60060</v>
      </c>
      <c r="T36" s="4" t="str">
        <f t="shared" si="9"/>
        <v>A4</v>
      </c>
      <c r="V36">
        <v>33</v>
      </c>
      <c r="W36" s="28" t="str">
        <f t="shared" si="0"/>
        <v>03/10/2023</v>
      </c>
      <c r="X36" s="28">
        <f t="shared" si="0"/>
        <v>60060</v>
      </c>
      <c r="Y36" s="28" t="str">
        <f t="shared" si="0"/>
        <v>A4</v>
      </c>
      <c r="Z36" s="5" t="str">
        <f t="shared" si="16"/>
        <v>A4</v>
      </c>
      <c r="AA36" s="5" t="str">
        <f t="shared" si="10"/>
        <v>A4</v>
      </c>
      <c r="AG36" s="49" t="str">
        <f t="shared" ref="AG36:AI63" si="62">W36</f>
        <v>03/10/2023</v>
      </c>
      <c r="AH36" s="46">
        <f t="shared" si="62"/>
        <v>60060</v>
      </c>
      <c r="AI36" s="49" t="str">
        <f t="shared" si="62"/>
        <v>A4</v>
      </c>
      <c r="AJ36" s="49" t="str">
        <f t="shared" si="17"/>
        <v>A4</v>
      </c>
      <c r="AK36" s="50">
        <f t="shared" si="18"/>
        <v>61798.5</v>
      </c>
      <c r="AL36" s="49" t="str">
        <f t="shared" si="30"/>
        <v>A4</v>
      </c>
      <c r="AM36" s="50">
        <f t="shared" si="18"/>
        <v>61798.5</v>
      </c>
      <c r="AN36" s="56">
        <f t="shared" si="31"/>
        <v>330</v>
      </c>
      <c r="AO36" s="57">
        <f t="shared" si="32"/>
        <v>60225</v>
      </c>
      <c r="AP36" s="23">
        <f t="shared" si="19"/>
        <v>59895</v>
      </c>
      <c r="AQ36" s="23">
        <f t="shared" si="20"/>
        <v>60390</v>
      </c>
      <c r="AR36" s="23">
        <f t="shared" si="21"/>
        <v>59730</v>
      </c>
      <c r="AS36" s="23">
        <f t="shared" si="22"/>
        <v>60142.5</v>
      </c>
      <c r="AT36" s="23">
        <f t="shared" si="23"/>
        <v>59977.5</v>
      </c>
      <c r="AU36" s="23">
        <f t="shared" si="24"/>
        <v>60720</v>
      </c>
      <c r="AV36" s="23">
        <f t="shared" si="25"/>
        <v>59400</v>
      </c>
      <c r="AW36" s="23">
        <f t="shared" si="26"/>
        <v>60115</v>
      </c>
      <c r="AX36" s="23">
        <f t="shared" si="27"/>
        <v>60005</v>
      </c>
      <c r="AY36" s="23">
        <f t="shared" si="28"/>
        <v>61050</v>
      </c>
      <c r="AZ36" s="23">
        <f t="shared" si="29"/>
        <v>59070</v>
      </c>
      <c r="BA36" s="23">
        <f t="shared" si="51"/>
        <v>61056.75</v>
      </c>
      <c r="BB36" s="43"/>
      <c r="BC36" s="51">
        <f t="shared" si="2"/>
        <v>60060</v>
      </c>
      <c r="BD36" s="52">
        <f t="shared" si="11"/>
        <v>61056.75</v>
      </c>
      <c r="BE36" s="37">
        <f t="shared" si="33"/>
        <v>-996.75</v>
      </c>
      <c r="BF36">
        <f t="shared" si="34"/>
        <v>996.75</v>
      </c>
      <c r="BG36">
        <f t="shared" si="35"/>
        <v>1.6595904095904095E-2</v>
      </c>
      <c r="BL36" s="1" t="s">
        <v>415</v>
      </c>
      <c r="BM36" s="1">
        <v>54680</v>
      </c>
      <c r="BN36" s="58" t="str">
        <f t="shared" si="36"/>
        <v>A3</v>
      </c>
      <c r="BO36" s="43" t="str">
        <f t="shared" si="52"/>
        <v>A3</v>
      </c>
      <c r="BP36" s="43">
        <f t="shared" si="37"/>
        <v>55767.5</v>
      </c>
      <c r="BQ36" s="43" t="str">
        <f t="shared" si="53"/>
        <v>A3</v>
      </c>
      <c r="BR36" s="43">
        <f t="shared" si="38"/>
        <v>55767.5</v>
      </c>
      <c r="BS36" s="59">
        <f t="shared" si="39"/>
        <v>1810</v>
      </c>
      <c r="BT36" s="60">
        <f t="shared" si="54"/>
        <v>55585</v>
      </c>
      <c r="BU36" s="43">
        <f t="shared" si="40"/>
        <v>53775</v>
      </c>
      <c r="BV36" s="43">
        <f t="shared" si="41"/>
        <v>56490</v>
      </c>
      <c r="BW36" s="43">
        <f t="shared" si="42"/>
        <v>52870</v>
      </c>
      <c r="BX36" s="43">
        <f t="shared" si="43"/>
        <v>55132.5</v>
      </c>
      <c r="BY36" s="43">
        <f t="shared" si="44"/>
        <v>54227.5</v>
      </c>
      <c r="BZ36" s="43">
        <f t="shared" si="45"/>
        <v>58300</v>
      </c>
      <c r="CA36" s="43">
        <f t="shared" si="46"/>
        <v>51060</v>
      </c>
      <c r="CB36" s="43">
        <f t="shared" si="47"/>
        <v>54981.666666666664</v>
      </c>
      <c r="CC36" s="43">
        <f t="shared" si="48"/>
        <v>54378.333333333336</v>
      </c>
      <c r="CD36" s="43">
        <f t="shared" si="49"/>
        <v>60110</v>
      </c>
      <c r="CE36" s="43">
        <f t="shared" si="50"/>
        <v>49250</v>
      </c>
      <c r="CF36" s="37">
        <f t="shared" si="61"/>
        <v>55358.75</v>
      </c>
      <c r="CH36" s="47">
        <f t="shared" si="12"/>
        <v>43170</v>
      </c>
      <c r="CI36" s="23">
        <f t="shared" si="59"/>
        <v>49515.75</v>
      </c>
      <c r="CJ36" s="37">
        <f t="shared" si="5"/>
        <v>-6345.75</v>
      </c>
      <c r="CK36">
        <f t="shared" si="6"/>
        <v>6345.75</v>
      </c>
      <c r="CL36">
        <f t="shared" si="7"/>
        <v>0.1469944405837387</v>
      </c>
    </row>
    <row r="37" spans="1:90">
      <c r="A37" s="1" t="s">
        <v>38</v>
      </c>
      <c r="B37" s="1">
        <v>66000</v>
      </c>
      <c r="Q37">
        <v>34</v>
      </c>
      <c r="R37" s="27" t="str">
        <f t="shared" si="8"/>
        <v>04/10/2023</v>
      </c>
      <c r="S37" s="27">
        <f t="shared" si="8"/>
        <v>61520</v>
      </c>
      <c r="T37" s="4" t="str">
        <f t="shared" si="9"/>
        <v>A4</v>
      </c>
      <c r="V37">
        <v>34</v>
      </c>
      <c r="W37" s="28" t="str">
        <f t="shared" si="0"/>
        <v>04/10/2023</v>
      </c>
      <c r="X37" s="28">
        <f t="shared" si="0"/>
        <v>61520</v>
      </c>
      <c r="Y37" s="28" t="str">
        <f t="shared" si="0"/>
        <v>A4</v>
      </c>
      <c r="Z37" s="5" t="str">
        <f t="shared" si="16"/>
        <v>A4</v>
      </c>
      <c r="AA37" s="5" t="str">
        <f t="shared" si="10"/>
        <v>A4</v>
      </c>
      <c r="AG37" s="49" t="str">
        <f t="shared" si="62"/>
        <v>04/10/2023</v>
      </c>
      <c r="AH37" s="46">
        <f t="shared" si="62"/>
        <v>61520</v>
      </c>
      <c r="AI37" s="49" t="str">
        <f t="shared" si="62"/>
        <v>A4</v>
      </c>
      <c r="AJ37" s="49" t="str">
        <f t="shared" si="17"/>
        <v>A4</v>
      </c>
      <c r="AK37" s="50">
        <f t="shared" si="18"/>
        <v>61798.5</v>
      </c>
      <c r="AL37" s="49" t="str">
        <f t="shared" si="30"/>
        <v>A4</v>
      </c>
      <c r="AM37" s="50">
        <f t="shared" si="18"/>
        <v>61798.5</v>
      </c>
      <c r="AN37" s="56">
        <f t="shared" si="31"/>
        <v>1180</v>
      </c>
      <c r="AO37" s="57">
        <f t="shared" si="32"/>
        <v>62110</v>
      </c>
      <c r="AP37" s="23">
        <f t="shared" si="19"/>
        <v>60930</v>
      </c>
      <c r="AQ37" s="23">
        <f t="shared" si="20"/>
        <v>62700</v>
      </c>
      <c r="AR37" s="23">
        <f t="shared" si="21"/>
        <v>60340</v>
      </c>
      <c r="AS37" s="23">
        <f t="shared" si="22"/>
        <v>61815</v>
      </c>
      <c r="AT37" s="23">
        <f t="shared" si="23"/>
        <v>61225</v>
      </c>
      <c r="AU37" s="23">
        <f t="shared" si="24"/>
        <v>63880</v>
      </c>
      <c r="AV37" s="23">
        <f t="shared" si="25"/>
        <v>59160</v>
      </c>
      <c r="AW37" s="23">
        <f t="shared" si="26"/>
        <v>61716.666666666664</v>
      </c>
      <c r="AX37" s="23">
        <f t="shared" si="27"/>
        <v>61323.333333333336</v>
      </c>
      <c r="AY37" s="23">
        <f t="shared" si="28"/>
        <v>65060</v>
      </c>
      <c r="AZ37" s="23">
        <f t="shared" si="29"/>
        <v>57980</v>
      </c>
      <c r="BA37" s="23">
        <f t="shared" si="51"/>
        <v>61011.75</v>
      </c>
      <c r="BB37" s="43"/>
      <c r="BC37" s="51">
        <f t="shared" si="2"/>
        <v>61520</v>
      </c>
      <c r="BD37" s="52">
        <f t="shared" si="11"/>
        <v>61011.75</v>
      </c>
      <c r="BE37" s="37">
        <f t="shared" si="33"/>
        <v>508.25</v>
      </c>
      <c r="BF37">
        <f t="shared" si="34"/>
        <v>508.25</v>
      </c>
      <c r="BG37">
        <f t="shared" si="35"/>
        <v>8.2615409622886857E-3</v>
      </c>
      <c r="BL37" s="1" t="s">
        <v>416</v>
      </c>
      <c r="BM37" s="1">
        <v>52140</v>
      </c>
      <c r="BN37" s="58" t="str">
        <f t="shared" si="36"/>
        <v>A2</v>
      </c>
      <c r="BO37" s="43" t="str">
        <f t="shared" si="52"/>
        <v>A3</v>
      </c>
      <c r="BP37" s="43">
        <f t="shared" si="37"/>
        <v>55767.5</v>
      </c>
      <c r="BQ37" s="43" t="str">
        <f t="shared" si="53"/>
        <v>A2</v>
      </c>
      <c r="BR37" s="43">
        <f t="shared" si="38"/>
        <v>49736.5</v>
      </c>
      <c r="BS37" s="59">
        <f t="shared" si="39"/>
        <v>2510</v>
      </c>
      <c r="BT37" s="43">
        <f t="shared" si="54"/>
        <v>53395</v>
      </c>
      <c r="BU37" s="61">
        <f t="shared" si="40"/>
        <v>50885</v>
      </c>
      <c r="BV37" s="43">
        <f t="shared" si="41"/>
        <v>54650</v>
      </c>
      <c r="BW37" s="43">
        <f t="shared" si="42"/>
        <v>49630</v>
      </c>
      <c r="BX37" s="43">
        <f t="shared" si="43"/>
        <v>52767.5</v>
      </c>
      <c r="BY37" s="43">
        <f t="shared" si="44"/>
        <v>51512.5</v>
      </c>
      <c r="BZ37" s="43">
        <f t="shared" si="45"/>
        <v>57160</v>
      </c>
      <c r="CA37" s="43">
        <f t="shared" si="46"/>
        <v>47120</v>
      </c>
      <c r="CB37" s="43">
        <f t="shared" si="47"/>
        <v>52558.333333333336</v>
      </c>
      <c r="CC37" s="43">
        <f t="shared" si="48"/>
        <v>51721.666666666664</v>
      </c>
      <c r="CD37" s="43">
        <f t="shared" si="49"/>
        <v>59670</v>
      </c>
      <c r="CE37" s="43">
        <f t="shared" si="50"/>
        <v>44610</v>
      </c>
      <c r="CF37" s="37">
        <f t="shared" si="61"/>
        <v>55676.25</v>
      </c>
      <c r="CH37" s="47">
        <f t="shared" si="12"/>
        <v>47690</v>
      </c>
      <c r="CI37" s="23">
        <f t="shared" si="59"/>
        <v>44105.25</v>
      </c>
      <c r="CJ37" s="37">
        <f t="shared" si="5"/>
        <v>3584.75</v>
      </c>
      <c r="CK37">
        <f t="shared" si="6"/>
        <v>3584.75</v>
      </c>
      <c r="CL37">
        <f t="shared" si="7"/>
        <v>7.5167750052421892E-2</v>
      </c>
    </row>
    <row r="38" spans="1:90">
      <c r="A38" s="1" t="s">
        <v>39</v>
      </c>
      <c r="B38" s="1">
        <v>66700</v>
      </c>
      <c r="Q38">
        <v>35</v>
      </c>
      <c r="R38" s="27" t="str">
        <f t="shared" si="8"/>
        <v>05/10/2023</v>
      </c>
      <c r="S38" s="27">
        <f t="shared" si="8"/>
        <v>64300</v>
      </c>
      <c r="T38" s="4" t="str">
        <f t="shared" si="9"/>
        <v>A4</v>
      </c>
      <c r="V38">
        <v>35</v>
      </c>
      <c r="W38" s="28" t="str">
        <f t="shared" si="0"/>
        <v>05/10/2023</v>
      </c>
      <c r="X38" s="28">
        <f t="shared" si="0"/>
        <v>64300</v>
      </c>
      <c r="Y38" s="28" t="str">
        <f t="shared" si="0"/>
        <v>A4</v>
      </c>
      <c r="Z38" s="5" t="str">
        <f t="shared" si="16"/>
        <v>A4</v>
      </c>
      <c r="AA38" s="5" t="str">
        <f t="shared" si="10"/>
        <v>A4</v>
      </c>
      <c r="AG38" s="49" t="str">
        <f t="shared" si="62"/>
        <v>05/10/2023</v>
      </c>
      <c r="AH38" s="46">
        <f t="shared" si="62"/>
        <v>64300</v>
      </c>
      <c r="AI38" s="49" t="str">
        <f t="shared" si="62"/>
        <v>A4</v>
      </c>
      <c r="AJ38" s="49" t="str">
        <f t="shared" si="17"/>
        <v>A4</v>
      </c>
      <c r="AK38" s="50">
        <f t="shared" si="18"/>
        <v>61798.5</v>
      </c>
      <c r="AL38" s="49" t="str">
        <f t="shared" si="30"/>
        <v>A4</v>
      </c>
      <c r="AM38" s="50">
        <f t="shared" si="18"/>
        <v>61798.5</v>
      </c>
      <c r="AN38" s="56">
        <f t="shared" si="31"/>
        <v>1320</v>
      </c>
      <c r="AO38" s="57">
        <f t="shared" si="32"/>
        <v>64960</v>
      </c>
      <c r="AP38" s="23">
        <f t="shared" si="19"/>
        <v>63640</v>
      </c>
      <c r="AQ38" s="23">
        <f t="shared" si="20"/>
        <v>65620</v>
      </c>
      <c r="AR38" s="23">
        <f t="shared" si="21"/>
        <v>62980</v>
      </c>
      <c r="AS38" s="23">
        <f t="shared" si="22"/>
        <v>64630</v>
      </c>
      <c r="AT38" s="23">
        <f t="shared" si="23"/>
        <v>63970</v>
      </c>
      <c r="AU38" s="23">
        <f t="shared" si="24"/>
        <v>66940</v>
      </c>
      <c r="AV38" s="23">
        <f t="shared" si="25"/>
        <v>61660</v>
      </c>
      <c r="AW38" s="23">
        <f t="shared" si="26"/>
        <v>64520</v>
      </c>
      <c r="AX38" s="23">
        <f t="shared" si="27"/>
        <v>64080</v>
      </c>
      <c r="AY38" s="23">
        <f t="shared" si="28"/>
        <v>68260</v>
      </c>
      <c r="AZ38" s="23">
        <f t="shared" si="29"/>
        <v>60340</v>
      </c>
      <c r="BA38" s="23">
        <f t="shared" si="51"/>
        <v>61954.25</v>
      </c>
      <c r="BB38" s="43"/>
      <c r="BC38" s="51">
        <f t="shared" si="2"/>
        <v>64300</v>
      </c>
      <c r="BD38" s="52">
        <f t="shared" si="11"/>
        <v>61954.25</v>
      </c>
      <c r="BE38" s="37">
        <f t="shared" si="33"/>
        <v>2345.75</v>
      </c>
      <c r="BF38">
        <f t="shared" si="34"/>
        <v>2345.75</v>
      </c>
      <c r="BG38">
        <f t="shared" si="35"/>
        <v>3.6481337480559872E-2</v>
      </c>
      <c r="BL38" s="1" t="s">
        <v>417</v>
      </c>
      <c r="BM38" s="1">
        <v>48990</v>
      </c>
      <c r="BN38" s="58" t="str">
        <f t="shared" si="36"/>
        <v>A2</v>
      </c>
      <c r="BO38" s="43" t="str">
        <f t="shared" si="52"/>
        <v>A2</v>
      </c>
      <c r="BP38" s="43">
        <f t="shared" si="37"/>
        <v>49736.5</v>
      </c>
      <c r="BQ38" s="43" t="str">
        <f t="shared" si="53"/>
        <v>A2</v>
      </c>
      <c r="BR38" s="43">
        <f t="shared" si="38"/>
        <v>49736.5</v>
      </c>
      <c r="BS38" s="59">
        <f t="shared" si="39"/>
        <v>610</v>
      </c>
      <c r="BT38" s="60">
        <f t="shared" si="54"/>
        <v>49295</v>
      </c>
      <c r="BU38" s="43">
        <f t="shared" si="40"/>
        <v>48685</v>
      </c>
      <c r="BV38" s="43">
        <f t="shared" si="41"/>
        <v>49600</v>
      </c>
      <c r="BW38" s="43">
        <f t="shared" si="42"/>
        <v>48380</v>
      </c>
      <c r="BX38" s="43">
        <f t="shared" si="43"/>
        <v>49142.5</v>
      </c>
      <c r="BY38" s="43">
        <f t="shared" si="44"/>
        <v>48837.5</v>
      </c>
      <c r="BZ38" s="43">
        <f t="shared" si="45"/>
        <v>50210</v>
      </c>
      <c r="CA38" s="43">
        <f t="shared" si="46"/>
        <v>47770</v>
      </c>
      <c r="CB38" s="43">
        <f t="shared" si="47"/>
        <v>49091.666666666664</v>
      </c>
      <c r="CC38" s="43">
        <f t="shared" si="48"/>
        <v>48888.333333333336</v>
      </c>
      <c r="CD38" s="43">
        <f t="shared" si="49"/>
        <v>50820</v>
      </c>
      <c r="CE38" s="43">
        <f t="shared" si="50"/>
        <v>47160</v>
      </c>
      <c r="CF38" s="37">
        <f>(BR37+BU37)/(1+1)</f>
        <v>50310.75</v>
      </c>
      <c r="CH38" s="47">
        <f t="shared" si="12"/>
        <v>45470</v>
      </c>
      <c r="CI38" s="23">
        <f t="shared" si="59"/>
        <v>49038.25</v>
      </c>
      <c r="CJ38" s="37">
        <f t="shared" si="5"/>
        <v>-3568.25</v>
      </c>
      <c r="CK38">
        <f t="shared" si="6"/>
        <v>3568.25</v>
      </c>
      <c r="CL38">
        <f t="shared" si="7"/>
        <v>7.847481856168903E-2</v>
      </c>
    </row>
    <row r="39" spans="1:90">
      <c r="A39" s="1" t="s">
        <v>40</v>
      </c>
      <c r="B39" s="1">
        <v>65730</v>
      </c>
      <c r="Q39">
        <v>36</v>
      </c>
      <c r="R39" s="27" t="str">
        <f t="shared" si="8"/>
        <v>06/10/2023</v>
      </c>
      <c r="S39" s="27">
        <f t="shared" si="8"/>
        <v>66000</v>
      </c>
      <c r="T39" s="4" t="str">
        <f t="shared" si="9"/>
        <v>A5</v>
      </c>
      <c r="V39">
        <v>36</v>
      </c>
      <c r="W39" s="28" t="str">
        <f t="shared" si="0"/>
        <v>06/10/2023</v>
      </c>
      <c r="X39" s="28">
        <f t="shared" si="0"/>
        <v>66000</v>
      </c>
      <c r="Y39" s="28" t="str">
        <f t="shared" si="0"/>
        <v>A5</v>
      </c>
      <c r="Z39" s="5" t="str">
        <f t="shared" si="16"/>
        <v>A4</v>
      </c>
      <c r="AA39" s="5" t="str">
        <f t="shared" si="10"/>
        <v>A5</v>
      </c>
      <c r="AG39" s="49" t="str">
        <f t="shared" si="62"/>
        <v>06/10/2023</v>
      </c>
      <c r="AH39" s="46">
        <f t="shared" si="62"/>
        <v>66000</v>
      </c>
      <c r="AI39" s="49" t="str">
        <f t="shared" si="62"/>
        <v>A5</v>
      </c>
      <c r="AJ39" s="49" t="str">
        <f t="shared" si="17"/>
        <v>A4</v>
      </c>
      <c r="AK39" s="50">
        <f t="shared" si="18"/>
        <v>61798.5</v>
      </c>
      <c r="AL39" s="49" t="str">
        <f t="shared" si="30"/>
        <v>A5</v>
      </c>
      <c r="AM39" s="50">
        <f t="shared" si="18"/>
        <v>67829.5</v>
      </c>
      <c r="AN39" s="56">
        <f t="shared" si="31"/>
        <v>1080</v>
      </c>
      <c r="AO39" s="57">
        <f t="shared" si="32"/>
        <v>66540</v>
      </c>
      <c r="AP39" s="23">
        <f t="shared" si="19"/>
        <v>65460</v>
      </c>
      <c r="AQ39" s="23">
        <f t="shared" si="20"/>
        <v>67080</v>
      </c>
      <c r="AR39" s="23">
        <f t="shared" si="21"/>
        <v>64920</v>
      </c>
      <c r="AS39" s="23">
        <f t="shared" si="22"/>
        <v>66270</v>
      </c>
      <c r="AT39" s="23">
        <f t="shared" si="23"/>
        <v>65730</v>
      </c>
      <c r="AU39" s="23">
        <f t="shared" si="24"/>
        <v>68160</v>
      </c>
      <c r="AV39" s="23">
        <f t="shared" si="25"/>
        <v>63840</v>
      </c>
      <c r="AW39" s="23">
        <f t="shared" si="26"/>
        <v>66180</v>
      </c>
      <c r="AX39" s="23">
        <f t="shared" si="27"/>
        <v>65820</v>
      </c>
      <c r="AY39" s="23">
        <f t="shared" si="28"/>
        <v>69240</v>
      </c>
      <c r="AZ39" s="23">
        <f t="shared" si="29"/>
        <v>62760</v>
      </c>
      <c r="BA39" s="23">
        <f t="shared" si="51"/>
        <v>63379.25</v>
      </c>
      <c r="BB39" s="43"/>
      <c r="BC39" s="51">
        <f t="shared" si="2"/>
        <v>66000</v>
      </c>
      <c r="BD39" s="52">
        <f t="shared" si="11"/>
        <v>63379.25</v>
      </c>
      <c r="BE39" s="37">
        <f t="shared" si="33"/>
        <v>2620.75</v>
      </c>
      <c r="BF39">
        <f t="shared" si="34"/>
        <v>2620.75</v>
      </c>
      <c r="BG39">
        <f t="shared" si="35"/>
        <v>3.9708333333333332E-2</v>
      </c>
      <c r="BL39" s="1" t="s">
        <v>418</v>
      </c>
      <c r="BM39" s="1">
        <v>43170</v>
      </c>
      <c r="BN39" s="58" t="str">
        <f t="shared" si="36"/>
        <v>A1</v>
      </c>
      <c r="BO39" s="43" t="str">
        <f t="shared" si="52"/>
        <v>A2</v>
      </c>
      <c r="BP39" s="43">
        <f t="shared" si="37"/>
        <v>49736.5</v>
      </c>
      <c r="BQ39" s="43" t="str">
        <f t="shared" si="53"/>
        <v>A1</v>
      </c>
      <c r="BR39" s="43">
        <f t="shared" si="38"/>
        <v>43705.5</v>
      </c>
      <c r="BS39" s="59">
        <f t="shared" si="39"/>
        <v>2670</v>
      </c>
      <c r="BT39" s="60">
        <f t="shared" si="54"/>
        <v>44505</v>
      </c>
      <c r="BU39" s="43">
        <f t="shared" si="40"/>
        <v>41835</v>
      </c>
      <c r="BV39" s="43">
        <f t="shared" si="41"/>
        <v>45840</v>
      </c>
      <c r="BW39" s="43">
        <f t="shared" si="42"/>
        <v>40500</v>
      </c>
      <c r="BX39" s="43">
        <f t="shared" si="43"/>
        <v>43837.5</v>
      </c>
      <c r="BY39" s="43">
        <f t="shared" si="44"/>
        <v>42502.5</v>
      </c>
      <c r="BZ39" s="43">
        <f t="shared" si="45"/>
        <v>48510</v>
      </c>
      <c r="CA39" s="43">
        <f t="shared" si="46"/>
        <v>37830</v>
      </c>
      <c r="CB39" s="43">
        <f t="shared" si="47"/>
        <v>43615</v>
      </c>
      <c r="CC39" s="43">
        <f t="shared" si="48"/>
        <v>42725</v>
      </c>
      <c r="CD39" s="43">
        <f t="shared" si="49"/>
        <v>51180</v>
      </c>
      <c r="CE39" s="43">
        <f t="shared" si="50"/>
        <v>35160</v>
      </c>
      <c r="CF39" s="37">
        <f t="shared" si="61"/>
        <v>49515.75</v>
      </c>
      <c r="CH39" s="47">
        <f t="shared" si="12"/>
        <v>44600</v>
      </c>
      <c r="CI39" s="23">
        <f t="shared" si="59"/>
        <v>45162.75</v>
      </c>
      <c r="CJ39" s="37">
        <f t="shared" si="5"/>
        <v>-562.75</v>
      </c>
      <c r="CK39">
        <f t="shared" si="6"/>
        <v>562.75</v>
      </c>
      <c r="CL39">
        <f t="shared" si="7"/>
        <v>1.2617713004484304E-2</v>
      </c>
    </row>
    <row r="40" spans="1:90">
      <c r="A40" s="1" t="s">
        <v>41</v>
      </c>
      <c r="B40" s="1">
        <v>68730</v>
      </c>
      <c r="Q40">
        <v>37</v>
      </c>
      <c r="R40" s="27" t="str">
        <f t="shared" si="8"/>
        <v>07/10/2023</v>
      </c>
      <c r="S40" s="27">
        <f t="shared" si="8"/>
        <v>66700</v>
      </c>
      <c r="T40" s="4" t="str">
        <f t="shared" si="9"/>
        <v>A5</v>
      </c>
      <c r="V40">
        <v>37</v>
      </c>
      <c r="W40" s="28" t="str">
        <f t="shared" si="0"/>
        <v>07/10/2023</v>
      </c>
      <c r="X40" s="28">
        <f t="shared" si="0"/>
        <v>66700</v>
      </c>
      <c r="Y40" s="28" t="str">
        <f t="shared" si="0"/>
        <v>A5</v>
      </c>
      <c r="Z40" s="5" t="str">
        <f t="shared" si="16"/>
        <v>A5</v>
      </c>
      <c r="AA40" s="5" t="str">
        <f t="shared" si="10"/>
        <v>A5</v>
      </c>
      <c r="AG40" s="49" t="str">
        <f t="shared" si="62"/>
        <v>07/10/2023</v>
      </c>
      <c r="AH40" s="46">
        <f t="shared" si="62"/>
        <v>66700</v>
      </c>
      <c r="AI40" s="49" t="str">
        <f t="shared" si="62"/>
        <v>A5</v>
      </c>
      <c r="AJ40" s="49" t="str">
        <f t="shared" si="17"/>
        <v>A5</v>
      </c>
      <c r="AK40" s="50">
        <f t="shared" si="18"/>
        <v>67829.5</v>
      </c>
      <c r="AL40" s="49" t="str">
        <f t="shared" si="30"/>
        <v>A5</v>
      </c>
      <c r="AM40" s="50">
        <f t="shared" si="18"/>
        <v>67829.5</v>
      </c>
      <c r="AN40" s="56">
        <f t="shared" si="31"/>
        <v>1000</v>
      </c>
      <c r="AO40" s="57">
        <f t="shared" si="32"/>
        <v>67200</v>
      </c>
      <c r="AP40" s="23">
        <f t="shared" si="19"/>
        <v>66200</v>
      </c>
      <c r="AQ40" s="23">
        <f t="shared" si="20"/>
        <v>67700</v>
      </c>
      <c r="AR40" s="23">
        <f t="shared" si="21"/>
        <v>65700</v>
      </c>
      <c r="AS40" s="23">
        <f t="shared" si="22"/>
        <v>66950</v>
      </c>
      <c r="AT40" s="23">
        <f t="shared" si="23"/>
        <v>66450</v>
      </c>
      <c r="AU40" s="23">
        <f t="shared" si="24"/>
        <v>68700</v>
      </c>
      <c r="AV40" s="23">
        <f t="shared" si="25"/>
        <v>64700</v>
      </c>
      <c r="AW40" s="23">
        <f t="shared" si="26"/>
        <v>66866.666666666672</v>
      </c>
      <c r="AX40" s="23">
        <f t="shared" si="27"/>
        <v>66533.333333333328</v>
      </c>
      <c r="AY40" s="23">
        <f t="shared" si="28"/>
        <v>69700</v>
      </c>
      <c r="AZ40" s="23">
        <f t="shared" si="29"/>
        <v>63700</v>
      </c>
      <c r="BA40" s="23">
        <f t="shared" si="51"/>
        <v>67184.75</v>
      </c>
      <c r="BB40" s="59"/>
      <c r="BC40" s="51">
        <f t="shared" si="2"/>
        <v>66700</v>
      </c>
      <c r="BD40" s="52">
        <f t="shared" si="11"/>
        <v>67184.75</v>
      </c>
      <c r="BE40" s="37">
        <f t="shared" si="33"/>
        <v>-484.75</v>
      </c>
      <c r="BF40">
        <f t="shared" si="34"/>
        <v>484.75</v>
      </c>
      <c r="BG40">
        <f t="shared" si="35"/>
        <v>7.2676161919040484E-3</v>
      </c>
      <c r="BL40" s="1" t="s">
        <v>419</v>
      </c>
      <c r="BM40" s="1">
        <v>47690</v>
      </c>
      <c r="BN40" s="58" t="str">
        <f t="shared" si="36"/>
        <v>A2</v>
      </c>
      <c r="BO40" s="43" t="str">
        <f t="shared" si="52"/>
        <v>A1</v>
      </c>
      <c r="BP40" s="43">
        <f t="shared" si="37"/>
        <v>43705.5</v>
      </c>
      <c r="BQ40" s="43" t="str">
        <f t="shared" si="53"/>
        <v>A2</v>
      </c>
      <c r="BR40" s="43">
        <f t="shared" si="38"/>
        <v>49736.5</v>
      </c>
      <c r="BS40" s="59">
        <f t="shared" si="39"/>
        <v>1300</v>
      </c>
      <c r="BT40" s="60">
        <f t="shared" si="54"/>
        <v>48340</v>
      </c>
      <c r="BU40" s="43">
        <f t="shared" si="40"/>
        <v>47040</v>
      </c>
      <c r="BV40" s="43">
        <f t="shared" si="41"/>
        <v>48990</v>
      </c>
      <c r="BW40" s="43">
        <f t="shared" si="42"/>
        <v>46390</v>
      </c>
      <c r="BX40" s="43">
        <f t="shared" si="43"/>
        <v>48015</v>
      </c>
      <c r="BY40" s="43">
        <f t="shared" si="44"/>
        <v>47365</v>
      </c>
      <c r="BZ40" s="43">
        <f t="shared" si="45"/>
        <v>50290</v>
      </c>
      <c r="CA40" s="43">
        <f t="shared" si="46"/>
        <v>45090</v>
      </c>
      <c r="CB40" s="43">
        <f t="shared" si="47"/>
        <v>47906.666666666664</v>
      </c>
      <c r="CC40" s="43">
        <f t="shared" si="48"/>
        <v>47473.333333333336</v>
      </c>
      <c r="CD40" s="43">
        <f t="shared" si="49"/>
        <v>51590</v>
      </c>
      <c r="CE40" s="43">
        <f t="shared" si="50"/>
        <v>43790</v>
      </c>
      <c r="CF40" s="37">
        <f t="shared" si="61"/>
        <v>44105.25</v>
      </c>
      <c r="CH40" s="47">
        <f t="shared" si="12"/>
        <v>42080</v>
      </c>
      <c r="CI40" s="23">
        <f t="shared" si="59"/>
        <v>44490.25</v>
      </c>
      <c r="CJ40" s="37">
        <f t="shared" si="5"/>
        <v>-2410.25</v>
      </c>
      <c r="CK40">
        <f t="shared" si="6"/>
        <v>2410.25</v>
      </c>
      <c r="CL40">
        <f t="shared" si="7"/>
        <v>5.7277804182509509E-2</v>
      </c>
    </row>
    <row r="41" spans="1:90">
      <c r="A41" s="1" t="s">
        <v>42</v>
      </c>
      <c r="B41" s="1">
        <v>68790</v>
      </c>
      <c r="Q41">
        <v>38</v>
      </c>
      <c r="R41" s="27" t="str">
        <f t="shared" si="8"/>
        <v>08/10/2023</v>
      </c>
      <c r="S41" s="27">
        <f t="shared" si="8"/>
        <v>65730</v>
      </c>
      <c r="T41" s="4" t="str">
        <f t="shared" si="9"/>
        <v>A5</v>
      </c>
      <c r="V41">
        <v>38</v>
      </c>
      <c r="W41" s="28" t="str">
        <f t="shared" si="0"/>
        <v>08/10/2023</v>
      </c>
      <c r="X41" s="28">
        <f t="shared" si="0"/>
        <v>65730</v>
      </c>
      <c r="Y41" s="28" t="str">
        <f t="shared" si="0"/>
        <v>A5</v>
      </c>
      <c r="Z41" s="5" t="str">
        <f t="shared" si="16"/>
        <v>A5</v>
      </c>
      <c r="AA41" s="5" t="str">
        <f t="shared" si="10"/>
        <v>A5</v>
      </c>
      <c r="AG41" s="49" t="str">
        <f t="shared" si="62"/>
        <v>08/10/2023</v>
      </c>
      <c r="AH41" s="46">
        <f t="shared" si="62"/>
        <v>65730</v>
      </c>
      <c r="AI41" s="49" t="str">
        <f t="shared" si="62"/>
        <v>A5</v>
      </c>
      <c r="AJ41" s="49" t="str">
        <f t="shared" si="17"/>
        <v>A5</v>
      </c>
      <c r="AK41" s="50">
        <f t="shared" si="18"/>
        <v>67829.5</v>
      </c>
      <c r="AL41" s="49" t="str">
        <f t="shared" si="30"/>
        <v>A5</v>
      </c>
      <c r="AM41" s="50">
        <f t="shared" si="18"/>
        <v>67829.5</v>
      </c>
      <c r="AN41" s="56">
        <f t="shared" si="31"/>
        <v>270</v>
      </c>
      <c r="AO41" s="57">
        <f t="shared" si="32"/>
        <v>65865</v>
      </c>
      <c r="AP41" s="23">
        <f t="shared" si="19"/>
        <v>65595</v>
      </c>
      <c r="AQ41" s="23">
        <f t="shared" si="20"/>
        <v>66000</v>
      </c>
      <c r="AR41" s="23">
        <f t="shared" si="21"/>
        <v>65460</v>
      </c>
      <c r="AS41" s="23">
        <f t="shared" si="22"/>
        <v>65797.5</v>
      </c>
      <c r="AT41" s="23">
        <f t="shared" si="23"/>
        <v>65662.5</v>
      </c>
      <c r="AU41" s="23">
        <f t="shared" si="24"/>
        <v>66270</v>
      </c>
      <c r="AV41" s="23">
        <f t="shared" si="25"/>
        <v>65190</v>
      </c>
      <c r="AW41" s="23">
        <f t="shared" si="26"/>
        <v>65775</v>
      </c>
      <c r="AX41" s="23">
        <f t="shared" si="27"/>
        <v>65685</v>
      </c>
      <c r="AY41" s="23">
        <f t="shared" si="28"/>
        <v>66540</v>
      </c>
      <c r="AZ41" s="23">
        <f t="shared" si="29"/>
        <v>64920</v>
      </c>
      <c r="BA41" s="23">
        <f t="shared" si="51"/>
        <v>67514.75</v>
      </c>
      <c r="BB41" s="43"/>
      <c r="BC41" s="51">
        <f t="shared" si="2"/>
        <v>65730</v>
      </c>
      <c r="BD41" s="52">
        <f t="shared" si="11"/>
        <v>67514.75</v>
      </c>
      <c r="BE41" s="37">
        <f t="shared" si="33"/>
        <v>-1784.75</v>
      </c>
      <c r="BF41">
        <f t="shared" si="34"/>
        <v>1784.75</v>
      </c>
      <c r="BG41">
        <f t="shared" si="35"/>
        <v>2.7152746082458542E-2</v>
      </c>
      <c r="BL41" s="1" t="s">
        <v>420</v>
      </c>
      <c r="BM41" s="1">
        <v>45470</v>
      </c>
      <c r="BN41" s="58" t="str">
        <f t="shared" si="36"/>
        <v>A1</v>
      </c>
      <c r="BO41" s="43" t="str">
        <f t="shared" si="52"/>
        <v>A2</v>
      </c>
      <c r="BP41" s="43">
        <f t="shared" si="37"/>
        <v>49736.5</v>
      </c>
      <c r="BQ41" s="43" t="str">
        <f t="shared" si="53"/>
        <v>A1</v>
      </c>
      <c r="BR41" s="43">
        <f t="shared" si="38"/>
        <v>43705.5</v>
      </c>
      <c r="BS41" s="59">
        <f t="shared" si="39"/>
        <v>2300</v>
      </c>
      <c r="BT41" s="60">
        <f t="shared" si="54"/>
        <v>46620</v>
      </c>
      <c r="BU41" s="43">
        <f t="shared" si="40"/>
        <v>44320</v>
      </c>
      <c r="BV41" s="43">
        <f t="shared" si="41"/>
        <v>47770</v>
      </c>
      <c r="BW41" s="43">
        <f t="shared" si="42"/>
        <v>43170</v>
      </c>
      <c r="BX41" s="43">
        <f t="shared" si="43"/>
        <v>46045</v>
      </c>
      <c r="BY41" s="43">
        <f t="shared" si="44"/>
        <v>44895</v>
      </c>
      <c r="BZ41" s="43">
        <f t="shared" si="45"/>
        <v>50070</v>
      </c>
      <c r="CA41" s="43">
        <f t="shared" si="46"/>
        <v>40870</v>
      </c>
      <c r="CB41" s="43">
        <f t="shared" si="47"/>
        <v>45853.333333333336</v>
      </c>
      <c r="CC41" s="43">
        <f t="shared" si="48"/>
        <v>45086.666666666664</v>
      </c>
      <c r="CD41" s="43">
        <f t="shared" si="49"/>
        <v>52370</v>
      </c>
      <c r="CE41" s="43">
        <f t="shared" si="50"/>
        <v>38570</v>
      </c>
      <c r="CF41" s="37">
        <f t="shared" si="61"/>
        <v>49038.25</v>
      </c>
      <c r="CH41" s="47">
        <f t="shared" si="12"/>
        <v>43790</v>
      </c>
      <c r="CI41" s="23">
        <f t="shared" si="59"/>
        <v>43305.25</v>
      </c>
      <c r="CJ41" s="37">
        <f t="shared" si="5"/>
        <v>484.75</v>
      </c>
      <c r="CK41">
        <f t="shared" si="6"/>
        <v>484.75</v>
      </c>
      <c r="CL41">
        <f t="shared" si="7"/>
        <v>1.1069878967800867E-2</v>
      </c>
    </row>
    <row r="42" spans="1:90">
      <c r="A42" s="1" t="s">
        <v>43</v>
      </c>
      <c r="B42" s="1">
        <v>69830</v>
      </c>
      <c r="Q42">
        <v>39</v>
      </c>
      <c r="R42" s="27" t="str">
        <f t="shared" si="8"/>
        <v>09/10/2023</v>
      </c>
      <c r="S42" s="27">
        <f t="shared" si="8"/>
        <v>68730</v>
      </c>
      <c r="T42" s="4" t="str">
        <f t="shared" si="9"/>
        <v>A5</v>
      </c>
      <c r="V42">
        <v>39</v>
      </c>
      <c r="W42" s="28" t="str">
        <f t="shared" si="0"/>
        <v>09/10/2023</v>
      </c>
      <c r="X42" s="28">
        <f t="shared" si="0"/>
        <v>68730</v>
      </c>
      <c r="Y42" s="28" t="str">
        <f t="shared" si="0"/>
        <v>A5</v>
      </c>
      <c r="Z42" s="5" t="str">
        <f t="shared" si="16"/>
        <v>A5</v>
      </c>
      <c r="AA42" s="5" t="str">
        <f t="shared" si="10"/>
        <v>A5</v>
      </c>
      <c r="AG42" s="49" t="str">
        <f t="shared" si="62"/>
        <v>09/10/2023</v>
      </c>
      <c r="AH42" s="46">
        <f t="shared" si="62"/>
        <v>68730</v>
      </c>
      <c r="AI42" s="49" t="str">
        <f t="shared" si="62"/>
        <v>A5</v>
      </c>
      <c r="AJ42" s="49" t="str">
        <f t="shared" si="17"/>
        <v>A5</v>
      </c>
      <c r="AK42" s="50">
        <f t="shared" si="18"/>
        <v>67829.5</v>
      </c>
      <c r="AL42" s="49" t="str">
        <f t="shared" si="30"/>
        <v>A5</v>
      </c>
      <c r="AM42" s="50">
        <f t="shared" si="18"/>
        <v>67829.5</v>
      </c>
      <c r="AN42" s="56">
        <f t="shared" si="31"/>
        <v>2030</v>
      </c>
      <c r="AO42" s="57">
        <f t="shared" si="32"/>
        <v>69745</v>
      </c>
      <c r="AP42" s="23">
        <f t="shared" si="19"/>
        <v>67715</v>
      </c>
      <c r="AQ42" s="23">
        <f t="shared" si="20"/>
        <v>70760</v>
      </c>
      <c r="AR42" s="23">
        <f t="shared" si="21"/>
        <v>66700</v>
      </c>
      <c r="AS42" s="23">
        <f t="shared" si="22"/>
        <v>69237.5</v>
      </c>
      <c r="AT42" s="23">
        <f t="shared" si="23"/>
        <v>68222.5</v>
      </c>
      <c r="AU42" s="23">
        <f t="shared" si="24"/>
        <v>72790</v>
      </c>
      <c r="AV42" s="23">
        <f t="shared" si="25"/>
        <v>64670</v>
      </c>
      <c r="AW42" s="23">
        <f t="shared" si="26"/>
        <v>69068.333333333328</v>
      </c>
      <c r="AX42" s="23">
        <f t="shared" si="27"/>
        <v>68391.666666666672</v>
      </c>
      <c r="AY42" s="23">
        <f t="shared" si="28"/>
        <v>74820</v>
      </c>
      <c r="AZ42" s="23">
        <f t="shared" si="29"/>
        <v>62640</v>
      </c>
      <c r="BA42" s="23">
        <f t="shared" si="51"/>
        <v>66847.25</v>
      </c>
      <c r="BB42" s="43"/>
      <c r="BC42" s="51">
        <f t="shared" si="2"/>
        <v>68730</v>
      </c>
      <c r="BD42" s="52">
        <f t="shared" si="11"/>
        <v>66847.25</v>
      </c>
      <c r="BE42" s="37">
        <f t="shared" si="33"/>
        <v>1882.75</v>
      </c>
      <c r="BF42">
        <f t="shared" si="34"/>
        <v>1882.75</v>
      </c>
      <c r="BG42">
        <f t="shared" si="35"/>
        <v>2.739342354139386E-2</v>
      </c>
      <c r="BL42" s="1" t="s">
        <v>421</v>
      </c>
      <c r="BM42" s="1">
        <v>44600</v>
      </c>
      <c r="BN42" s="58" t="str">
        <f t="shared" si="36"/>
        <v>A1</v>
      </c>
      <c r="BO42" s="43" t="str">
        <f t="shared" si="52"/>
        <v>A1</v>
      </c>
      <c r="BP42" s="43">
        <f t="shared" si="37"/>
        <v>43705.5</v>
      </c>
      <c r="BQ42" s="43" t="str">
        <f t="shared" si="53"/>
        <v>A1</v>
      </c>
      <c r="BR42" s="43">
        <f t="shared" si="38"/>
        <v>43705.5</v>
      </c>
      <c r="BS42" s="59">
        <f t="shared" si="39"/>
        <v>1350</v>
      </c>
      <c r="BT42" s="60">
        <f t="shared" si="54"/>
        <v>45275</v>
      </c>
      <c r="BU42" s="43">
        <f t="shared" si="40"/>
        <v>43925</v>
      </c>
      <c r="BV42" s="43">
        <f t="shared" si="41"/>
        <v>45950</v>
      </c>
      <c r="BW42" s="43">
        <f t="shared" si="42"/>
        <v>43250</v>
      </c>
      <c r="BX42" s="43">
        <f t="shared" si="43"/>
        <v>44937.5</v>
      </c>
      <c r="BY42" s="43">
        <f t="shared" si="44"/>
        <v>44262.5</v>
      </c>
      <c r="BZ42" s="43">
        <f t="shared" si="45"/>
        <v>47300</v>
      </c>
      <c r="CA42" s="43">
        <f t="shared" si="46"/>
        <v>41900</v>
      </c>
      <c r="CB42" s="43">
        <f t="shared" si="47"/>
        <v>44825</v>
      </c>
      <c r="CC42" s="43">
        <f t="shared" si="48"/>
        <v>44375</v>
      </c>
      <c r="CD42" s="43">
        <f t="shared" si="49"/>
        <v>48650</v>
      </c>
      <c r="CE42" s="43">
        <f t="shared" si="50"/>
        <v>40550</v>
      </c>
      <c r="CF42" s="37">
        <f t="shared" si="61"/>
        <v>45162.75</v>
      </c>
      <c r="CH42" s="47">
        <f t="shared" si="12"/>
        <v>41720</v>
      </c>
      <c r="CI42" s="23">
        <f t="shared" si="59"/>
        <v>43950.25</v>
      </c>
      <c r="CJ42" s="37">
        <f t="shared" si="5"/>
        <v>-2230.25</v>
      </c>
      <c r="CK42">
        <f t="shared" si="6"/>
        <v>2230.25</v>
      </c>
      <c r="CL42">
        <f t="shared" si="7"/>
        <v>5.3457574304889739E-2</v>
      </c>
    </row>
    <row r="43" spans="1:90">
      <c r="A43" s="1" t="s">
        <v>44</v>
      </c>
      <c r="B43" s="1">
        <v>71750</v>
      </c>
      <c r="Q43">
        <v>40</v>
      </c>
      <c r="R43" s="27" t="str">
        <f t="shared" si="8"/>
        <v>10/10/2023</v>
      </c>
      <c r="S43" s="27">
        <f t="shared" si="8"/>
        <v>68790</v>
      </c>
      <c r="T43" s="4" t="str">
        <f t="shared" si="9"/>
        <v>A5</v>
      </c>
      <c r="V43">
        <v>40</v>
      </c>
      <c r="W43" s="28" t="str">
        <f t="shared" si="0"/>
        <v>10/10/2023</v>
      </c>
      <c r="X43" s="28">
        <f t="shared" si="0"/>
        <v>68790</v>
      </c>
      <c r="Y43" s="28" t="str">
        <f t="shared" si="0"/>
        <v>A5</v>
      </c>
      <c r="Z43" s="5" t="str">
        <f t="shared" si="16"/>
        <v>A5</v>
      </c>
      <c r="AA43" s="5" t="str">
        <f t="shared" si="10"/>
        <v>A5</v>
      </c>
      <c r="AG43" s="49" t="str">
        <f t="shared" si="62"/>
        <v>10/10/2023</v>
      </c>
      <c r="AH43" s="46">
        <f t="shared" si="62"/>
        <v>68790</v>
      </c>
      <c r="AI43" s="49" t="str">
        <f t="shared" si="62"/>
        <v>A5</v>
      </c>
      <c r="AJ43" s="49" t="str">
        <f t="shared" si="17"/>
        <v>A5</v>
      </c>
      <c r="AK43" s="50">
        <f t="shared" si="18"/>
        <v>67829.5</v>
      </c>
      <c r="AL43" s="49" t="str">
        <f t="shared" si="30"/>
        <v>A5</v>
      </c>
      <c r="AM43" s="50">
        <f t="shared" si="18"/>
        <v>67829.5</v>
      </c>
      <c r="AN43" s="56">
        <f t="shared" si="31"/>
        <v>2940</v>
      </c>
      <c r="AO43" s="57">
        <f t="shared" si="32"/>
        <v>70260</v>
      </c>
      <c r="AP43" s="23">
        <f t="shared" si="19"/>
        <v>67320</v>
      </c>
      <c r="AQ43" s="23">
        <f t="shared" si="20"/>
        <v>71730</v>
      </c>
      <c r="AR43" s="23">
        <f t="shared" si="21"/>
        <v>65850</v>
      </c>
      <c r="AS43" s="23">
        <f t="shared" si="22"/>
        <v>69525</v>
      </c>
      <c r="AT43" s="23">
        <f t="shared" si="23"/>
        <v>68055</v>
      </c>
      <c r="AU43" s="23">
        <f t="shared" si="24"/>
        <v>74670</v>
      </c>
      <c r="AV43" s="23">
        <f t="shared" si="25"/>
        <v>62910</v>
      </c>
      <c r="AW43" s="23">
        <f t="shared" si="26"/>
        <v>69280</v>
      </c>
      <c r="AX43" s="23">
        <f t="shared" si="27"/>
        <v>68300</v>
      </c>
      <c r="AY43" s="23">
        <f t="shared" si="28"/>
        <v>77610</v>
      </c>
      <c r="AZ43" s="23">
        <f t="shared" si="29"/>
        <v>59970</v>
      </c>
      <c r="BA43" s="23">
        <f t="shared" si="51"/>
        <v>68787.25</v>
      </c>
      <c r="BB43" s="43"/>
      <c r="BC43" s="51">
        <f t="shared" si="2"/>
        <v>68790</v>
      </c>
      <c r="BD43" s="52">
        <f t="shared" si="11"/>
        <v>68787.25</v>
      </c>
      <c r="BE43" s="37">
        <f t="shared" si="33"/>
        <v>2.75</v>
      </c>
      <c r="BF43">
        <f t="shared" si="34"/>
        <v>2.75</v>
      </c>
      <c r="BG43">
        <f t="shared" si="35"/>
        <v>3.9976740805349618E-5</v>
      </c>
      <c r="BL43" s="1" t="s">
        <v>422</v>
      </c>
      <c r="BM43" s="1">
        <v>42080</v>
      </c>
      <c r="BN43" s="58" t="str">
        <f t="shared" si="36"/>
        <v>A1</v>
      </c>
      <c r="BO43" s="43" t="str">
        <f t="shared" si="52"/>
        <v>A1</v>
      </c>
      <c r="BP43" s="43">
        <f t="shared" si="37"/>
        <v>43705.5</v>
      </c>
      <c r="BQ43" s="43" t="str">
        <f t="shared" si="53"/>
        <v>A1</v>
      </c>
      <c r="BR43" s="43">
        <f t="shared" si="38"/>
        <v>43705.5</v>
      </c>
      <c r="BS43" s="59">
        <f t="shared" si="39"/>
        <v>1650</v>
      </c>
      <c r="BT43" s="60">
        <f t="shared" si="54"/>
        <v>42905</v>
      </c>
      <c r="BU43" s="43">
        <f t="shared" si="40"/>
        <v>41255</v>
      </c>
      <c r="BV43" s="43">
        <f t="shared" si="41"/>
        <v>43730</v>
      </c>
      <c r="BW43" s="43">
        <f t="shared" si="42"/>
        <v>40430</v>
      </c>
      <c r="BX43" s="43">
        <f t="shared" si="43"/>
        <v>42492.5</v>
      </c>
      <c r="BY43" s="43">
        <f t="shared" si="44"/>
        <v>41667.5</v>
      </c>
      <c r="BZ43" s="43">
        <f t="shared" si="45"/>
        <v>45380</v>
      </c>
      <c r="CA43" s="43">
        <f t="shared" si="46"/>
        <v>38780</v>
      </c>
      <c r="CB43" s="43">
        <f t="shared" si="47"/>
        <v>42355</v>
      </c>
      <c r="CC43" s="43">
        <f t="shared" si="48"/>
        <v>41805</v>
      </c>
      <c r="CD43" s="43">
        <f t="shared" si="49"/>
        <v>47030</v>
      </c>
      <c r="CE43" s="43">
        <f t="shared" si="50"/>
        <v>37130</v>
      </c>
      <c r="CF43" s="37">
        <f t="shared" si="61"/>
        <v>44490.25</v>
      </c>
      <c r="CH43" s="47">
        <f t="shared" si="12"/>
        <v>42860</v>
      </c>
      <c r="CI43" s="23">
        <f t="shared" si="59"/>
        <v>42802.75</v>
      </c>
      <c r="CJ43" s="37">
        <f t="shared" si="5"/>
        <v>57.25</v>
      </c>
      <c r="CK43">
        <f t="shared" si="6"/>
        <v>57.25</v>
      </c>
      <c r="CL43">
        <f t="shared" si="7"/>
        <v>1.335744283714419E-3</v>
      </c>
    </row>
    <row r="44" spans="1:90">
      <c r="A44" s="1" t="s">
        <v>45</v>
      </c>
      <c r="B44" s="1">
        <v>69370</v>
      </c>
      <c r="Q44">
        <v>41</v>
      </c>
      <c r="R44" s="27" t="str">
        <f t="shared" si="8"/>
        <v>11/10/2023</v>
      </c>
      <c r="S44" s="27">
        <f t="shared" si="8"/>
        <v>69830</v>
      </c>
      <c r="T44" s="4" t="str">
        <f t="shared" si="9"/>
        <v>A5</v>
      </c>
      <c r="V44">
        <v>41</v>
      </c>
      <c r="W44" s="28" t="str">
        <f t="shared" si="0"/>
        <v>11/10/2023</v>
      </c>
      <c r="X44" s="28">
        <f t="shared" si="0"/>
        <v>69830</v>
      </c>
      <c r="Y44" s="28" t="str">
        <f t="shared" si="0"/>
        <v>A5</v>
      </c>
      <c r="Z44" s="5" t="str">
        <f t="shared" si="16"/>
        <v>A5</v>
      </c>
      <c r="AA44" s="5" t="str">
        <f t="shared" si="10"/>
        <v>A5</v>
      </c>
      <c r="AG44" s="49" t="str">
        <f t="shared" si="62"/>
        <v>11/10/2023</v>
      </c>
      <c r="AH44" s="46">
        <f t="shared" si="62"/>
        <v>69830</v>
      </c>
      <c r="AI44" s="49" t="str">
        <f t="shared" si="62"/>
        <v>A5</v>
      </c>
      <c r="AJ44" s="49" t="str">
        <f t="shared" si="17"/>
        <v>A5</v>
      </c>
      <c r="AK44" s="50">
        <f t="shared" si="18"/>
        <v>67829.5</v>
      </c>
      <c r="AL44" s="49" t="str">
        <f t="shared" si="30"/>
        <v>A5</v>
      </c>
      <c r="AM44" s="50">
        <f t="shared" si="18"/>
        <v>67829.5</v>
      </c>
      <c r="AN44" s="56">
        <f t="shared" si="31"/>
        <v>980</v>
      </c>
      <c r="AO44" s="57">
        <f t="shared" si="32"/>
        <v>70320</v>
      </c>
      <c r="AP44" s="23">
        <f t="shared" si="19"/>
        <v>69340</v>
      </c>
      <c r="AQ44" s="23">
        <f t="shared" si="20"/>
        <v>70810</v>
      </c>
      <c r="AR44" s="23">
        <f t="shared" si="21"/>
        <v>68850</v>
      </c>
      <c r="AS44" s="23">
        <f t="shared" si="22"/>
        <v>70075</v>
      </c>
      <c r="AT44" s="23">
        <f t="shared" si="23"/>
        <v>69585</v>
      </c>
      <c r="AU44" s="23">
        <f t="shared" si="24"/>
        <v>71790</v>
      </c>
      <c r="AV44" s="23">
        <f t="shared" si="25"/>
        <v>67870</v>
      </c>
      <c r="AW44" s="23">
        <f t="shared" si="26"/>
        <v>69993.333333333328</v>
      </c>
      <c r="AX44" s="23">
        <f t="shared" si="27"/>
        <v>69666.666666666672</v>
      </c>
      <c r="AY44" s="23">
        <f t="shared" si="28"/>
        <v>72770</v>
      </c>
      <c r="AZ44" s="23">
        <f t="shared" si="29"/>
        <v>66890</v>
      </c>
      <c r="BA44" s="23">
        <f t="shared" si="51"/>
        <v>69044.75</v>
      </c>
      <c r="BB44" s="43"/>
      <c r="BC44" s="51">
        <f t="shared" si="2"/>
        <v>69830</v>
      </c>
      <c r="BD44" s="52">
        <f t="shared" si="11"/>
        <v>69044.75</v>
      </c>
      <c r="BE44" s="37">
        <f t="shared" si="33"/>
        <v>785.25</v>
      </c>
      <c r="BF44">
        <f t="shared" si="34"/>
        <v>785.25</v>
      </c>
      <c r="BG44">
        <f t="shared" si="35"/>
        <v>1.124516683373908E-2</v>
      </c>
      <c r="BL44" s="1" t="s">
        <v>423</v>
      </c>
      <c r="BM44" s="1">
        <v>43790</v>
      </c>
      <c r="BN44" s="58" t="str">
        <f t="shared" si="36"/>
        <v>A1</v>
      </c>
      <c r="BO44" s="43" t="str">
        <f t="shared" si="52"/>
        <v>A1</v>
      </c>
      <c r="BP44" s="43">
        <f t="shared" si="37"/>
        <v>43705.5</v>
      </c>
      <c r="BQ44" s="43" t="str">
        <f t="shared" si="53"/>
        <v>A1</v>
      </c>
      <c r="BR44" s="43">
        <f t="shared" si="38"/>
        <v>43705.5</v>
      </c>
      <c r="BS44" s="59">
        <f t="shared" si="39"/>
        <v>810</v>
      </c>
      <c r="BT44" s="60">
        <f t="shared" si="54"/>
        <v>44195</v>
      </c>
      <c r="BU44" s="43">
        <f t="shared" si="40"/>
        <v>43385</v>
      </c>
      <c r="BV44" s="43">
        <f t="shared" si="41"/>
        <v>44600</v>
      </c>
      <c r="BW44" s="43">
        <f t="shared" si="42"/>
        <v>42980</v>
      </c>
      <c r="BX44" s="43">
        <f t="shared" si="43"/>
        <v>43992.5</v>
      </c>
      <c r="BY44" s="43">
        <f t="shared" si="44"/>
        <v>43587.5</v>
      </c>
      <c r="BZ44" s="43">
        <f t="shared" si="45"/>
        <v>45410</v>
      </c>
      <c r="CA44" s="43">
        <f t="shared" si="46"/>
        <v>42170</v>
      </c>
      <c r="CB44" s="43">
        <f t="shared" si="47"/>
        <v>43925</v>
      </c>
      <c r="CC44" s="43">
        <f t="shared" si="48"/>
        <v>43655</v>
      </c>
      <c r="CD44" s="43">
        <f t="shared" si="49"/>
        <v>46220</v>
      </c>
      <c r="CE44" s="43">
        <f t="shared" si="50"/>
        <v>41360</v>
      </c>
      <c r="CF44" s="37">
        <f t="shared" si="61"/>
        <v>43305.25</v>
      </c>
      <c r="CH44" s="47">
        <f t="shared" si="12"/>
        <v>42400</v>
      </c>
      <c r="CI44" s="23">
        <f t="shared" si="59"/>
        <v>43515.25</v>
      </c>
      <c r="CJ44" s="37">
        <f t="shared" si="5"/>
        <v>-1115.25</v>
      </c>
      <c r="CK44">
        <f t="shared" si="6"/>
        <v>1115.25</v>
      </c>
      <c r="CL44">
        <f t="shared" si="7"/>
        <v>2.6303066037735849E-2</v>
      </c>
    </row>
    <row r="45" spans="1:90">
      <c r="A45" s="1" t="s">
        <v>46</v>
      </c>
      <c r="B45" s="1">
        <v>71110</v>
      </c>
      <c r="Q45">
        <v>42</v>
      </c>
      <c r="R45" s="27" t="str">
        <f t="shared" si="8"/>
        <v>12/10/2023</v>
      </c>
      <c r="S45" s="27">
        <f t="shared" si="8"/>
        <v>71750</v>
      </c>
      <c r="T45" s="4" t="str">
        <f t="shared" si="9"/>
        <v>A6</v>
      </c>
      <c r="V45">
        <v>42</v>
      </c>
      <c r="W45" s="28" t="str">
        <f t="shared" si="0"/>
        <v>12/10/2023</v>
      </c>
      <c r="X45" s="28">
        <f t="shared" si="0"/>
        <v>71750</v>
      </c>
      <c r="Y45" s="28" t="str">
        <f t="shared" si="0"/>
        <v>A6</v>
      </c>
      <c r="Z45" s="5" t="str">
        <f t="shared" si="16"/>
        <v>A5</v>
      </c>
      <c r="AA45" s="5" t="str">
        <f t="shared" si="10"/>
        <v>A6</v>
      </c>
      <c r="AG45" s="49" t="str">
        <f t="shared" si="62"/>
        <v>12/10/2023</v>
      </c>
      <c r="AH45" s="46">
        <f t="shared" si="62"/>
        <v>71750</v>
      </c>
      <c r="AI45" s="49" t="str">
        <f t="shared" si="62"/>
        <v>A6</v>
      </c>
      <c r="AJ45" s="49" t="str">
        <f t="shared" si="17"/>
        <v>A5</v>
      </c>
      <c r="AK45" s="50">
        <f t="shared" si="18"/>
        <v>67829.5</v>
      </c>
      <c r="AL45" s="49" t="str">
        <f t="shared" si="30"/>
        <v>A6</v>
      </c>
      <c r="AM45" s="50">
        <f t="shared" si="18"/>
        <v>73860.5</v>
      </c>
      <c r="AN45" s="56">
        <f t="shared" si="31"/>
        <v>880</v>
      </c>
      <c r="AO45" s="57">
        <f t="shared" si="32"/>
        <v>72190</v>
      </c>
      <c r="AP45" s="23">
        <f t="shared" si="19"/>
        <v>71310</v>
      </c>
      <c r="AQ45" s="23">
        <f t="shared" si="20"/>
        <v>72630</v>
      </c>
      <c r="AR45" s="23">
        <f t="shared" si="21"/>
        <v>70870</v>
      </c>
      <c r="AS45" s="23">
        <f t="shared" si="22"/>
        <v>71970</v>
      </c>
      <c r="AT45" s="23">
        <f t="shared" si="23"/>
        <v>71530</v>
      </c>
      <c r="AU45" s="23">
        <f t="shared" si="24"/>
        <v>73510</v>
      </c>
      <c r="AV45" s="23">
        <f t="shared" si="25"/>
        <v>69990</v>
      </c>
      <c r="AW45" s="23">
        <f t="shared" si="26"/>
        <v>71896.666666666672</v>
      </c>
      <c r="AX45" s="23">
        <f t="shared" si="27"/>
        <v>71603.333333333328</v>
      </c>
      <c r="AY45" s="23">
        <f t="shared" si="28"/>
        <v>74390</v>
      </c>
      <c r="AZ45" s="23">
        <f t="shared" si="29"/>
        <v>69110</v>
      </c>
      <c r="BA45" s="23">
        <f t="shared" si="51"/>
        <v>69074.75</v>
      </c>
      <c r="BB45" s="43"/>
      <c r="BC45" s="51">
        <f t="shared" si="2"/>
        <v>71750</v>
      </c>
      <c r="BD45" s="52">
        <f t="shared" si="11"/>
        <v>69074.75</v>
      </c>
      <c r="BE45" s="37">
        <f t="shared" si="33"/>
        <v>2675.25</v>
      </c>
      <c r="BF45">
        <f t="shared" si="34"/>
        <v>2675.25</v>
      </c>
      <c r="BG45">
        <f t="shared" si="35"/>
        <v>3.7285714285714283E-2</v>
      </c>
      <c r="BL45" s="1" t="s">
        <v>424</v>
      </c>
      <c r="BM45" s="1">
        <v>41720</v>
      </c>
      <c r="BN45" s="58" t="str">
        <f t="shared" si="36"/>
        <v>A1</v>
      </c>
      <c r="BO45" s="43" t="str">
        <f t="shared" si="52"/>
        <v>A1</v>
      </c>
      <c r="BP45" s="43">
        <f t="shared" si="37"/>
        <v>43705.5</v>
      </c>
      <c r="BQ45" s="43" t="str">
        <f t="shared" si="53"/>
        <v>A1</v>
      </c>
      <c r="BR45" s="43">
        <f t="shared" si="38"/>
        <v>43705.5</v>
      </c>
      <c r="BS45" s="59">
        <f t="shared" si="39"/>
        <v>360</v>
      </c>
      <c r="BT45" s="60">
        <f t="shared" si="54"/>
        <v>41900</v>
      </c>
      <c r="BU45" s="43">
        <f t="shared" si="40"/>
        <v>41540</v>
      </c>
      <c r="BV45" s="43">
        <f t="shared" si="41"/>
        <v>42080</v>
      </c>
      <c r="BW45" s="43">
        <f t="shared" si="42"/>
        <v>41360</v>
      </c>
      <c r="BX45" s="43">
        <f t="shared" si="43"/>
        <v>41810</v>
      </c>
      <c r="BY45" s="43">
        <f t="shared" si="44"/>
        <v>41630</v>
      </c>
      <c r="BZ45" s="43">
        <f t="shared" si="45"/>
        <v>42440</v>
      </c>
      <c r="CA45" s="43">
        <f t="shared" si="46"/>
        <v>41000</v>
      </c>
      <c r="CB45" s="43">
        <f t="shared" si="47"/>
        <v>41780</v>
      </c>
      <c r="CC45" s="43">
        <f t="shared" si="48"/>
        <v>41660</v>
      </c>
      <c r="CD45" s="43">
        <f t="shared" si="49"/>
        <v>42800</v>
      </c>
      <c r="CE45" s="43">
        <f t="shared" si="50"/>
        <v>40640</v>
      </c>
      <c r="CF45" s="37">
        <f t="shared" si="61"/>
        <v>43950.25</v>
      </c>
      <c r="CH45" s="47">
        <f t="shared" si="12"/>
        <v>42120</v>
      </c>
      <c r="CI45" s="23">
        <f t="shared" si="59"/>
        <v>43222.75</v>
      </c>
      <c r="CJ45" s="37">
        <f t="shared" si="5"/>
        <v>-1102.75</v>
      </c>
      <c r="CK45">
        <f t="shared" si="6"/>
        <v>1102.75</v>
      </c>
      <c r="CL45">
        <f t="shared" si="7"/>
        <v>2.6181149097815763E-2</v>
      </c>
    </row>
    <row r="46" spans="1:90">
      <c r="A46" s="1" t="s">
        <v>47</v>
      </c>
      <c r="B46" s="1">
        <v>69100</v>
      </c>
      <c r="Q46">
        <v>43</v>
      </c>
      <c r="R46" s="27" t="str">
        <f t="shared" si="8"/>
        <v>13/10/2023</v>
      </c>
      <c r="S46" s="27">
        <f t="shared" si="8"/>
        <v>69370</v>
      </c>
      <c r="T46" s="4" t="str">
        <f t="shared" si="9"/>
        <v>A5</v>
      </c>
      <c r="V46">
        <v>43</v>
      </c>
      <c r="W46" s="28" t="str">
        <f t="shared" si="0"/>
        <v>13/10/2023</v>
      </c>
      <c r="X46" s="28">
        <f t="shared" si="0"/>
        <v>69370</v>
      </c>
      <c r="Y46" s="28" t="str">
        <f t="shared" si="0"/>
        <v>A5</v>
      </c>
      <c r="Z46" s="5" t="str">
        <f t="shared" si="16"/>
        <v>A6</v>
      </c>
      <c r="AA46" s="5" t="str">
        <f t="shared" si="10"/>
        <v>A5</v>
      </c>
      <c r="AG46" s="49" t="str">
        <f t="shared" si="62"/>
        <v>13/10/2023</v>
      </c>
      <c r="AH46" s="46">
        <f t="shared" si="62"/>
        <v>69370</v>
      </c>
      <c r="AI46" s="49" t="str">
        <f t="shared" si="62"/>
        <v>A5</v>
      </c>
      <c r="AJ46" s="49" t="str">
        <f t="shared" si="17"/>
        <v>A6</v>
      </c>
      <c r="AK46" s="50">
        <f t="shared" si="18"/>
        <v>73860.5</v>
      </c>
      <c r="AL46" s="49" t="str">
        <f t="shared" si="30"/>
        <v>A5</v>
      </c>
      <c r="AM46" s="50">
        <f t="shared" si="18"/>
        <v>67829.5</v>
      </c>
      <c r="AN46" s="56">
        <f t="shared" si="31"/>
        <v>460</v>
      </c>
      <c r="AO46" s="57">
        <f t="shared" si="32"/>
        <v>69600</v>
      </c>
      <c r="AP46" s="23">
        <f t="shared" si="19"/>
        <v>69140</v>
      </c>
      <c r="AQ46" s="23">
        <f t="shared" si="20"/>
        <v>69830</v>
      </c>
      <c r="AR46" s="23">
        <f t="shared" si="21"/>
        <v>68910</v>
      </c>
      <c r="AS46" s="23">
        <f t="shared" si="22"/>
        <v>69485</v>
      </c>
      <c r="AT46" s="23">
        <f t="shared" si="23"/>
        <v>69255</v>
      </c>
      <c r="AU46" s="23">
        <f t="shared" si="24"/>
        <v>70290</v>
      </c>
      <c r="AV46" s="23">
        <f t="shared" si="25"/>
        <v>68450</v>
      </c>
      <c r="AW46" s="23">
        <f t="shared" si="26"/>
        <v>69446.666666666672</v>
      </c>
      <c r="AX46" s="23">
        <f t="shared" si="27"/>
        <v>69293.333333333328</v>
      </c>
      <c r="AY46" s="23">
        <f t="shared" si="28"/>
        <v>70750</v>
      </c>
      <c r="AZ46" s="23">
        <f t="shared" si="29"/>
        <v>67990</v>
      </c>
      <c r="BA46" s="23">
        <f t="shared" si="51"/>
        <v>73025.25</v>
      </c>
      <c r="BB46" s="59"/>
      <c r="BC46" s="51">
        <f t="shared" si="2"/>
        <v>69370</v>
      </c>
      <c r="BD46" s="52">
        <f t="shared" si="11"/>
        <v>73025.25</v>
      </c>
      <c r="BE46" s="37">
        <f t="shared" si="33"/>
        <v>-3655.25</v>
      </c>
      <c r="BF46">
        <f t="shared" si="34"/>
        <v>3655.25</v>
      </c>
      <c r="BG46">
        <f t="shared" si="35"/>
        <v>5.2692085916102062E-2</v>
      </c>
      <c r="BL46" s="1" t="s">
        <v>425</v>
      </c>
      <c r="BM46" s="1">
        <v>42860</v>
      </c>
      <c r="BN46" s="58" t="str">
        <f t="shared" si="36"/>
        <v>A1</v>
      </c>
      <c r="BO46" s="43" t="str">
        <f t="shared" si="52"/>
        <v>A1</v>
      </c>
      <c r="BP46" s="43">
        <f t="shared" si="37"/>
        <v>43705.5</v>
      </c>
      <c r="BQ46" s="43" t="str">
        <f t="shared" si="53"/>
        <v>A1</v>
      </c>
      <c r="BR46" s="43">
        <f t="shared" si="38"/>
        <v>43705.5</v>
      </c>
      <c r="BS46" s="59">
        <f t="shared" si="39"/>
        <v>930</v>
      </c>
      <c r="BT46" s="60">
        <f t="shared" si="54"/>
        <v>43325</v>
      </c>
      <c r="BU46" s="43">
        <f t="shared" si="40"/>
        <v>42395</v>
      </c>
      <c r="BV46" s="43">
        <f t="shared" si="41"/>
        <v>43790</v>
      </c>
      <c r="BW46" s="43">
        <f t="shared" si="42"/>
        <v>41930</v>
      </c>
      <c r="BX46" s="43">
        <f t="shared" si="43"/>
        <v>43092.5</v>
      </c>
      <c r="BY46" s="43">
        <f t="shared" si="44"/>
        <v>42627.5</v>
      </c>
      <c r="BZ46" s="43">
        <f t="shared" si="45"/>
        <v>44720</v>
      </c>
      <c r="CA46" s="43">
        <f t="shared" si="46"/>
        <v>41000</v>
      </c>
      <c r="CB46" s="43">
        <f t="shared" si="47"/>
        <v>43015</v>
      </c>
      <c r="CC46" s="43">
        <f t="shared" si="48"/>
        <v>42705</v>
      </c>
      <c r="CD46" s="43">
        <f t="shared" si="49"/>
        <v>45650</v>
      </c>
      <c r="CE46" s="43">
        <f t="shared" si="50"/>
        <v>40070</v>
      </c>
      <c r="CF46" s="37">
        <f t="shared" si="61"/>
        <v>42802.75</v>
      </c>
    </row>
    <row r="47" spans="1:90">
      <c r="A47" s="1" t="s">
        <v>48</v>
      </c>
      <c r="B47" s="1">
        <v>67860</v>
      </c>
      <c r="Q47">
        <v>44</v>
      </c>
      <c r="R47" s="27" t="str">
        <f t="shared" si="8"/>
        <v>14/10/2023</v>
      </c>
      <c r="S47" s="27">
        <f t="shared" si="8"/>
        <v>71110</v>
      </c>
      <c r="T47" s="4" t="str">
        <f t="shared" si="9"/>
        <v>A6</v>
      </c>
      <c r="V47">
        <v>44</v>
      </c>
      <c r="W47" s="28" t="str">
        <f t="shared" si="0"/>
        <v>14/10/2023</v>
      </c>
      <c r="X47" s="28">
        <f t="shared" si="0"/>
        <v>71110</v>
      </c>
      <c r="Y47" s="28" t="str">
        <f t="shared" si="0"/>
        <v>A6</v>
      </c>
      <c r="Z47" s="5" t="str">
        <f t="shared" si="16"/>
        <v>A5</v>
      </c>
      <c r="AA47" s="5" t="str">
        <f t="shared" si="10"/>
        <v>A6</v>
      </c>
      <c r="AG47" s="49" t="str">
        <f t="shared" si="62"/>
        <v>14/10/2023</v>
      </c>
      <c r="AH47" s="46">
        <f t="shared" si="62"/>
        <v>71110</v>
      </c>
      <c r="AI47" s="49" t="str">
        <f t="shared" si="62"/>
        <v>A6</v>
      </c>
      <c r="AJ47" s="49" t="str">
        <f t="shared" si="17"/>
        <v>A5</v>
      </c>
      <c r="AK47" s="50">
        <f t="shared" si="18"/>
        <v>67829.5</v>
      </c>
      <c r="AL47" s="49" t="str">
        <f t="shared" si="30"/>
        <v>A6</v>
      </c>
      <c r="AM47" s="50">
        <f t="shared" si="18"/>
        <v>73860.5</v>
      </c>
      <c r="AN47" s="56">
        <f t="shared" si="31"/>
        <v>640</v>
      </c>
      <c r="AO47" s="57">
        <f t="shared" si="32"/>
        <v>71430</v>
      </c>
      <c r="AP47" s="23">
        <f t="shared" si="19"/>
        <v>70790</v>
      </c>
      <c r="AQ47" s="23">
        <f t="shared" si="20"/>
        <v>71750</v>
      </c>
      <c r="AR47" s="23">
        <f t="shared" si="21"/>
        <v>70470</v>
      </c>
      <c r="AS47" s="23">
        <f t="shared" si="22"/>
        <v>71270</v>
      </c>
      <c r="AT47" s="23">
        <f t="shared" si="23"/>
        <v>70950</v>
      </c>
      <c r="AU47" s="23">
        <f t="shared" si="24"/>
        <v>72390</v>
      </c>
      <c r="AV47" s="23">
        <f t="shared" si="25"/>
        <v>69830</v>
      </c>
      <c r="AW47" s="23">
        <f t="shared" si="26"/>
        <v>71216.666666666672</v>
      </c>
      <c r="AX47" s="23">
        <f t="shared" si="27"/>
        <v>71003.333333333328</v>
      </c>
      <c r="AY47" s="23">
        <f t="shared" si="28"/>
        <v>73030</v>
      </c>
      <c r="AZ47" s="23">
        <f t="shared" si="29"/>
        <v>69190</v>
      </c>
      <c r="BA47" s="23">
        <f t="shared" si="51"/>
        <v>68714.75</v>
      </c>
      <c r="BB47" s="43"/>
      <c r="BC47" s="51">
        <f t="shared" si="2"/>
        <v>71110</v>
      </c>
      <c r="BD47" s="52">
        <f t="shared" si="11"/>
        <v>68714.75</v>
      </c>
      <c r="BE47" s="37">
        <f t="shared" si="33"/>
        <v>2395.25</v>
      </c>
      <c r="BF47">
        <f t="shared" si="34"/>
        <v>2395.25</v>
      </c>
      <c r="BG47">
        <f t="shared" si="35"/>
        <v>3.3683729433272393E-2</v>
      </c>
      <c r="BL47" s="1" t="s">
        <v>426</v>
      </c>
      <c r="BM47" s="1">
        <v>42400</v>
      </c>
      <c r="BN47" s="58" t="str">
        <f t="shared" si="36"/>
        <v>A1</v>
      </c>
      <c r="BO47" s="43" t="str">
        <f t="shared" si="52"/>
        <v>A1</v>
      </c>
      <c r="BP47" s="43">
        <f t="shared" si="37"/>
        <v>43705.5</v>
      </c>
      <c r="BQ47" s="43" t="str">
        <f t="shared" si="53"/>
        <v>A1</v>
      </c>
      <c r="BR47" s="43">
        <f t="shared" si="38"/>
        <v>43705.5</v>
      </c>
      <c r="BS47" s="59">
        <f t="shared" si="39"/>
        <v>680</v>
      </c>
      <c r="BT47" s="60">
        <f t="shared" si="54"/>
        <v>42740</v>
      </c>
      <c r="BU47" s="43">
        <f t="shared" si="40"/>
        <v>42060</v>
      </c>
      <c r="BV47" s="43">
        <f t="shared" si="41"/>
        <v>43080</v>
      </c>
      <c r="BW47" s="43">
        <f t="shared" si="42"/>
        <v>41720</v>
      </c>
      <c r="BX47" s="43">
        <f t="shared" si="43"/>
        <v>42570</v>
      </c>
      <c r="BY47" s="43">
        <f t="shared" si="44"/>
        <v>42230</v>
      </c>
      <c r="BZ47" s="43">
        <f t="shared" si="45"/>
        <v>43760</v>
      </c>
      <c r="CA47" s="43">
        <f t="shared" si="46"/>
        <v>41040</v>
      </c>
      <c r="CB47" s="43">
        <f t="shared" si="47"/>
        <v>42513.333333333336</v>
      </c>
      <c r="CC47" s="43">
        <f t="shared" si="48"/>
        <v>42286.666666666664</v>
      </c>
      <c r="CD47" s="43">
        <f t="shared" si="49"/>
        <v>44440</v>
      </c>
      <c r="CE47" s="43">
        <f t="shared" si="50"/>
        <v>40360</v>
      </c>
      <c r="CF47" s="37">
        <f t="shared" si="61"/>
        <v>43515.25</v>
      </c>
    </row>
    <row r="48" spans="1:90">
      <c r="A48" s="1" t="s">
        <v>49</v>
      </c>
      <c r="B48" s="1">
        <v>68470</v>
      </c>
      <c r="Q48">
        <v>45</v>
      </c>
      <c r="R48" s="27" t="str">
        <f t="shared" si="8"/>
        <v>15/10/2023</v>
      </c>
      <c r="S48" s="27">
        <f t="shared" si="8"/>
        <v>69100</v>
      </c>
      <c r="T48" s="4" t="str">
        <f t="shared" si="9"/>
        <v>A5</v>
      </c>
      <c r="V48">
        <v>45</v>
      </c>
      <c r="W48" s="28" t="str">
        <f t="shared" si="0"/>
        <v>15/10/2023</v>
      </c>
      <c r="X48" s="28">
        <f t="shared" si="0"/>
        <v>69100</v>
      </c>
      <c r="Y48" s="28" t="str">
        <f t="shared" si="0"/>
        <v>A5</v>
      </c>
      <c r="Z48" s="5" t="str">
        <f t="shared" si="16"/>
        <v>A6</v>
      </c>
      <c r="AA48" s="5" t="str">
        <f t="shared" si="10"/>
        <v>A5</v>
      </c>
      <c r="AG48" s="49" t="str">
        <f t="shared" si="62"/>
        <v>15/10/2023</v>
      </c>
      <c r="AH48" s="46">
        <f t="shared" si="62"/>
        <v>69100</v>
      </c>
      <c r="AI48" s="49" t="str">
        <f t="shared" si="62"/>
        <v>A5</v>
      </c>
      <c r="AJ48" s="49" t="str">
        <f t="shared" si="17"/>
        <v>A6</v>
      </c>
      <c r="AK48" s="50">
        <f t="shared" si="18"/>
        <v>73860.5</v>
      </c>
      <c r="AL48" s="49" t="str">
        <f t="shared" si="30"/>
        <v>A5</v>
      </c>
      <c r="AM48" s="50">
        <f t="shared" si="18"/>
        <v>67829.5</v>
      </c>
      <c r="AN48" s="56">
        <f t="shared" si="31"/>
        <v>270</v>
      </c>
      <c r="AO48" s="57">
        <f t="shared" si="32"/>
        <v>69235</v>
      </c>
      <c r="AP48" s="23">
        <f t="shared" si="19"/>
        <v>68965</v>
      </c>
      <c r="AQ48" s="23">
        <f t="shared" si="20"/>
        <v>69370</v>
      </c>
      <c r="AR48" s="23">
        <f t="shared" si="21"/>
        <v>68830</v>
      </c>
      <c r="AS48" s="23">
        <f t="shared" si="22"/>
        <v>69167.5</v>
      </c>
      <c r="AT48" s="23">
        <f t="shared" si="23"/>
        <v>69032.5</v>
      </c>
      <c r="AU48" s="23">
        <f t="shared" si="24"/>
        <v>69640</v>
      </c>
      <c r="AV48" s="23">
        <f t="shared" si="25"/>
        <v>68560</v>
      </c>
      <c r="AW48" s="23">
        <f t="shared" si="26"/>
        <v>69145</v>
      </c>
      <c r="AX48" s="23">
        <f t="shared" si="27"/>
        <v>69055</v>
      </c>
      <c r="AY48" s="23">
        <f t="shared" si="28"/>
        <v>69910</v>
      </c>
      <c r="AZ48" s="23">
        <f t="shared" si="29"/>
        <v>68290</v>
      </c>
      <c r="BA48" s="23">
        <f t="shared" si="51"/>
        <v>72645.25</v>
      </c>
      <c r="BB48" s="43"/>
      <c r="BC48" s="51">
        <f t="shared" si="2"/>
        <v>69100</v>
      </c>
      <c r="BD48" s="52">
        <f t="shared" si="11"/>
        <v>72645.25</v>
      </c>
      <c r="BE48" s="37">
        <f t="shared" si="33"/>
        <v>-3545.25</v>
      </c>
      <c r="BF48">
        <f t="shared" si="34"/>
        <v>3545.25</v>
      </c>
      <c r="BG48">
        <f t="shared" si="35"/>
        <v>5.1306078147612157E-2</v>
      </c>
      <c r="BL48" s="1" t="s">
        <v>427</v>
      </c>
      <c r="BM48" s="1">
        <v>42120</v>
      </c>
      <c r="BN48" s="58" t="str">
        <f t="shared" si="36"/>
        <v>A1</v>
      </c>
      <c r="BO48" s="43" t="str">
        <f t="shared" si="52"/>
        <v>A1</v>
      </c>
      <c r="BP48" s="43">
        <f t="shared" si="37"/>
        <v>43705.5</v>
      </c>
      <c r="BQ48" s="43" t="str">
        <f t="shared" si="53"/>
        <v>A1</v>
      </c>
      <c r="BR48" s="43">
        <f t="shared" si="38"/>
        <v>43705.5</v>
      </c>
      <c r="BS48" s="59">
        <f t="shared" si="39"/>
        <v>180</v>
      </c>
      <c r="BT48" s="60">
        <f t="shared" si="54"/>
        <v>42210</v>
      </c>
      <c r="BU48" s="43">
        <f t="shared" si="40"/>
        <v>42030</v>
      </c>
      <c r="BV48" s="43">
        <f t="shared" si="41"/>
        <v>42300</v>
      </c>
      <c r="BW48" s="43">
        <f t="shared" si="42"/>
        <v>41940</v>
      </c>
      <c r="BX48" s="43">
        <f t="shared" si="43"/>
        <v>42165</v>
      </c>
      <c r="BY48" s="43">
        <f t="shared" si="44"/>
        <v>42075</v>
      </c>
      <c r="BZ48" s="43">
        <f t="shared" si="45"/>
        <v>42480</v>
      </c>
      <c r="CA48" s="43">
        <f t="shared" si="46"/>
        <v>41760</v>
      </c>
      <c r="CB48" s="43">
        <f t="shared" si="47"/>
        <v>42150</v>
      </c>
      <c r="CC48" s="43">
        <f t="shared" si="48"/>
        <v>42090</v>
      </c>
      <c r="CD48" s="43">
        <f t="shared" si="49"/>
        <v>42660</v>
      </c>
      <c r="CE48" s="43">
        <f t="shared" si="50"/>
        <v>41580</v>
      </c>
      <c r="CF48" s="37">
        <f t="shared" si="61"/>
        <v>43222.75</v>
      </c>
    </row>
    <row r="49" spans="1:59">
      <c r="A49" s="1" t="s">
        <v>50</v>
      </c>
      <c r="B49" s="1">
        <v>70740</v>
      </c>
      <c r="Q49">
        <v>46</v>
      </c>
      <c r="R49" s="27" t="str">
        <f t="shared" si="8"/>
        <v>16/10/2023</v>
      </c>
      <c r="S49" s="27">
        <f t="shared" si="8"/>
        <v>67860</v>
      </c>
      <c r="T49" s="4" t="str">
        <f t="shared" si="9"/>
        <v>A5</v>
      </c>
      <c r="V49">
        <v>46</v>
      </c>
      <c r="W49" s="28" t="str">
        <f t="shared" si="0"/>
        <v>16/10/2023</v>
      </c>
      <c r="X49" s="28">
        <f t="shared" si="0"/>
        <v>67860</v>
      </c>
      <c r="Y49" s="28" t="str">
        <f t="shared" si="0"/>
        <v>A5</v>
      </c>
      <c r="Z49" s="5" t="str">
        <f t="shared" si="16"/>
        <v>A5</v>
      </c>
      <c r="AA49" s="5" t="str">
        <f t="shared" si="10"/>
        <v>A5</v>
      </c>
      <c r="AG49" s="49" t="str">
        <f t="shared" si="62"/>
        <v>16/10/2023</v>
      </c>
      <c r="AH49" s="46">
        <f t="shared" si="62"/>
        <v>67860</v>
      </c>
      <c r="AI49" s="49" t="str">
        <f t="shared" si="62"/>
        <v>A5</v>
      </c>
      <c r="AJ49" s="49" t="str">
        <f t="shared" si="17"/>
        <v>A5</v>
      </c>
      <c r="AK49" s="50">
        <f t="shared" si="18"/>
        <v>67829.5</v>
      </c>
      <c r="AL49" s="49" t="str">
        <f t="shared" si="30"/>
        <v>A5</v>
      </c>
      <c r="AM49" s="50">
        <f t="shared" si="18"/>
        <v>67829.5</v>
      </c>
      <c r="AN49" s="56">
        <f t="shared" si="31"/>
        <v>770</v>
      </c>
      <c r="AO49" s="57">
        <f t="shared" si="32"/>
        <v>68245</v>
      </c>
      <c r="AP49" s="23">
        <f t="shared" si="19"/>
        <v>67475</v>
      </c>
      <c r="AQ49" s="23">
        <f t="shared" si="20"/>
        <v>68630</v>
      </c>
      <c r="AR49" s="23">
        <f t="shared" si="21"/>
        <v>67090</v>
      </c>
      <c r="AS49" s="23">
        <f t="shared" si="22"/>
        <v>68052.5</v>
      </c>
      <c r="AT49" s="23">
        <f t="shared" si="23"/>
        <v>67667.5</v>
      </c>
      <c r="AU49" s="23">
        <f t="shared" si="24"/>
        <v>69400</v>
      </c>
      <c r="AV49" s="23">
        <f t="shared" si="25"/>
        <v>66320</v>
      </c>
      <c r="AW49" s="23">
        <f t="shared" si="26"/>
        <v>67988.333333333328</v>
      </c>
      <c r="AX49" s="23">
        <f t="shared" si="27"/>
        <v>67731.666666666672</v>
      </c>
      <c r="AY49" s="23">
        <f t="shared" si="28"/>
        <v>70170</v>
      </c>
      <c r="AZ49" s="23">
        <f t="shared" si="29"/>
        <v>65550</v>
      </c>
      <c r="BA49" s="23">
        <f t="shared" si="51"/>
        <v>68532.25</v>
      </c>
      <c r="BB49" s="43"/>
      <c r="BC49" s="51">
        <f t="shared" si="2"/>
        <v>67860</v>
      </c>
      <c r="BD49" s="52">
        <f t="shared" si="11"/>
        <v>68532.25</v>
      </c>
      <c r="BE49" s="37">
        <f t="shared" si="33"/>
        <v>-672.25</v>
      </c>
      <c r="BF49">
        <f t="shared" si="34"/>
        <v>672.25</v>
      </c>
      <c r="BG49">
        <f t="shared" si="35"/>
        <v>9.9064249926318886E-3</v>
      </c>
    </row>
    <row r="50" spans="1:59">
      <c r="A50" s="1" t="s">
        <v>51</v>
      </c>
      <c r="B50" s="1">
        <v>69340</v>
      </c>
      <c r="Q50">
        <v>47</v>
      </c>
      <c r="R50" s="27" t="str">
        <f t="shared" si="8"/>
        <v>17/10/2023</v>
      </c>
      <c r="S50" s="27">
        <f t="shared" si="8"/>
        <v>68470</v>
      </c>
      <c r="T50" s="4" t="str">
        <f t="shared" si="9"/>
        <v>A5</v>
      </c>
      <c r="V50">
        <v>47</v>
      </c>
      <c r="W50" s="28" t="str">
        <f t="shared" si="0"/>
        <v>17/10/2023</v>
      </c>
      <c r="X50" s="28">
        <f t="shared" si="0"/>
        <v>68470</v>
      </c>
      <c r="Y50" s="28" t="str">
        <f t="shared" si="0"/>
        <v>A5</v>
      </c>
      <c r="Z50" s="5" t="str">
        <f t="shared" si="16"/>
        <v>A5</v>
      </c>
      <c r="AA50" s="5" t="str">
        <f t="shared" si="10"/>
        <v>A5</v>
      </c>
      <c r="AG50" s="49" t="str">
        <f t="shared" si="62"/>
        <v>17/10/2023</v>
      </c>
      <c r="AH50" s="46">
        <f t="shared" si="62"/>
        <v>68470</v>
      </c>
      <c r="AI50" s="49" t="str">
        <f t="shared" si="62"/>
        <v>A5</v>
      </c>
      <c r="AJ50" s="49" t="str">
        <f t="shared" si="17"/>
        <v>A5</v>
      </c>
      <c r="AK50" s="50">
        <f t="shared" si="18"/>
        <v>67829.5</v>
      </c>
      <c r="AL50" s="49" t="str">
        <f t="shared" si="30"/>
        <v>A5</v>
      </c>
      <c r="AM50" s="50">
        <f t="shared" si="18"/>
        <v>67829.5</v>
      </c>
      <c r="AN50" s="56">
        <f t="shared" si="31"/>
        <v>630</v>
      </c>
      <c r="AO50" s="57">
        <f t="shared" si="32"/>
        <v>68785</v>
      </c>
      <c r="AP50" s="23">
        <f t="shared" si="19"/>
        <v>68155</v>
      </c>
      <c r="AQ50" s="23">
        <f t="shared" si="20"/>
        <v>69100</v>
      </c>
      <c r="AR50" s="23">
        <f t="shared" si="21"/>
        <v>67840</v>
      </c>
      <c r="AS50" s="23">
        <f t="shared" si="22"/>
        <v>68627.5</v>
      </c>
      <c r="AT50" s="23">
        <f t="shared" si="23"/>
        <v>68312.5</v>
      </c>
      <c r="AU50" s="23">
        <f t="shared" si="24"/>
        <v>69730</v>
      </c>
      <c r="AV50" s="23">
        <f t="shared" si="25"/>
        <v>67210</v>
      </c>
      <c r="AW50" s="23">
        <f t="shared" si="26"/>
        <v>68575</v>
      </c>
      <c r="AX50" s="23">
        <f t="shared" si="27"/>
        <v>68365</v>
      </c>
      <c r="AY50" s="23">
        <f t="shared" si="28"/>
        <v>70360</v>
      </c>
      <c r="AZ50" s="23">
        <f t="shared" si="29"/>
        <v>66580</v>
      </c>
      <c r="BA50" s="23">
        <f t="shared" si="51"/>
        <v>68037.25</v>
      </c>
      <c r="BB50" s="43"/>
      <c r="BC50" s="51">
        <f t="shared" si="2"/>
        <v>68470</v>
      </c>
      <c r="BD50" s="52">
        <f t="shared" si="11"/>
        <v>68037.25</v>
      </c>
      <c r="BE50" s="37">
        <f t="shared" si="33"/>
        <v>432.75</v>
      </c>
      <c r="BF50">
        <f t="shared" si="34"/>
        <v>432.75</v>
      </c>
      <c r="BG50">
        <f t="shared" si="35"/>
        <v>6.3202862567547828E-3</v>
      </c>
    </row>
    <row r="51" spans="1:59">
      <c r="A51" s="1" t="s">
        <v>52</v>
      </c>
      <c r="B51" s="1">
        <v>70720</v>
      </c>
      <c r="Q51">
        <v>48</v>
      </c>
      <c r="R51" s="27" t="str">
        <f t="shared" si="8"/>
        <v>18/10/2023</v>
      </c>
      <c r="S51" s="27">
        <f t="shared" si="8"/>
        <v>70740</v>
      </c>
      <c r="T51" s="4" t="str">
        <f t="shared" si="9"/>
        <v>A5</v>
      </c>
      <c r="V51">
        <v>48</v>
      </c>
      <c r="W51" s="28" t="str">
        <f t="shared" si="0"/>
        <v>18/10/2023</v>
      </c>
      <c r="X51" s="28">
        <f t="shared" si="0"/>
        <v>70740</v>
      </c>
      <c r="Y51" s="28" t="str">
        <f t="shared" si="0"/>
        <v>A5</v>
      </c>
      <c r="Z51" s="5" t="str">
        <f t="shared" si="16"/>
        <v>A5</v>
      </c>
      <c r="AA51" s="5" t="str">
        <f t="shared" si="10"/>
        <v>A5</v>
      </c>
      <c r="AG51" s="49" t="str">
        <f t="shared" si="62"/>
        <v>18/10/2023</v>
      </c>
      <c r="AH51" s="46">
        <f t="shared" si="62"/>
        <v>70740</v>
      </c>
      <c r="AI51" s="49" t="str">
        <f t="shared" si="62"/>
        <v>A5</v>
      </c>
      <c r="AJ51" s="49" t="str">
        <f t="shared" si="17"/>
        <v>A5</v>
      </c>
      <c r="AK51" s="50">
        <f t="shared" si="18"/>
        <v>67829.5</v>
      </c>
      <c r="AL51" s="49" t="str">
        <f t="shared" si="30"/>
        <v>A5</v>
      </c>
      <c r="AM51" s="50">
        <f t="shared" si="18"/>
        <v>67829.5</v>
      </c>
      <c r="AN51" s="56">
        <f t="shared" si="31"/>
        <v>1660</v>
      </c>
      <c r="AO51" s="57">
        <f t="shared" si="32"/>
        <v>71570</v>
      </c>
      <c r="AP51" s="23">
        <f t="shared" si="19"/>
        <v>69910</v>
      </c>
      <c r="AQ51" s="23">
        <f t="shared" si="20"/>
        <v>72400</v>
      </c>
      <c r="AR51" s="23">
        <f t="shared" si="21"/>
        <v>69080</v>
      </c>
      <c r="AS51" s="23">
        <f t="shared" si="22"/>
        <v>71155</v>
      </c>
      <c r="AT51" s="23">
        <f t="shared" si="23"/>
        <v>70325</v>
      </c>
      <c r="AU51" s="23">
        <f t="shared" si="24"/>
        <v>74060</v>
      </c>
      <c r="AV51" s="23">
        <f t="shared" si="25"/>
        <v>67420</v>
      </c>
      <c r="AW51" s="23">
        <f t="shared" si="26"/>
        <v>71016.666666666672</v>
      </c>
      <c r="AX51" s="23">
        <f t="shared" si="27"/>
        <v>70463.333333333328</v>
      </c>
      <c r="AY51" s="23">
        <f t="shared" si="28"/>
        <v>75720</v>
      </c>
      <c r="AZ51" s="23">
        <f t="shared" si="29"/>
        <v>65760</v>
      </c>
      <c r="BA51" s="23">
        <f t="shared" si="51"/>
        <v>68307.25</v>
      </c>
      <c r="BB51" s="43"/>
      <c r="BC51" s="51">
        <f t="shared" si="2"/>
        <v>70740</v>
      </c>
      <c r="BD51" s="52">
        <f t="shared" si="11"/>
        <v>68307.25</v>
      </c>
      <c r="BE51" s="37">
        <f t="shared" si="33"/>
        <v>2432.75</v>
      </c>
      <c r="BF51">
        <f t="shared" si="34"/>
        <v>2432.75</v>
      </c>
      <c r="BG51">
        <f t="shared" si="35"/>
        <v>3.4390019790783148E-2</v>
      </c>
    </row>
    <row r="52" spans="1:59">
      <c r="A52" s="1" t="s">
        <v>53</v>
      </c>
      <c r="B52" s="1">
        <v>70870</v>
      </c>
      <c r="Q52">
        <v>49</v>
      </c>
      <c r="R52" s="27" t="str">
        <f t="shared" si="8"/>
        <v>19/10/2023</v>
      </c>
      <c r="S52" s="27">
        <f t="shared" si="8"/>
        <v>69340</v>
      </c>
      <c r="T52" s="4" t="str">
        <f t="shared" si="9"/>
        <v>A5</v>
      </c>
      <c r="V52">
        <v>49</v>
      </c>
      <c r="W52" s="28" t="str">
        <f t="shared" si="0"/>
        <v>19/10/2023</v>
      </c>
      <c r="X52" s="28">
        <f t="shared" si="0"/>
        <v>69340</v>
      </c>
      <c r="Y52" s="28" t="str">
        <f t="shared" si="0"/>
        <v>A5</v>
      </c>
      <c r="Z52" s="5" t="str">
        <f t="shared" si="16"/>
        <v>A5</v>
      </c>
      <c r="AA52" s="5" t="str">
        <f t="shared" si="10"/>
        <v>A5</v>
      </c>
      <c r="AG52" s="49" t="str">
        <f t="shared" si="62"/>
        <v>19/10/2023</v>
      </c>
      <c r="AH52" s="46">
        <f t="shared" si="62"/>
        <v>69340</v>
      </c>
      <c r="AI52" s="49" t="str">
        <f t="shared" si="62"/>
        <v>A5</v>
      </c>
      <c r="AJ52" s="49" t="str">
        <f t="shared" si="17"/>
        <v>A5</v>
      </c>
      <c r="AK52" s="50">
        <f t="shared" si="18"/>
        <v>67829.5</v>
      </c>
      <c r="AL52" s="49" t="str">
        <f t="shared" si="30"/>
        <v>A5</v>
      </c>
      <c r="AM52" s="50">
        <f t="shared" si="18"/>
        <v>67829.5</v>
      </c>
      <c r="AN52" s="56">
        <f t="shared" si="31"/>
        <v>870</v>
      </c>
      <c r="AO52" s="57">
        <f t="shared" si="32"/>
        <v>69775</v>
      </c>
      <c r="AP52" s="23">
        <f t="shared" si="19"/>
        <v>68905</v>
      </c>
      <c r="AQ52" s="23">
        <f t="shared" si="20"/>
        <v>70210</v>
      </c>
      <c r="AR52" s="23">
        <f t="shared" si="21"/>
        <v>68470</v>
      </c>
      <c r="AS52" s="23">
        <f t="shared" si="22"/>
        <v>69557.5</v>
      </c>
      <c r="AT52" s="23">
        <f t="shared" si="23"/>
        <v>69122.5</v>
      </c>
      <c r="AU52" s="23">
        <f t="shared" si="24"/>
        <v>71080</v>
      </c>
      <c r="AV52" s="23">
        <f t="shared" si="25"/>
        <v>67600</v>
      </c>
      <c r="AW52" s="23">
        <f t="shared" si="26"/>
        <v>69485</v>
      </c>
      <c r="AX52" s="23">
        <f t="shared" si="27"/>
        <v>69195</v>
      </c>
      <c r="AY52" s="23">
        <f t="shared" si="28"/>
        <v>71950</v>
      </c>
      <c r="AZ52" s="23">
        <f t="shared" si="29"/>
        <v>66730</v>
      </c>
      <c r="BA52" s="23">
        <f t="shared" si="51"/>
        <v>69699.75</v>
      </c>
      <c r="BB52" s="43"/>
      <c r="BC52" s="51">
        <f t="shared" si="2"/>
        <v>69340</v>
      </c>
      <c r="BD52" s="52">
        <f t="shared" si="11"/>
        <v>69699.75</v>
      </c>
      <c r="BE52" s="37">
        <f t="shared" si="33"/>
        <v>-359.75</v>
      </c>
      <c r="BF52">
        <f t="shared" si="34"/>
        <v>359.75</v>
      </c>
      <c r="BG52">
        <f t="shared" si="35"/>
        <v>5.1882030573983271E-3</v>
      </c>
    </row>
    <row r="53" spans="1:59">
      <c r="A53" s="1" t="s">
        <v>54</v>
      </c>
      <c r="B53" s="1">
        <v>70160</v>
      </c>
      <c r="Q53">
        <v>50</v>
      </c>
      <c r="R53" s="27" t="str">
        <f t="shared" si="8"/>
        <v>20/10/2023</v>
      </c>
      <c r="S53" s="27">
        <f t="shared" si="8"/>
        <v>70720</v>
      </c>
      <c r="T53" s="4" t="str">
        <f t="shared" si="9"/>
        <v>A5</v>
      </c>
      <c r="V53">
        <v>50</v>
      </c>
      <c r="W53" s="28" t="str">
        <f t="shared" si="0"/>
        <v>20/10/2023</v>
      </c>
      <c r="X53" s="28">
        <f t="shared" si="0"/>
        <v>70720</v>
      </c>
      <c r="Y53" s="28" t="str">
        <f t="shared" si="0"/>
        <v>A5</v>
      </c>
      <c r="Z53" s="5" t="str">
        <f t="shared" si="16"/>
        <v>A5</v>
      </c>
      <c r="AA53" s="5" t="str">
        <f t="shared" si="10"/>
        <v>A5</v>
      </c>
      <c r="AG53" s="49" t="str">
        <f t="shared" si="62"/>
        <v>20/10/2023</v>
      </c>
      <c r="AH53" s="46">
        <f t="shared" si="62"/>
        <v>70720</v>
      </c>
      <c r="AI53" s="49" t="str">
        <f t="shared" si="62"/>
        <v>A5</v>
      </c>
      <c r="AJ53" s="49" t="str">
        <f t="shared" si="17"/>
        <v>A5</v>
      </c>
      <c r="AK53" s="50">
        <f t="shared" si="18"/>
        <v>67829.5</v>
      </c>
      <c r="AL53" s="49" t="str">
        <f t="shared" si="30"/>
        <v>A5</v>
      </c>
      <c r="AM53" s="50">
        <f t="shared" si="18"/>
        <v>67829.5</v>
      </c>
      <c r="AN53" s="56">
        <f t="shared" si="31"/>
        <v>20</v>
      </c>
      <c r="AO53" s="57">
        <f t="shared" si="32"/>
        <v>70730</v>
      </c>
      <c r="AP53" s="23">
        <f t="shared" si="19"/>
        <v>70710</v>
      </c>
      <c r="AQ53" s="23">
        <f t="shared" si="20"/>
        <v>70740</v>
      </c>
      <c r="AR53" s="23">
        <f t="shared" si="21"/>
        <v>70700</v>
      </c>
      <c r="AS53" s="23">
        <f t="shared" si="22"/>
        <v>70725</v>
      </c>
      <c r="AT53" s="23">
        <f t="shared" si="23"/>
        <v>70715</v>
      </c>
      <c r="AU53" s="23">
        <f t="shared" si="24"/>
        <v>70760</v>
      </c>
      <c r="AV53" s="23">
        <f t="shared" si="25"/>
        <v>70680</v>
      </c>
      <c r="AW53" s="23">
        <f t="shared" si="26"/>
        <v>70723.333333333328</v>
      </c>
      <c r="AX53" s="23">
        <f t="shared" si="27"/>
        <v>70716.666666666672</v>
      </c>
      <c r="AY53" s="23">
        <f t="shared" si="28"/>
        <v>70780</v>
      </c>
      <c r="AZ53" s="23">
        <f t="shared" si="29"/>
        <v>70660</v>
      </c>
      <c r="BA53" s="23">
        <f t="shared" si="51"/>
        <v>68802.25</v>
      </c>
      <c r="BB53" s="43"/>
      <c r="BC53" s="51">
        <f t="shared" si="2"/>
        <v>70720</v>
      </c>
      <c r="BD53" s="52">
        <f t="shared" si="11"/>
        <v>68802.25</v>
      </c>
      <c r="BE53" s="37">
        <f t="shared" si="33"/>
        <v>1917.75</v>
      </c>
      <c r="BF53">
        <f t="shared" si="34"/>
        <v>1917.75</v>
      </c>
      <c r="BG53">
        <f t="shared" si="35"/>
        <v>2.7117505656108598E-2</v>
      </c>
    </row>
    <row r="54" spans="1:59">
      <c r="A54" s="1" t="s">
        <v>55</v>
      </c>
      <c r="B54" s="1">
        <v>71610</v>
      </c>
      <c r="Q54">
        <v>51</v>
      </c>
      <c r="R54" s="27" t="str">
        <f t="shared" si="8"/>
        <v>21/10/2023</v>
      </c>
      <c r="S54" s="27">
        <f t="shared" si="8"/>
        <v>70870</v>
      </c>
      <c r="T54" s="4" t="str">
        <f t="shared" si="9"/>
        <v>A6</v>
      </c>
      <c r="V54">
        <v>51</v>
      </c>
      <c r="W54" s="28" t="str">
        <f t="shared" si="0"/>
        <v>21/10/2023</v>
      </c>
      <c r="X54" s="28">
        <f t="shared" si="0"/>
        <v>70870</v>
      </c>
      <c r="Y54" s="28" t="str">
        <f t="shared" si="0"/>
        <v>A6</v>
      </c>
      <c r="Z54" s="5" t="str">
        <f t="shared" si="16"/>
        <v>A5</v>
      </c>
      <c r="AA54" s="5" t="str">
        <f t="shared" si="10"/>
        <v>A6</v>
      </c>
      <c r="AG54" s="49" t="str">
        <f t="shared" si="62"/>
        <v>21/10/2023</v>
      </c>
      <c r="AH54" s="46">
        <f t="shared" si="62"/>
        <v>70870</v>
      </c>
      <c r="AI54" s="49" t="str">
        <f t="shared" si="62"/>
        <v>A6</v>
      </c>
      <c r="AJ54" s="49" t="str">
        <f t="shared" si="17"/>
        <v>A5</v>
      </c>
      <c r="AK54" s="50">
        <f t="shared" si="18"/>
        <v>67829.5</v>
      </c>
      <c r="AL54" s="49" t="str">
        <f t="shared" si="30"/>
        <v>A6</v>
      </c>
      <c r="AM54" s="50">
        <f t="shared" si="18"/>
        <v>73860.5</v>
      </c>
      <c r="AN54" s="56">
        <f t="shared" si="31"/>
        <v>1230</v>
      </c>
      <c r="AO54" s="57">
        <f t="shared" si="32"/>
        <v>71485</v>
      </c>
      <c r="AP54" s="23">
        <f t="shared" si="19"/>
        <v>70255</v>
      </c>
      <c r="AQ54" s="23">
        <f t="shared" si="20"/>
        <v>72100</v>
      </c>
      <c r="AR54" s="23">
        <f t="shared" si="21"/>
        <v>69640</v>
      </c>
      <c r="AS54" s="23">
        <f t="shared" si="22"/>
        <v>71177.5</v>
      </c>
      <c r="AT54" s="23">
        <f t="shared" si="23"/>
        <v>70562.5</v>
      </c>
      <c r="AU54" s="23">
        <f t="shared" si="24"/>
        <v>73330</v>
      </c>
      <c r="AV54" s="23">
        <f t="shared" si="25"/>
        <v>68410</v>
      </c>
      <c r="AW54" s="23">
        <f t="shared" si="26"/>
        <v>71075</v>
      </c>
      <c r="AX54" s="23">
        <f t="shared" si="27"/>
        <v>70665</v>
      </c>
      <c r="AY54" s="23">
        <f t="shared" si="28"/>
        <v>74560</v>
      </c>
      <c r="AZ54" s="23">
        <f t="shared" si="29"/>
        <v>67180</v>
      </c>
      <c r="BA54" s="23">
        <f t="shared" si="51"/>
        <v>69279.75</v>
      </c>
      <c r="BB54" s="43"/>
      <c r="BC54" s="51">
        <f t="shared" si="2"/>
        <v>70870</v>
      </c>
      <c r="BD54" s="52">
        <f t="shared" si="11"/>
        <v>69279.75</v>
      </c>
      <c r="BE54" s="37">
        <f t="shared" si="33"/>
        <v>1590.25</v>
      </c>
      <c r="BF54">
        <f t="shared" si="34"/>
        <v>1590.25</v>
      </c>
      <c r="BG54">
        <f t="shared" si="35"/>
        <v>2.243897276703824E-2</v>
      </c>
    </row>
    <row r="55" spans="1:59">
      <c r="A55" s="1" t="s">
        <v>56</v>
      </c>
      <c r="B55" s="1">
        <v>70120</v>
      </c>
      <c r="Q55">
        <v>52</v>
      </c>
      <c r="R55" s="27" t="str">
        <f t="shared" si="8"/>
        <v>22/10/2023</v>
      </c>
      <c r="S55" s="27">
        <f t="shared" si="8"/>
        <v>70160</v>
      </c>
      <c r="T55" s="4" t="str">
        <f t="shared" si="9"/>
        <v>A5</v>
      </c>
      <c r="V55">
        <v>52</v>
      </c>
      <c r="W55" s="28" t="str">
        <f t="shared" si="0"/>
        <v>22/10/2023</v>
      </c>
      <c r="X55" s="28">
        <f t="shared" si="0"/>
        <v>70160</v>
      </c>
      <c r="Y55" s="28" t="str">
        <f t="shared" si="0"/>
        <v>A5</v>
      </c>
      <c r="Z55" s="5" t="str">
        <f t="shared" si="16"/>
        <v>A6</v>
      </c>
      <c r="AA55" s="5" t="str">
        <f t="shared" si="10"/>
        <v>A5</v>
      </c>
      <c r="AG55" s="49" t="str">
        <f t="shared" si="62"/>
        <v>22/10/2023</v>
      </c>
      <c r="AH55" s="46">
        <f t="shared" si="62"/>
        <v>70160</v>
      </c>
      <c r="AI55" s="49" t="str">
        <f t="shared" si="62"/>
        <v>A5</v>
      </c>
      <c r="AJ55" s="49" t="str">
        <f t="shared" si="17"/>
        <v>A6</v>
      </c>
      <c r="AK55" s="50">
        <f t="shared" si="18"/>
        <v>73860.5</v>
      </c>
      <c r="AL55" s="49" t="str">
        <f t="shared" si="30"/>
        <v>A5</v>
      </c>
      <c r="AM55" s="50">
        <f t="shared" si="18"/>
        <v>67829.5</v>
      </c>
      <c r="AN55" s="56">
        <f t="shared" si="31"/>
        <v>560</v>
      </c>
      <c r="AO55" s="57">
        <f t="shared" si="32"/>
        <v>70440</v>
      </c>
      <c r="AP55" s="23">
        <f t="shared" si="19"/>
        <v>69880</v>
      </c>
      <c r="AQ55" s="23">
        <f t="shared" si="20"/>
        <v>70720</v>
      </c>
      <c r="AR55" s="23">
        <f t="shared" si="21"/>
        <v>69600</v>
      </c>
      <c r="AS55" s="23">
        <f t="shared" si="22"/>
        <v>70300</v>
      </c>
      <c r="AT55" s="23">
        <f t="shared" si="23"/>
        <v>70020</v>
      </c>
      <c r="AU55" s="23">
        <f t="shared" si="24"/>
        <v>71280</v>
      </c>
      <c r="AV55" s="23">
        <f t="shared" si="25"/>
        <v>69040</v>
      </c>
      <c r="AW55" s="23">
        <f t="shared" si="26"/>
        <v>70253.333333333328</v>
      </c>
      <c r="AX55" s="23">
        <f t="shared" si="27"/>
        <v>70066.666666666672</v>
      </c>
      <c r="AY55" s="23">
        <f t="shared" si="28"/>
        <v>71840</v>
      </c>
      <c r="AZ55" s="23">
        <f t="shared" si="29"/>
        <v>68480</v>
      </c>
      <c r="BA55" s="23">
        <f t="shared" si="51"/>
        <v>72672.75</v>
      </c>
      <c r="BB55" s="43"/>
      <c r="BC55" s="51">
        <f t="shared" si="2"/>
        <v>70160</v>
      </c>
      <c r="BD55" s="52">
        <f t="shared" si="11"/>
        <v>72672.75</v>
      </c>
      <c r="BE55" s="37">
        <f t="shared" si="33"/>
        <v>-2512.75</v>
      </c>
      <c r="BF55">
        <f t="shared" si="34"/>
        <v>2512.75</v>
      </c>
      <c r="BG55">
        <f t="shared" si="35"/>
        <v>3.5814566704675026E-2</v>
      </c>
    </row>
    <row r="56" spans="1:59">
      <c r="A56" s="1" t="s">
        <v>57</v>
      </c>
      <c r="B56" s="1">
        <v>71560</v>
      </c>
      <c r="Q56">
        <v>53</v>
      </c>
      <c r="R56" s="27" t="str">
        <f t="shared" si="8"/>
        <v>23/10/2023</v>
      </c>
      <c r="S56" s="27">
        <f t="shared" si="8"/>
        <v>71610</v>
      </c>
      <c r="T56" s="4" t="str">
        <f t="shared" si="9"/>
        <v>A6</v>
      </c>
      <c r="V56">
        <v>53</v>
      </c>
      <c r="W56" s="28" t="str">
        <f t="shared" si="0"/>
        <v>23/10/2023</v>
      </c>
      <c r="X56" s="28">
        <f t="shared" si="0"/>
        <v>71610</v>
      </c>
      <c r="Y56" s="28" t="str">
        <f t="shared" si="0"/>
        <v>A6</v>
      </c>
      <c r="Z56" s="5" t="str">
        <f t="shared" si="16"/>
        <v>A5</v>
      </c>
      <c r="AA56" s="5" t="str">
        <f t="shared" si="10"/>
        <v>A6</v>
      </c>
      <c r="AG56" s="49" t="str">
        <f t="shared" si="62"/>
        <v>23/10/2023</v>
      </c>
      <c r="AH56" s="46">
        <f t="shared" si="62"/>
        <v>71610</v>
      </c>
      <c r="AI56" s="49" t="str">
        <f t="shared" si="62"/>
        <v>A6</v>
      </c>
      <c r="AJ56" s="49" t="str">
        <f t="shared" si="17"/>
        <v>A5</v>
      </c>
      <c r="AK56" s="50">
        <f t="shared" si="18"/>
        <v>67829.5</v>
      </c>
      <c r="AL56" s="49" t="str">
        <f t="shared" si="30"/>
        <v>A6</v>
      </c>
      <c r="AM56" s="50">
        <f t="shared" si="18"/>
        <v>73860.5</v>
      </c>
      <c r="AN56" s="56">
        <f t="shared" si="31"/>
        <v>740</v>
      </c>
      <c r="AO56" s="57">
        <f t="shared" si="32"/>
        <v>71980</v>
      </c>
      <c r="AP56" s="23">
        <f t="shared" si="19"/>
        <v>71240</v>
      </c>
      <c r="AQ56" s="23">
        <f t="shared" si="20"/>
        <v>72350</v>
      </c>
      <c r="AR56" s="23">
        <f t="shared" si="21"/>
        <v>70870</v>
      </c>
      <c r="AS56" s="23">
        <f t="shared" si="22"/>
        <v>71795</v>
      </c>
      <c r="AT56" s="23">
        <f t="shared" si="23"/>
        <v>71425</v>
      </c>
      <c r="AU56" s="23">
        <f t="shared" si="24"/>
        <v>73090</v>
      </c>
      <c r="AV56" s="23">
        <f t="shared" si="25"/>
        <v>70130</v>
      </c>
      <c r="AW56" s="23">
        <f t="shared" si="26"/>
        <v>71733.333333333328</v>
      </c>
      <c r="AX56" s="23">
        <f t="shared" si="27"/>
        <v>71486.666666666672</v>
      </c>
      <c r="AY56" s="23">
        <f t="shared" si="28"/>
        <v>73830</v>
      </c>
      <c r="AZ56" s="23">
        <f t="shared" si="29"/>
        <v>69390</v>
      </c>
      <c r="BA56" s="23">
        <f t="shared" si="51"/>
        <v>69134.75</v>
      </c>
      <c r="BB56" s="43"/>
      <c r="BC56" s="51">
        <f t="shared" si="2"/>
        <v>71610</v>
      </c>
      <c r="BD56" s="52">
        <f t="shared" si="11"/>
        <v>69134.75</v>
      </c>
      <c r="BE56" s="37">
        <f t="shared" si="33"/>
        <v>2475.25</v>
      </c>
      <c r="BF56">
        <f t="shared" si="34"/>
        <v>2475.25</v>
      </c>
      <c r="BG56">
        <f t="shared" si="35"/>
        <v>3.4565703114090213E-2</v>
      </c>
    </row>
    <row r="57" spans="1:59">
      <c r="A57" s="1" t="s">
        <v>58</v>
      </c>
      <c r="B57" s="1">
        <v>72790</v>
      </c>
      <c r="Q57">
        <v>54</v>
      </c>
      <c r="R57" s="27" t="str">
        <f t="shared" si="8"/>
        <v>24/10/2023</v>
      </c>
      <c r="S57" s="27">
        <f t="shared" si="8"/>
        <v>70120</v>
      </c>
      <c r="T57" s="4" t="str">
        <f t="shared" si="9"/>
        <v>A5</v>
      </c>
      <c r="V57">
        <v>54</v>
      </c>
      <c r="W57" s="28" t="str">
        <f t="shared" si="0"/>
        <v>24/10/2023</v>
      </c>
      <c r="X57" s="28">
        <f t="shared" si="0"/>
        <v>70120</v>
      </c>
      <c r="Y57" s="28" t="str">
        <f t="shared" si="0"/>
        <v>A5</v>
      </c>
      <c r="Z57" s="5" t="str">
        <f t="shared" si="16"/>
        <v>A6</v>
      </c>
      <c r="AA57" s="5" t="str">
        <f t="shared" si="10"/>
        <v>A5</v>
      </c>
      <c r="AG57" s="49" t="str">
        <f t="shared" si="62"/>
        <v>24/10/2023</v>
      </c>
      <c r="AH57" s="46">
        <f t="shared" si="62"/>
        <v>70120</v>
      </c>
      <c r="AI57" s="49" t="str">
        <f t="shared" si="62"/>
        <v>A5</v>
      </c>
      <c r="AJ57" s="49" t="str">
        <f t="shared" si="17"/>
        <v>A6</v>
      </c>
      <c r="AK57" s="50">
        <f t="shared" si="18"/>
        <v>73860.5</v>
      </c>
      <c r="AL57" s="49" t="str">
        <f t="shared" si="30"/>
        <v>A5</v>
      </c>
      <c r="AM57" s="50">
        <f t="shared" si="18"/>
        <v>67829.5</v>
      </c>
      <c r="AN57" s="56">
        <f t="shared" si="31"/>
        <v>40</v>
      </c>
      <c r="AO57" s="57">
        <f t="shared" si="32"/>
        <v>70140</v>
      </c>
      <c r="AP57" s="23">
        <f t="shared" si="19"/>
        <v>70100</v>
      </c>
      <c r="AQ57" s="23">
        <f t="shared" si="20"/>
        <v>70160</v>
      </c>
      <c r="AR57" s="23">
        <f t="shared" si="21"/>
        <v>70080</v>
      </c>
      <c r="AS57" s="23">
        <f t="shared" si="22"/>
        <v>70130</v>
      </c>
      <c r="AT57" s="23">
        <f t="shared" si="23"/>
        <v>70110</v>
      </c>
      <c r="AU57" s="23">
        <f t="shared" si="24"/>
        <v>70200</v>
      </c>
      <c r="AV57" s="23">
        <f t="shared" si="25"/>
        <v>70040</v>
      </c>
      <c r="AW57" s="23">
        <f t="shared" si="26"/>
        <v>70126.666666666672</v>
      </c>
      <c r="AX57" s="23">
        <f t="shared" si="27"/>
        <v>70113.333333333328</v>
      </c>
      <c r="AY57" s="23">
        <f t="shared" si="28"/>
        <v>70240</v>
      </c>
      <c r="AZ57" s="23">
        <f t="shared" si="29"/>
        <v>70000</v>
      </c>
      <c r="BA57" s="23">
        <f t="shared" si="51"/>
        <v>72920.25</v>
      </c>
      <c r="BB57" s="43"/>
      <c r="BC57" s="51">
        <f t="shared" si="2"/>
        <v>70120</v>
      </c>
      <c r="BD57" s="52">
        <f t="shared" si="11"/>
        <v>72920.25</v>
      </c>
      <c r="BE57" s="37">
        <f t="shared" si="33"/>
        <v>-2800.25</v>
      </c>
      <c r="BF57">
        <f t="shared" si="34"/>
        <v>2800.25</v>
      </c>
      <c r="BG57">
        <f t="shared" si="35"/>
        <v>3.9935111237877921E-2</v>
      </c>
    </row>
    <row r="58" spans="1:59">
      <c r="A58" s="1" t="s">
        <v>59</v>
      </c>
      <c r="B58" s="1">
        <v>73150</v>
      </c>
      <c r="Q58">
        <v>55</v>
      </c>
      <c r="R58" s="27" t="str">
        <f t="shared" si="8"/>
        <v>25/10/2023</v>
      </c>
      <c r="S58" s="27">
        <f t="shared" si="8"/>
        <v>71560</v>
      </c>
      <c r="T58" s="4" t="str">
        <f t="shared" si="9"/>
        <v>A6</v>
      </c>
      <c r="V58">
        <v>55</v>
      </c>
      <c r="W58" s="28" t="str">
        <f t="shared" si="0"/>
        <v>25/10/2023</v>
      </c>
      <c r="X58" s="28">
        <f t="shared" si="0"/>
        <v>71560</v>
      </c>
      <c r="Y58" s="28" t="str">
        <f t="shared" si="0"/>
        <v>A6</v>
      </c>
      <c r="Z58" s="5" t="str">
        <f t="shared" si="16"/>
        <v>A5</v>
      </c>
      <c r="AA58" s="5" t="str">
        <f t="shared" si="10"/>
        <v>A6</v>
      </c>
      <c r="AG58" s="49" t="str">
        <f t="shared" si="62"/>
        <v>25/10/2023</v>
      </c>
      <c r="AH58" s="46">
        <f t="shared" si="62"/>
        <v>71560</v>
      </c>
      <c r="AI58" s="49" t="str">
        <f t="shared" si="62"/>
        <v>A6</v>
      </c>
      <c r="AJ58" s="49" t="str">
        <f t="shared" si="17"/>
        <v>A5</v>
      </c>
      <c r="AK58" s="50">
        <f t="shared" si="18"/>
        <v>67829.5</v>
      </c>
      <c r="AL58" s="49" t="str">
        <f t="shared" si="30"/>
        <v>A6</v>
      </c>
      <c r="AM58" s="50">
        <f t="shared" si="18"/>
        <v>73860.5</v>
      </c>
      <c r="AN58" s="56">
        <f t="shared" si="31"/>
        <v>50</v>
      </c>
      <c r="AO58" s="57">
        <f t="shared" si="32"/>
        <v>71585</v>
      </c>
      <c r="AP58" s="23">
        <f t="shared" si="19"/>
        <v>71535</v>
      </c>
      <c r="AQ58" s="23">
        <f t="shared" si="20"/>
        <v>71610</v>
      </c>
      <c r="AR58" s="23">
        <f t="shared" si="21"/>
        <v>71510</v>
      </c>
      <c r="AS58" s="23">
        <f t="shared" si="22"/>
        <v>71572.5</v>
      </c>
      <c r="AT58" s="23">
        <f t="shared" si="23"/>
        <v>71547.5</v>
      </c>
      <c r="AU58" s="23">
        <f t="shared" si="24"/>
        <v>71660</v>
      </c>
      <c r="AV58" s="23">
        <f t="shared" si="25"/>
        <v>71460</v>
      </c>
      <c r="AW58" s="23">
        <f t="shared" si="26"/>
        <v>71568.333333333328</v>
      </c>
      <c r="AX58" s="23">
        <f t="shared" si="27"/>
        <v>71551.666666666672</v>
      </c>
      <c r="AY58" s="23">
        <f t="shared" si="28"/>
        <v>71710</v>
      </c>
      <c r="AZ58" s="23">
        <f t="shared" si="29"/>
        <v>71410</v>
      </c>
      <c r="BA58" s="23">
        <f t="shared" si="51"/>
        <v>68984.75</v>
      </c>
      <c r="BB58" s="43"/>
      <c r="BC58" s="51">
        <f t="shared" si="2"/>
        <v>71560</v>
      </c>
      <c r="BD58" s="52">
        <f t="shared" si="11"/>
        <v>68984.75</v>
      </c>
      <c r="BE58" s="37">
        <f t="shared" si="33"/>
        <v>2575.25</v>
      </c>
      <c r="BF58">
        <f t="shared" si="34"/>
        <v>2575.25</v>
      </c>
      <c r="BG58">
        <f t="shared" si="35"/>
        <v>3.5987283398546677E-2</v>
      </c>
    </row>
    <row r="59" spans="1:59">
      <c r="A59" s="1" t="s">
        <v>60</v>
      </c>
      <c r="B59" s="1">
        <v>75190</v>
      </c>
      <c r="Q59">
        <v>56</v>
      </c>
      <c r="R59" s="27" t="str">
        <f t="shared" si="8"/>
        <v>26/10/2023</v>
      </c>
      <c r="S59" s="27">
        <f t="shared" si="8"/>
        <v>72790</v>
      </c>
      <c r="T59" s="4" t="str">
        <f t="shared" si="9"/>
        <v>A6</v>
      </c>
      <c r="V59">
        <v>56</v>
      </c>
      <c r="W59" s="28" t="str">
        <f t="shared" si="0"/>
        <v>26/10/2023</v>
      </c>
      <c r="X59" s="28">
        <f t="shared" si="0"/>
        <v>72790</v>
      </c>
      <c r="Y59" s="28" t="str">
        <f t="shared" si="0"/>
        <v>A6</v>
      </c>
      <c r="Z59" s="5" t="str">
        <f t="shared" si="16"/>
        <v>A6</v>
      </c>
      <c r="AA59" s="5" t="str">
        <f t="shared" si="10"/>
        <v>A6</v>
      </c>
      <c r="AG59" s="49" t="str">
        <f t="shared" si="62"/>
        <v>26/10/2023</v>
      </c>
      <c r="AH59" s="46">
        <f t="shared" si="62"/>
        <v>72790</v>
      </c>
      <c r="AI59" s="49" t="str">
        <f t="shared" si="62"/>
        <v>A6</v>
      </c>
      <c r="AJ59" s="49" t="str">
        <f t="shared" si="17"/>
        <v>A6</v>
      </c>
      <c r="AK59" s="50">
        <f t="shared" si="18"/>
        <v>73860.5</v>
      </c>
      <c r="AL59" s="49" t="str">
        <f t="shared" si="30"/>
        <v>A6</v>
      </c>
      <c r="AM59" s="50">
        <f t="shared" si="18"/>
        <v>73860.5</v>
      </c>
      <c r="AN59" s="56">
        <f t="shared" si="31"/>
        <v>210</v>
      </c>
      <c r="AO59" s="57">
        <f t="shared" si="32"/>
        <v>72895</v>
      </c>
      <c r="AP59" s="23">
        <f t="shared" si="19"/>
        <v>72685</v>
      </c>
      <c r="AQ59" s="23">
        <f t="shared" si="20"/>
        <v>73000</v>
      </c>
      <c r="AR59" s="23">
        <f t="shared" si="21"/>
        <v>72580</v>
      </c>
      <c r="AS59" s="23">
        <f t="shared" si="22"/>
        <v>72842.5</v>
      </c>
      <c r="AT59" s="23">
        <f t="shared" si="23"/>
        <v>72737.5</v>
      </c>
      <c r="AU59" s="23">
        <f t="shared" si="24"/>
        <v>73210</v>
      </c>
      <c r="AV59" s="23">
        <f t="shared" si="25"/>
        <v>72370</v>
      </c>
      <c r="AW59" s="23">
        <f t="shared" si="26"/>
        <v>72825</v>
      </c>
      <c r="AX59" s="23">
        <f t="shared" si="27"/>
        <v>72755</v>
      </c>
      <c r="AY59" s="23">
        <f t="shared" si="28"/>
        <v>73420</v>
      </c>
      <c r="AZ59" s="23">
        <f t="shared" si="29"/>
        <v>72160</v>
      </c>
      <c r="BA59" s="23">
        <f t="shared" si="51"/>
        <v>72722.75</v>
      </c>
      <c r="BB59" s="43"/>
      <c r="BC59" s="51">
        <f t="shared" si="2"/>
        <v>72790</v>
      </c>
      <c r="BD59" s="52">
        <f t="shared" si="11"/>
        <v>72722.75</v>
      </c>
      <c r="BE59" s="37">
        <f t="shared" si="33"/>
        <v>67.25</v>
      </c>
      <c r="BF59">
        <f t="shared" si="34"/>
        <v>67.25</v>
      </c>
      <c r="BG59">
        <f t="shared" si="35"/>
        <v>9.238906443192746E-4</v>
      </c>
    </row>
    <row r="60" spans="1:59">
      <c r="A60" s="1" t="s">
        <v>61</v>
      </c>
      <c r="B60" s="1">
        <v>75000</v>
      </c>
      <c r="Q60">
        <v>57</v>
      </c>
      <c r="R60" s="27" t="str">
        <f t="shared" si="8"/>
        <v>27/10/2023</v>
      </c>
      <c r="S60" s="27">
        <f t="shared" si="8"/>
        <v>73150</v>
      </c>
      <c r="T60" s="4" t="str">
        <f t="shared" si="9"/>
        <v>A6</v>
      </c>
      <c r="V60">
        <v>57</v>
      </c>
      <c r="W60" s="28" t="str">
        <f t="shared" si="0"/>
        <v>27/10/2023</v>
      </c>
      <c r="X60" s="28">
        <f t="shared" si="0"/>
        <v>73150</v>
      </c>
      <c r="Y60" s="28" t="str">
        <f t="shared" si="0"/>
        <v>A6</v>
      </c>
      <c r="Z60" s="5" t="str">
        <f t="shared" si="16"/>
        <v>A6</v>
      </c>
      <c r="AA60" s="5" t="str">
        <f t="shared" si="10"/>
        <v>A6</v>
      </c>
      <c r="AG60" s="49" t="str">
        <f t="shared" si="62"/>
        <v>27/10/2023</v>
      </c>
      <c r="AH60" s="46">
        <f t="shared" si="62"/>
        <v>73150</v>
      </c>
      <c r="AI60" s="49" t="str">
        <f t="shared" si="62"/>
        <v>A6</v>
      </c>
      <c r="AJ60" s="49" t="str">
        <f t="shared" si="17"/>
        <v>A6</v>
      </c>
      <c r="AK60" s="50">
        <f t="shared" si="18"/>
        <v>73860.5</v>
      </c>
      <c r="AL60" s="49" t="str">
        <f t="shared" si="30"/>
        <v>A6</v>
      </c>
      <c r="AM60" s="50">
        <f t="shared" si="18"/>
        <v>73860.5</v>
      </c>
      <c r="AN60" s="56">
        <f t="shared" si="31"/>
        <v>870</v>
      </c>
      <c r="AO60" s="57">
        <f t="shared" si="32"/>
        <v>73585</v>
      </c>
      <c r="AP60" s="23">
        <f t="shared" si="19"/>
        <v>72715</v>
      </c>
      <c r="AQ60" s="23">
        <f t="shared" si="20"/>
        <v>74020</v>
      </c>
      <c r="AR60" s="23">
        <f t="shared" si="21"/>
        <v>72280</v>
      </c>
      <c r="AS60" s="23">
        <f t="shared" si="22"/>
        <v>73367.5</v>
      </c>
      <c r="AT60" s="23">
        <f t="shared" si="23"/>
        <v>72932.5</v>
      </c>
      <c r="AU60" s="23">
        <f t="shared" si="24"/>
        <v>74890</v>
      </c>
      <c r="AV60" s="23">
        <f t="shared" si="25"/>
        <v>71410</v>
      </c>
      <c r="AW60" s="23">
        <f t="shared" si="26"/>
        <v>73295</v>
      </c>
      <c r="AX60" s="23">
        <f t="shared" si="27"/>
        <v>73005</v>
      </c>
      <c r="AY60" s="23">
        <f t="shared" si="28"/>
        <v>75760</v>
      </c>
      <c r="AZ60" s="23">
        <f t="shared" si="29"/>
        <v>70540</v>
      </c>
      <c r="BA60" s="23">
        <f t="shared" si="51"/>
        <v>73377.75</v>
      </c>
      <c r="BB60" s="43"/>
      <c r="BC60" s="51">
        <f t="shared" si="2"/>
        <v>73150</v>
      </c>
      <c r="BD60" s="52">
        <f t="shared" si="11"/>
        <v>73377.75</v>
      </c>
      <c r="BE60" s="37">
        <f t="shared" si="33"/>
        <v>-227.75</v>
      </c>
      <c r="BF60">
        <f t="shared" si="34"/>
        <v>227.75</v>
      </c>
      <c r="BG60">
        <f t="shared" si="35"/>
        <v>3.1134654818865343E-3</v>
      </c>
    </row>
    <row r="61" spans="1:59">
      <c r="A61" s="1" t="s">
        <v>62</v>
      </c>
      <c r="B61" s="1">
        <v>74260</v>
      </c>
      <c r="Q61">
        <v>58</v>
      </c>
      <c r="R61" s="27" t="str">
        <f t="shared" si="8"/>
        <v>28/10/2023</v>
      </c>
      <c r="S61" s="27">
        <f t="shared" si="8"/>
        <v>75190</v>
      </c>
      <c r="T61" s="4" t="str">
        <f t="shared" si="9"/>
        <v>A6</v>
      </c>
      <c r="V61">
        <v>58</v>
      </c>
      <c r="W61" s="28" t="str">
        <f t="shared" si="0"/>
        <v>28/10/2023</v>
      </c>
      <c r="X61" s="28">
        <f t="shared" si="0"/>
        <v>75190</v>
      </c>
      <c r="Y61" s="28" t="str">
        <f t="shared" si="0"/>
        <v>A6</v>
      </c>
      <c r="Z61" s="5" t="str">
        <f t="shared" si="16"/>
        <v>A6</v>
      </c>
      <c r="AA61" s="5" t="str">
        <f t="shared" si="10"/>
        <v>A6</v>
      </c>
      <c r="AG61" s="49" t="str">
        <f t="shared" si="62"/>
        <v>28/10/2023</v>
      </c>
      <c r="AH61" s="46">
        <f t="shared" si="62"/>
        <v>75190</v>
      </c>
      <c r="AI61" s="49" t="str">
        <f t="shared" si="62"/>
        <v>A6</v>
      </c>
      <c r="AJ61" s="49" t="str">
        <f t="shared" si="17"/>
        <v>A6</v>
      </c>
      <c r="AK61" s="50">
        <f t="shared" si="18"/>
        <v>73860.5</v>
      </c>
      <c r="AL61" s="49" t="str">
        <f t="shared" si="30"/>
        <v>A6</v>
      </c>
      <c r="AM61" s="50">
        <f t="shared" si="18"/>
        <v>73860.5</v>
      </c>
      <c r="AN61" s="56">
        <f t="shared" si="31"/>
        <v>1680</v>
      </c>
      <c r="AO61" s="57">
        <f t="shared" si="32"/>
        <v>76030</v>
      </c>
      <c r="AP61" s="23">
        <f t="shared" si="19"/>
        <v>74350</v>
      </c>
      <c r="AQ61" s="23">
        <f t="shared" si="20"/>
        <v>76870</v>
      </c>
      <c r="AR61" s="23">
        <f t="shared" si="21"/>
        <v>73510</v>
      </c>
      <c r="AS61" s="23">
        <f t="shared" si="22"/>
        <v>75610</v>
      </c>
      <c r="AT61" s="23">
        <f t="shared" si="23"/>
        <v>74770</v>
      </c>
      <c r="AU61" s="23">
        <f t="shared" si="24"/>
        <v>78550</v>
      </c>
      <c r="AV61" s="23">
        <f t="shared" si="25"/>
        <v>71830</v>
      </c>
      <c r="AW61" s="23">
        <f t="shared" si="26"/>
        <v>75470</v>
      </c>
      <c r="AX61" s="23">
        <f t="shared" si="27"/>
        <v>74910</v>
      </c>
      <c r="AY61" s="23">
        <f t="shared" si="28"/>
        <v>80230</v>
      </c>
      <c r="AZ61" s="23">
        <f t="shared" si="29"/>
        <v>70150</v>
      </c>
      <c r="BA61" s="23">
        <f t="shared" si="51"/>
        <v>73722.75</v>
      </c>
      <c r="BB61" s="43"/>
      <c r="BC61" s="51">
        <f t="shared" si="2"/>
        <v>75190</v>
      </c>
      <c r="BD61" s="52">
        <f t="shared" si="11"/>
        <v>73722.75</v>
      </c>
      <c r="BE61" s="37">
        <f t="shared" si="33"/>
        <v>1467.25</v>
      </c>
      <c r="BF61">
        <f t="shared" si="34"/>
        <v>1467.25</v>
      </c>
      <c r="BG61">
        <f t="shared" si="35"/>
        <v>1.9513898124750632E-2</v>
      </c>
    </row>
    <row r="62" spans="1:59">
      <c r="A62" s="1" t="s">
        <v>63</v>
      </c>
      <c r="B62" s="1">
        <v>75490</v>
      </c>
      <c r="Q62">
        <v>59</v>
      </c>
      <c r="R62" s="27" t="str">
        <f t="shared" si="8"/>
        <v>29/10/2023</v>
      </c>
      <c r="S62" s="27">
        <f t="shared" si="8"/>
        <v>75000</v>
      </c>
      <c r="T62" s="4" t="str">
        <f t="shared" si="9"/>
        <v>A6</v>
      </c>
      <c r="V62">
        <v>59</v>
      </c>
      <c r="W62" s="28" t="str">
        <f t="shared" si="0"/>
        <v>29/10/2023</v>
      </c>
      <c r="X62" s="28">
        <f t="shared" si="0"/>
        <v>75000</v>
      </c>
      <c r="Y62" s="28" t="str">
        <f t="shared" si="0"/>
        <v>A6</v>
      </c>
      <c r="Z62" s="5" t="str">
        <f t="shared" si="16"/>
        <v>A6</v>
      </c>
      <c r="AA62" s="5" t="str">
        <f t="shared" si="10"/>
        <v>A6</v>
      </c>
      <c r="AG62" s="49" t="str">
        <f t="shared" si="62"/>
        <v>29/10/2023</v>
      </c>
      <c r="AH62" s="46">
        <f t="shared" si="62"/>
        <v>75000</v>
      </c>
      <c r="AI62" s="49" t="str">
        <f t="shared" si="62"/>
        <v>A6</v>
      </c>
      <c r="AJ62" s="49" t="str">
        <f t="shared" si="17"/>
        <v>A6</v>
      </c>
      <c r="AK62" s="50">
        <f t="shared" si="18"/>
        <v>73860.5</v>
      </c>
      <c r="AL62" s="49" t="str">
        <f t="shared" si="30"/>
        <v>A6</v>
      </c>
      <c r="AM62" s="50">
        <f t="shared" si="18"/>
        <v>73860.5</v>
      </c>
      <c r="AN62" s="56">
        <f t="shared" si="31"/>
        <v>1850</v>
      </c>
      <c r="AO62" s="57">
        <f t="shared" si="32"/>
        <v>75925</v>
      </c>
      <c r="AP62" s="23">
        <f t="shared" si="19"/>
        <v>74075</v>
      </c>
      <c r="AQ62" s="23">
        <f t="shared" si="20"/>
        <v>76850</v>
      </c>
      <c r="AR62" s="23">
        <f t="shared" si="21"/>
        <v>73150</v>
      </c>
      <c r="AS62" s="23">
        <f t="shared" si="22"/>
        <v>75462.5</v>
      </c>
      <c r="AT62" s="23">
        <f t="shared" si="23"/>
        <v>74537.5</v>
      </c>
      <c r="AU62" s="23">
        <f t="shared" si="24"/>
        <v>78700</v>
      </c>
      <c r="AV62" s="23">
        <f t="shared" si="25"/>
        <v>71300</v>
      </c>
      <c r="AW62" s="23">
        <f t="shared" si="26"/>
        <v>75308.333333333328</v>
      </c>
      <c r="AX62" s="23">
        <f t="shared" si="27"/>
        <v>74691.666666666672</v>
      </c>
      <c r="AY62" s="23">
        <f t="shared" si="28"/>
        <v>80550</v>
      </c>
      <c r="AZ62" s="23">
        <f t="shared" si="29"/>
        <v>69450</v>
      </c>
      <c r="BA62" s="23">
        <f t="shared" si="51"/>
        <v>74945.25</v>
      </c>
      <c r="BB62" s="43"/>
      <c r="BC62" s="51">
        <f t="shared" si="2"/>
        <v>75000</v>
      </c>
      <c r="BD62" s="52">
        <f t="shared" si="11"/>
        <v>74945.25</v>
      </c>
      <c r="BE62" s="37">
        <f t="shared" si="33"/>
        <v>54.75</v>
      </c>
      <c r="BF62">
        <f t="shared" si="34"/>
        <v>54.75</v>
      </c>
      <c r="BG62">
        <f t="shared" si="35"/>
        <v>7.2999999999999996E-4</v>
      </c>
    </row>
    <row r="63" spans="1:59">
      <c r="A63" s="1" t="s">
        <v>64</v>
      </c>
      <c r="B63" s="1">
        <v>75700</v>
      </c>
      <c r="Q63">
        <v>60</v>
      </c>
      <c r="R63" s="27" t="str">
        <f t="shared" si="8"/>
        <v>30/10/2023</v>
      </c>
      <c r="S63" s="27">
        <f t="shared" si="8"/>
        <v>74260</v>
      </c>
      <c r="T63" s="4" t="str">
        <f t="shared" si="9"/>
        <v>A6</v>
      </c>
      <c r="V63">
        <v>60</v>
      </c>
      <c r="W63" s="28" t="str">
        <f t="shared" si="0"/>
        <v>30/10/2023</v>
      </c>
      <c r="X63" s="28">
        <f t="shared" si="0"/>
        <v>74260</v>
      </c>
      <c r="Y63" s="28" t="str">
        <f t="shared" si="0"/>
        <v>A6</v>
      </c>
      <c r="Z63" s="5" t="str">
        <f t="shared" si="16"/>
        <v>A6</v>
      </c>
      <c r="AA63" s="5" t="str">
        <f t="shared" si="10"/>
        <v>A6</v>
      </c>
      <c r="AG63" s="49" t="str">
        <f t="shared" si="62"/>
        <v>30/10/2023</v>
      </c>
      <c r="AH63" s="46">
        <f t="shared" si="62"/>
        <v>74260</v>
      </c>
      <c r="AI63" s="49" t="str">
        <f t="shared" si="62"/>
        <v>A6</v>
      </c>
      <c r="AJ63" s="49" t="str">
        <f t="shared" si="17"/>
        <v>A6</v>
      </c>
      <c r="AK63" s="50">
        <f t="shared" si="18"/>
        <v>73860.5</v>
      </c>
      <c r="AL63" s="49" t="str">
        <f t="shared" si="30"/>
        <v>A6</v>
      </c>
      <c r="AM63" s="50">
        <f t="shared" si="18"/>
        <v>73860.5</v>
      </c>
      <c r="AN63" s="56">
        <f t="shared" si="31"/>
        <v>550</v>
      </c>
      <c r="AO63" s="57">
        <f t="shared" si="32"/>
        <v>74535</v>
      </c>
      <c r="AP63" s="23">
        <f t="shared" si="19"/>
        <v>73985</v>
      </c>
      <c r="AQ63" s="23">
        <f t="shared" si="20"/>
        <v>74810</v>
      </c>
      <c r="AR63" s="23">
        <f t="shared" si="21"/>
        <v>73710</v>
      </c>
      <c r="AS63" s="23">
        <f t="shared" si="22"/>
        <v>74397.5</v>
      </c>
      <c r="AT63" s="23">
        <f t="shared" si="23"/>
        <v>74122.5</v>
      </c>
      <c r="AU63" s="23">
        <f t="shared" si="24"/>
        <v>75360</v>
      </c>
      <c r="AV63" s="23">
        <f t="shared" si="25"/>
        <v>73160</v>
      </c>
      <c r="AW63" s="23">
        <f t="shared" si="26"/>
        <v>74351.666666666672</v>
      </c>
      <c r="AX63" s="23">
        <f t="shared" si="27"/>
        <v>74168.333333333328</v>
      </c>
      <c r="AY63" s="23">
        <f t="shared" si="28"/>
        <v>75910</v>
      </c>
      <c r="AZ63" s="23">
        <f t="shared" si="29"/>
        <v>72610</v>
      </c>
      <c r="BA63" s="23">
        <f t="shared" si="51"/>
        <v>74892.75</v>
      </c>
      <c r="BB63" s="43"/>
      <c r="BC63" s="51">
        <f t="shared" si="2"/>
        <v>74260</v>
      </c>
      <c r="BD63" s="52">
        <f t="shared" si="11"/>
        <v>74892.75</v>
      </c>
      <c r="BE63" s="37">
        <f t="shared" si="33"/>
        <v>-632.75</v>
      </c>
      <c r="BF63">
        <f t="shared" si="34"/>
        <v>632.75</v>
      </c>
      <c r="BG63">
        <f t="shared" si="35"/>
        <v>8.5207379477511454E-3</v>
      </c>
    </row>
    <row r="64" spans="1:59">
      <c r="A64" s="1" t="s">
        <v>65</v>
      </c>
      <c r="B64" s="1">
        <v>75840</v>
      </c>
      <c r="Q64">
        <v>61</v>
      </c>
      <c r="R64" s="27" t="str">
        <f t="shared" si="8"/>
        <v>31/10/2023</v>
      </c>
      <c r="S64" s="27">
        <f t="shared" si="8"/>
        <v>75490</v>
      </c>
      <c r="T64" s="4" t="str">
        <f t="shared" si="9"/>
        <v>A6</v>
      </c>
      <c r="V64">
        <v>61</v>
      </c>
      <c r="W64" s="28" t="str">
        <f t="shared" si="0"/>
        <v>31/10/2023</v>
      </c>
      <c r="X64" s="28">
        <f t="shared" si="0"/>
        <v>75490</v>
      </c>
      <c r="Y64" s="28" t="str">
        <f t="shared" si="0"/>
        <v>A6</v>
      </c>
      <c r="Z64" s="5" t="str">
        <f t="shared" si="16"/>
        <v>A6</v>
      </c>
      <c r="AA64" s="5" t="str">
        <f t="shared" si="10"/>
        <v>A6</v>
      </c>
      <c r="AG64" s="49" t="str">
        <f t="shared" ref="AG64:AI127" si="63">W64</f>
        <v>31/10/2023</v>
      </c>
      <c r="AH64" s="46">
        <f t="shared" si="63"/>
        <v>75490</v>
      </c>
      <c r="AI64" s="49" t="str">
        <f t="shared" si="63"/>
        <v>A6</v>
      </c>
      <c r="AJ64" s="49" t="str">
        <f t="shared" si="17"/>
        <v>A6</v>
      </c>
      <c r="AK64" s="50">
        <f t="shared" si="18"/>
        <v>73860.5</v>
      </c>
      <c r="AL64" s="49" t="str">
        <f t="shared" si="30"/>
        <v>A6</v>
      </c>
      <c r="AM64" s="50">
        <f t="shared" si="18"/>
        <v>73860.5</v>
      </c>
      <c r="AN64" s="56">
        <f t="shared" si="31"/>
        <v>490</v>
      </c>
      <c r="AO64" s="57">
        <f t="shared" si="32"/>
        <v>75735</v>
      </c>
      <c r="AP64" s="23">
        <f t="shared" si="19"/>
        <v>75245</v>
      </c>
      <c r="AQ64" s="23">
        <f t="shared" si="20"/>
        <v>75980</v>
      </c>
      <c r="AR64" s="23">
        <f t="shared" si="21"/>
        <v>75000</v>
      </c>
      <c r="AS64" s="23">
        <f t="shared" si="22"/>
        <v>75612.5</v>
      </c>
      <c r="AT64" s="23">
        <f t="shared" si="23"/>
        <v>75367.5</v>
      </c>
      <c r="AU64" s="23">
        <f t="shared" si="24"/>
        <v>76470</v>
      </c>
      <c r="AV64" s="23">
        <f t="shared" si="25"/>
        <v>74510</v>
      </c>
      <c r="AW64" s="23">
        <f t="shared" si="26"/>
        <v>75571.666666666672</v>
      </c>
      <c r="AX64" s="23">
        <f t="shared" si="27"/>
        <v>75408.333333333328</v>
      </c>
      <c r="AY64" s="23">
        <f t="shared" si="28"/>
        <v>76960</v>
      </c>
      <c r="AZ64" s="23">
        <f t="shared" si="29"/>
        <v>74020</v>
      </c>
      <c r="BA64" s="23">
        <f t="shared" si="51"/>
        <v>74197.75</v>
      </c>
      <c r="BB64" s="43"/>
      <c r="BC64" s="51">
        <f t="shared" si="2"/>
        <v>75490</v>
      </c>
      <c r="BD64" s="52">
        <f t="shared" si="11"/>
        <v>74197.75</v>
      </c>
      <c r="BE64" s="37">
        <f t="shared" si="33"/>
        <v>1292.25</v>
      </c>
      <c r="BF64">
        <f t="shared" si="34"/>
        <v>1292.25</v>
      </c>
      <c r="BG64">
        <f t="shared" si="35"/>
        <v>1.7118161345873625E-2</v>
      </c>
    </row>
    <row r="65" spans="1:59">
      <c r="A65" s="1" t="s">
        <v>66</v>
      </c>
      <c r="B65" s="1">
        <v>75360</v>
      </c>
      <c r="Q65">
        <v>62</v>
      </c>
      <c r="R65" s="27" t="str">
        <f t="shared" si="8"/>
        <v>01/11/2023</v>
      </c>
      <c r="S65" s="27">
        <f t="shared" si="8"/>
        <v>75700</v>
      </c>
      <c r="T65" s="4" t="str">
        <f t="shared" si="9"/>
        <v>A6</v>
      </c>
      <c r="V65">
        <v>62</v>
      </c>
      <c r="W65" s="28" t="str">
        <f t="shared" si="0"/>
        <v>01/11/2023</v>
      </c>
      <c r="X65" s="28">
        <f t="shared" si="0"/>
        <v>75700</v>
      </c>
      <c r="Y65" s="28" t="str">
        <f t="shared" si="0"/>
        <v>A6</v>
      </c>
      <c r="Z65" s="5" t="str">
        <f t="shared" si="16"/>
        <v>A6</v>
      </c>
      <c r="AA65" s="5" t="str">
        <f t="shared" si="10"/>
        <v>A6</v>
      </c>
      <c r="AG65" s="49" t="str">
        <f t="shared" si="63"/>
        <v>01/11/2023</v>
      </c>
      <c r="AH65" s="46">
        <f t="shared" si="63"/>
        <v>75700</v>
      </c>
      <c r="AI65" s="49" t="str">
        <f t="shared" si="63"/>
        <v>A6</v>
      </c>
      <c r="AJ65" s="49" t="str">
        <f t="shared" si="17"/>
        <v>A6</v>
      </c>
      <c r="AK65" s="50">
        <f t="shared" si="18"/>
        <v>73860.5</v>
      </c>
      <c r="AL65" s="49" t="str">
        <f t="shared" si="30"/>
        <v>A6</v>
      </c>
      <c r="AM65" s="50">
        <f t="shared" si="18"/>
        <v>73860.5</v>
      </c>
      <c r="AN65" s="56">
        <f t="shared" si="31"/>
        <v>1020</v>
      </c>
      <c r="AO65" s="57">
        <f t="shared" si="32"/>
        <v>76210</v>
      </c>
      <c r="AP65" s="23">
        <f t="shared" si="19"/>
        <v>75190</v>
      </c>
      <c r="AQ65" s="23">
        <f t="shared" si="20"/>
        <v>76720</v>
      </c>
      <c r="AR65" s="23">
        <f t="shared" si="21"/>
        <v>74680</v>
      </c>
      <c r="AS65" s="23">
        <f t="shared" si="22"/>
        <v>75955</v>
      </c>
      <c r="AT65" s="23">
        <f t="shared" si="23"/>
        <v>75445</v>
      </c>
      <c r="AU65" s="23">
        <f t="shared" si="24"/>
        <v>77740</v>
      </c>
      <c r="AV65" s="23">
        <f t="shared" si="25"/>
        <v>73660</v>
      </c>
      <c r="AW65" s="23">
        <f t="shared" si="26"/>
        <v>75870</v>
      </c>
      <c r="AX65" s="23">
        <f t="shared" si="27"/>
        <v>75530</v>
      </c>
      <c r="AY65" s="23">
        <f t="shared" si="28"/>
        <v>78760</v>
      </c>
      <c r="AZ65" s="23">
        <f t="shared" si="29"/>
        <v>72640</v>
      </c>
      <c r="BA65" s="23">
        <f t="shared" si="51"/>
        <v>74797.75</v>
      </c>
      <c r="BB65" s="43"/>
      <c r="BC65" s="51">
        <f t="shared" si="2"/>
        <v>75700</v>
      </c>
      <c r="BD65" s="52">
        <f t="shared" si="11"/>
        <v>74797.75</v>
      </c>
      <c r="BE65" s="37">
        <f t="shared" si="33"/>
        <v>902.25</v>
      </c>
      <c r="BF65">
        <f t="shared" si="34"/>
        <v>902.25</v>
      </c>
      <c r="BG65">
        <f t="shared" si="35"/>
        <v>1.1918758256274769E-2</v>
      </c>
    </row>
    <row r="66" spans="1:59">
      <c r="A66" s="1" t="s">
        <v>67</v>
      </c>
      <c r="B66" s="1">
        <v>74520</v>
      </c>
      <c r="Q66">
        <v>63</v>
      </c>
      <c r="R66" s="27" t="str">
        <f t="shared" si="8"/>
        <v>02/11/2023</v>
      </c>
      <c r="S66" s="27">
        <f t="shared" si="8"/>
        <v>75840</v>
      </c>
      <c r="T66" s="4" t="str">
        <f t="shared" si="9"/>
        <v>A6</v>
      </c>
      <c r="V66">
        <v>63</v>
      </c>
      <c r="W66" s="28" t="str">
        <f t="shared" si="0"/>
        <v>02/11/2023</v>
      </c>
      <c r="X66" s="28">
        <f t="shared" si="0"/>
        <v>75840</v>
      </c>
      <c r="Y66" s="28" t="str">
        <f t="shared" si="0"/>
        <v>A6</v>
      </c>
      <c r="Z66" s="5" t="str">
        <f t="shared" si="16"/>
        <v>A6</v>
      </c>
      <c r="AA66" s="5" t="str">
        <f t="shared" si="10"/>
        <v>A6</v>
      </c>
      <c r="AG66" s="49" t="str">
        <f t="shared" si="63"/>
        <v>02/11/2023</v>
      </c>
      <c r="AH66" s="46">
        <f t="shared" si="63"/>
        <v>75840</v>
      </c>
      <c r="AI66" s="49" t="str">
        <f t="shared" si="63"/>
        <v>A6</v>
      </c>
      <c r="AJ66" s="49" t="str">
        <f t="shared" si="17"/>
        <v>A6</v>
      </c>
      <c r="AK66" s="50">
        <f t="shared" si="18"/>
        <v>73860.5</v>
      </c>
      <c r="AL66" s="49" t="str">
        <f t="shared" si="30"/>
        <v>A6</v>
      </c>
      <c r="AM66" s="50">
        <f t="shared" si="18"/>
        <v>73860.5</v>
      </c>
      <c r="AN66" s="56">
        <f t="shared" si="31"/>
        <v>70</v>
      </c>
      <c r="AO66" s="57">
        <f t="shared" si="32"/>
        <v>75875</v>
      </c>
      <c r="AP66" s="23">
        <f t="shared" si="19"/>
        <v>75805</v>
      </c>
      <c r="AQ66" s="23">
        <f t="shared" si="20"/>
        <v>75910</v>
      </c>
      <c r="AR66" s="23">
        <f t="shared" si="21"/>
        <v>75770</v>
      </c>
      <c r="AS66" s="23">
        <f t="shared" si="22"/>
        <v>75857.5</v>
      </c>
      <c r="AT66" s="23">
        <f t="shared" si="23"/>
        <v>75822.5</v>
      </c>
      <c r="AU66" s="23">
        <f t="shared" si="24"/>
        <v>75980</v>
      </c>
      <c r="AV66" s="23">
        <f t="shared" si="25"/>
        <v>75700</v>
      </c>
      <c r="AW66" s="23">
        <f t="shared" si="26"/>
        <v>75851.666666666672</v>
      </c>
      <c r="AX66" s="23">
        <f t="shared" si="27"/>
        <v>75828.333333333328</v>
      </c>
      <c r="AY66" s="23">
        <f t="shared" si="28"/>
        <v>76050</v>
      </c>
      <c r="AZ66" s="23">
        <f t="shared" si="29"/>
        <v>75630</v>
      </c>
      <c r="BA66" s="23">
        <f t="shared" si="51"/>
        <v>75035.25</v>
      </c>
      <c r="BB66" s="43"/>
      <c r="BC66" s="51">
        <f t="shared" si="2"/>
        <v>75840</v>
      </c>
      <c r="BD66" s="52">
        <f t="shared" si="11"/>
        <v>75035.25</v>
      </c>
      <c r="BE66" s="37">
        <f t="shared" si="33"/>
        <v>804.75</v>
      </c>
      <c r="BF66">
        <f t="shared" si="34"/>
        <v>804.75</v>
      </c>
      <c r="BG66">
        <f t="shared" si="35"/>
        <v>1.0611155063291139E-2</v>
      </c>
    </row>
    <row r="67" spans="1:59">
      <c r="A67" s="1" t="s">
        <v>68</v>
      </c>
      <c r="B67" s="1">
        <v>73800</v>
      </c>
      <c r="Q67">
        <v>64</v>
      </c>
      <c r="R67" s="27" t="str">
        <f t="shared" si="8"/>
        <v>03/11/2023</v>
      </c>
      <c r="S67" s="27">
        <f t="shared" si="8"/>
        <v>75360</v>
      </c>
      <c r="T67" s="4" t="str">
        <f t="shared" si="9"/>
        <v>A6</v>
      </c>
      <c r="V67">
        <v>64</v>
      </c>
      <c r="W67" s="28" t="str">
        <f t="shared" si="0"/>
        <v>03/11/2023</v>
      </c>
      <c r="X67" s="28">
        <f t="shared" si="0"/>
        <v>75360</v>
      </c>
      <c r="Y67" s="28" t="str">
        <f t="shared" si="0"/>
        <v>A6</v>
      </c>
      <c r="Z67" s="5" t="str">
        <f t="shared" si="16"/>
        <v>A6</v>
      </c>
      <c r="AA67" s="5" t="str">
        <f t="shared" si="10"/>
        <v>A6</v>
      </c>
      <c r="AG67" s="49" t="str">
        <f t="shared" si="63"/>
        <v>03/11/2023</v>
      </c>
      <c r="AH67" s="46">
        <f t="shared" si="63"/>
        <v>75360</v>
      </c>
      <c r="AI67" s="49" t="str">
        <f t="shared" si="63"/>
        <v>A6</v>
      </c>
      <c r="AJ67" s="49" t="str">
        <f t="shared" si="17"/>
        <v>A6</v>
      </c>
      <c r="AK67" s="50">
        <f t="shared" si="18"/>
        <v>73860.5</v>
      </c>
      <c r="AL67" s="49" t="str">
        <f t="shared" si="30"/>
        <v>A6</v>
      </c>
      <c r="AM67" s="50">
        <f t="shared" si="18"/>
        <v>73860.5</v>
      </c>
      <c r="AN67" s="56">
        <f t="shared" si="31"/>
        <v>340</v>
      </c>
      <c r="AO67" s="57">
        <f t="shared" si="32"/>
        <v>75530</v>
      </c>
      <c r="AP67" s="23">
        <f t="shared" si="19"/>
        <v>75190</v>
      </c>
      <c r="AQ67" s="23">
        <f t="shared" si="20"/>
        <v>75700</v>
      </c>
      <c r="AR67" s="23">
        <f t="shared" si="21"/>
        <v>75020</v>
      </c>
      <c r="AS67" s="23">
        <f t="shared" si="22"/>
        <v>75445</v>
      </c>
      <c r="AT67" s="23">
        <f t="shared" si="23"/>
        <v>75275</v>
      </c>
      <c r="AU67" s="23">
        <f t="shared" si="24"/>
        <v>76040</v>
      </c>
      <c r="AV67" s="23">
        <f t="shared" si="25"/>
        <v>74680</v>
      </c>
      <c r="AW67" s="23">
        <f t="shared" si="26"/>
        <v>75416.666666666672</v>
      </c>
      <c r="AX67" s="23">
        <f t="shared" si="27"/>
        <v>75303.333333333328</v>
      </c>
      <c r="AY67" s="23">
        <f t="shared" si="28"/>
        <v>76380</v>
      </c>
      <c r="AZ67" s="23">
        <f t="shared" si="29"/>
        <v>74340</v>
      </c>
      <c r="BA67" s="23">
        <f t="shared" si="51"/>
        <v>74867.75</v>
      </c>
      <c r="BB67" s="43"/>
      <c r="BC67" s="51">
        <f t="shared" si="2"/>
        <v>75360</v>
      </c>
      <c r="BD67" s="52">
        <f t="shared" si="11"/>
        <v>74867.75</v>
      </c>
      <c r="BE67" s="37">
        <f t="shared" si="33"/>
        <v>492.25</v>
      </c>
      <c r="BF67">
        <f t="shared" si="34"/>
        <v>492.25</v>
      </c>
      <c r="BG67">
        <f t="shared" si="35"/>
        <v>6.5319798301486202E-3</v>
      </c>
    </row>
    <row r="68" spans="1:59">
      <c r="A68" s="1" t="s">
        <v>69</v>
      </c>
      <c r="B68" s="1">
        <v>72390</v>
      </c>
      <c r="Q68">
        <v>65</v>
      </c>
      <c r="R68" s="27" t="str">
        <f t="shared" si="8"/>
        <v>04/11/2023</v>
      </c>
      <c r="S68" s="27">
        <f t="shared" si="8"/>
        <v>74520</v>
      </c>
      <c r="T68" s="4" t="str">
        <f t="shared" si="9"/>
        <v>A6</v>
      </c>
      <c r="V68">
        <v>65</v>
      </c>
      <c r="W68" s="28" t="str">
        <f t="shared" ref="W68:Y131" si="64">R68</f>
        <v>04/11/2023</v>
      </c>
      <c r="X68" s="28">
        <f t="shared" si="64"/>
        <v>74520</v>
      </c>
      <c r="Y68" s="28" t="str">
        <f t="shared" si="64"/>
        <v>A6</v>
      </c>
      <c r="Z68" s="5" t="str">
        <f t="shared" si="16"/>
        <v>A6</v>
      </c>
      <c r="AA68" s="5" t="str">
        <f t="shared" si="10"/>
        <v>A6</v>
      </c>
      <c r="AG68" s="49" t="str">
        <f t="shared" si="63"/>
        <v>04/11/2023</v>
      </c>
      <c r="AH68" s="46">
        <f t="shared" si="63"/>
        <v>74520</v>
      </c>
      <c r="AI68" s="49" t="str">
        <f t="shared" si="63"/>
        <v>A6</v>
      </c>
      <c r="AJ68" s="49" t="str">
        <f t="shared" si="17"/>
        <v>A6</v>
      </c>
      <c r="AK68" s="50">
        <f t="shared" si="18"/>
        <v>73860.5</v>
      </c>
      <c r="AL68" s="49" t="str">
        <f t="shared" si="30"/>
        <v>A6</v>
      </c>
      <c r="AM68" s="50">
        <f t="shared" si="18"/>
        <v>73860.5</v>
      </c>
      <c r="AN68" s="56">
        <f t="shared" si="31"/>
        <v>360</v>
      </c>
      <c r="AO68" s="57">
        <f t="shared" si="32"/>
        <v>74700</v>
      </c>
      <c r="AP68" s="23">
        <f t="shared" si="19"/>
        <v>74340</v>
      </c>
      <c r="AQ68" s="23">
        <f t="shared" si="20"/>
        <v>74880</v>
      </c>
      <c r="AR68" s="23">
        <f t="shared" si="21"/>
        <v>74160</v>
      </c>
      <c r="AS68" s="23">
        <f t="shared" si="22"/>
        <v>74610</v>
      </c>
      <c r="AT68" s="23">
        <f t="shared" si="23"/>
        <v>74430</v>
      </c>
      <c r="AU68" s="23">
        <f t="shared" si="24"/>
        <v>75240</v>
      </c>
      <c r="AV68" s="23">
        <f t="shared" si="25"/>
        <v>73800</v>
      </c>
      <c r="AW68" s="23">
        <f t="shared" si="26"/>
        <v>74580</v>
      </c>
      <c r="AX68" s="23">
        <f t="shared" si="27"/>
        <v>74460</v>
      </c>
      <c r="AY68" s="23">
        <f t="shared" si="28"/>
        <v>75600</v>
      </c>
      <c r="AZ68" s="23">
        <f t="shared" si="29"/>
        <v>73440</v>
      </c>
      <c r="BA68" s="23">
        <f t="shared" si="51"/>
        <v>74695.25</v>
      </c>
      <c r="BB68" s="43"/>
      <c r="BC68" s="51">
        <f t="shared" ref="BC68:BC131" si="65">AH68</f>
        <v>74520</v>
      </c>
      <c r="BD68" s="52">
        <f t="shared" si="11"/>
        <v>74695.25</v>
      </c>
      <c r="BE68" s="37">
        <f t="shared" si="33"/>
        <v>-175.25</v>
      </c>
      <c r="BF68">
        <f t="shared" si="34"/>
        <v>175.25</v>
      </c>
      <c r="BG68">
        <f t="shared" si="35"/>
        <v>2.351717659688674E-3</v>
      </c>
    </row>
    <row r="69" spans="1:59">
      <c r="A69" s="1" t="s">
        <v>70</v>
      </c>
      <c r="B69" s="1">
        <v>71330</v>
      </c>
      <c r="Q69">
        <v>66</v>
      </c>
      <c r="R69" s="27" t="str">
        <f t="shared" ref="R69:S132" si="66">A67</f>
        <v>05/11/2023</v>
      </c>
      <c r="S69" s="27">
        <f t="shared" si="66"/>
        <v>73800</v>
      </c>
      <c r="T69" s="4" t="str">
        <f t="shared" ref="T69:T132" si="67">VLOOKUP(S69,$N$5:$O$14,2,TRUE)</f>
        <v>A6</v>
      </c>
      <c r="V69">
        <v>66</v>
      </c>
      <c r="W69" s="28" t="str">
        <f t="shared" si="64"/>
        <v>05/11/2023</v>
      </c>
      <c r="X69" s="28">
        <f t="shared" si="64"/>
        <v>73800</v>
      </c>
      <c r="Y69" s="28" t="str">
        <f t="shared" si="64"/>
        <v>A6</v>
      </c>
      <c r="Z69" s="5" t="str">
        <f t="shared" si="16"/>
        <v>A6</v>
      </c>
      <c r="AA69" s="5" t="str">
        <f t="shared" ref="AA69:AA132" si="68">Y69</f>
        <v>A6</v>
      </c>
      <c r="AG69" s="49" t="str">
        <f t="shared" si="63"/>
        <v>05/11/2023</v>
      </c>
      <c r="AH69" s="46">
        <f t="shared" si="63"/>
        <v>73800</v>
      </c>
      <c r="AI69" s="49" t="str">
        <f t="shared" si="63"/>
        <v>A6</v>
      </c>
      <c r="AJ69" s="49" t="str">
        <f t="shared" si="17"/>
        <v>A6</v>
      </c>
      <c r="AK69" s="50">
        <f t="shared" si="18"/>
        <v>73860.5</v>
      </c>
      <c r="AL69" s="49" t="str">
        <f t="shared" si="30"/>
        <v>A6</v>
      </c>
      <c r="AM69" s="50">
        <f t="shared" si="18"/>
        <v>73860.5</v>
      </c>
      <c r="AN69" s="56">
        <f t="shared" si="31"/>
        <v>120</v>
      </c>
      <c r="AO69" s="57">
        <f t="shared" si="32"/>
        <v>73860</v>
      </c>
      <c r="AP69" s="23">
        <f t="shared" si="19"/>
        <v>73740</v>
      </c>
      <c r="AQ69" s="23">
        <f t="shared" si="20"/>
        <v>73920</v>
      </c>
      <c r="AR69" s="23">
        <f t="shared" si="21"/>
        <v>73680</v>
      </c>
      <c r="AS69" s="23">
        <f t="shared" si="22"/>
        <v>73830</v>
      </c>
      <c r="AT69" s="23">
        <f t="shared" si="23"/>
        <v>73770</v>
      </c>
      <c r="AU69" s="23">
        <f t="shared" si="24"/>
        <v>74040</v>
      </c>
      <c r="AV69" s="23">
        <f t="shared" si="25"/>
        <v>73560</v>
      </c>
      <c r="AW69" s="23">
        <f t="shared" si="26"/>
        <v>73820</v>
      </c>
      <c r="AX69" s="23">
        <f t="shared" si="27"/>
        <v>73780</v>
      </c>
      <c r="AY69" s="23">
        <f t="shared" si="28"/>
        <v>74160</v>
      </c>
      <c r="AZ69" s="23">
        <f t="shared" si="29"/>
        <v>73440</v>
      </c>
      <c r="BA69" s="23">
        <f t="shared" si="51"/>
        <v>74280.25</v>
      </c>
      <c r="BB69" s="43"/>
      <c r="BC69" s="51">
        <f t="shared" si="65"/>
        <v>73800</v>
      </c>
      <c r="BD69" s="52">
        <f t="shared" ref="BD69:BD132" si="69">BA69</f>
        <v>74280.25</v>
      </c>
      <c r="BE69" s="37">
        <f t="shared" si="33"/>
        <v>-480.25</v>
      </c>
      <c r="BF69">
        <f t="shared" si="34"/>
        <v>480.25</v>
      </c>
      <c r="BG69">
        <f t="shared" si="35"/>
        <v>6.5074525745257451E-3</v>
      </c>
    </row>
    <row r="70" spans="1:59">
      <c r="A70" s="1" t="s">
        <v>71</v>
      </c>
      <c r="B70" s="1">
        <v>70210</v>
      </c>
      <c r="Q70">
        <v>67</v>
      </c>
      <c r="R70" s="27" t="str">
        <f t="shared" si="66"/>
        <v>06/11/2023</v>
      </c>
      <c r="S70" s="27">
        <f t="shared" si="66"/>
        <v>72390</v>
      </c>
      <c r="T70" s="4" t="str">
        <f t="shared" si="67"/>
        <v>A6</v>
      </c>
      <c r="V70">
        <v>67</v>
      </c>
      <c r="W70" s="28" t="str">
        <f t="shared" si="64"/>
        <v>06/11/2023</v>
      </c>
      <c r="X70" s="28">
        <f t="shared" si="64"/>
        <v>72390</v>
      </c>
      <c r="Y70" s="28" t="str">
        <f t="shared" si="64"/>
        <v>A6</v>
      </c>
      <c r="Z70" s="5" t="str">
        <f t="shared" ref="Z70:Z133" si="70">Y69</f>
        <v>A6</v>
      </c>
      <c r="AA70" s="5" t="str">
        <f t="shared" si="68"/>
        <v>A6</v>
      </c>
      <c r="AG70" s="49" t="str">
        <f t="shared" si="63"/>
        <v>06/11/2023</v>
      </c>
      <c r="AH70" s="46">
        <f t="shared" si="63"/>
        <v>72390</v>
      </c>
      <c r="AI70" s="49" t="str">
        <f t="shared" si="63"/>
        <v>A6</v>
      </c>
      <c r="AJ70" s="49" t="str">
        <f t="shared" ref="AJ70:AJ133" si="71">AI69</f>
        <v>A6</v>
      </c>
      <c r="AK70" s="50">
        <f t="shared" ref="AK70:AK133" si="72">VLOOKUP(AJ70,$AC$18:$AD$27,2,FALSE)</f>
        <v>73860.5</v>
      </c>
      <c r="AL70" s="49" t="str">
        <f t="shared" si="30"/>
        <v>A6</v>
      </c>
      <c r="AM70" s="50">
        <f t="shared" ref="AM70:AM133" si="73">VLOOKUP(AL70,$AC$18:$AD$27,2,FALSE)</f>
        <v>73860.5</v>
      </c>
      <c r="AN70" s="56">
        <f t="shared" si="31"/>
        <v>690</v>
      </c>
      <c r="AO70" s="57">
        <f t="shared" si="32"/>
        <v>72735</v>
      </c>
      <c r="AP70" s="23">
        <f t="shared" ref="AP70:AP133" si="74">AH70-AN70/2</f>
        <v>72045</v>
      </c>
      <c r="AQ70" s="23">
        <f t="shared" ref="AQ70:AQ133" si="75">AH70+AN70</f>
        <v>73080</v>
      </c>
      <c r="AR70" s="23">
        <f t="shared" ref="AR70:AR133" si="76">AH70-AN70</f>
        <v>71700</v>
      </c>
      <c r="AS70" s="23">
        <f t="shared" ref="AS70:AS133" si="77">AH70+AN70/4</f>
        <v>72562.5</v>
      </c>
      <c r="AT70" s="23">
        <f t="shared" ref="AT70:AT133" si="78">AH70-AN70/4</f>
        <v>72217.5</v>
      </c>
      <c r="AU70" s="23">
        <f t="shared" ref="AU70:AU133" si="79">AH70+2*AN70</f>
        <v>73770</v>
      </c>
      <c r="AV70" s="23">
        <f t="shared" ref="AV70:AV133" si="80">AH70-2*AN70</f>
        <v>71010</v>
      </c>
      <c r="AW70" s="23">
        <f t="shared" ref="AW70:AW133" si="81">AH70+AN70/6</f>
        <v>72505</v>
      </c>
      <c r="AX70" s="23">
        <f t="shared" ref="AX70:AX133" si="82">AH70-AN70/6</f>
        <v>72275</v>
      </c>
      <c r="AY70" s="23">
        <f t="shared" ref="AY70:AY133" si="83">AH70+3*AN70</f>
        <v>74460</v>
      </c>
      <c r="AZ70" s="23">
        <f t="shared" ref="AZ70:AZ133" si="84">AH70-3*AN70</f>
        <v>70320</v>
      </c>
      <c r="BA70" s="23">
        <f t="shared" si="51"/>
        <v>73860.25</v>
      </c>
      <c r="BB70" s="43"/>
      <c r="BC70" s="51">
        <f t="shared" si="65"/>
        <v>72390</v>
      </c>
      <c r="BD70" s="52">
        <f t="shared" si="69"/>
        <v>73860.25</v>
      </c>
      <c r="BE70" s="37">
        <f t="shared" si="33"/>
        <v>-1470.25</v>
      </c>
      <c r="BF70">
        <f t="shared" si="34"/>
        <v>1470.25</v>
      </c>
      <c r="BG70">
        <f t="shared" si="35"/>
        <v>2.0310125707970715E-2</v>
      </c>
    </row>
    <row r="71" spans="1:59">
      <c r="A71" s="1" t="s">
        <v>72</v>
      </c>
      <c r="B71" s="1">
        <v>70490</v>
      </c>
      <c r="Q71">
        <v>68</v>
      </c>
      <c r="R71" s="27" t="str">
        <f t="shared" si="66"/>
        <v>07/11/2023</v>
      </c>
      <c r="S71" s="27">
        <f t="shared" si="66"/>
        <v>71330</v>
      </c>
      <c r="T71" s="4" t="str">
        <f t="shared" si="67"/>
        <v>A6</v>
      </c>
      <c r="V71">
        <v>68</v>
      </c>
      <c r="W71" s="28" t="str">
        <f t="shared" si="64"/>
        <v>07/11/2023</v>
      </c>
      <c r="X71" s="28">
        <f t="shared" si="64"/>
        <v>71330</v>
      </c>
      <c r="Y71" s="28" t="str">
        <f t="shared" si="64"/>
        <v>A6</v>
      </c>
      <c r="Z71" s="5" t="str">
        <f t="shared" si="70"/>
        <v>A6</v>
      </c>
      <c r="AA71" s="5" t="str">
        <f t="shared" si="68"/>
        <v>A6</v>
      </c>
      <c r="AG71" s="49" t="str">
        <f t="shared" si="63"/>
        <v>07/11/2023</v>
      </c>
      <c r="AH71" s="46">
        <f t="shared" si="63"/>
        <v>71330</v>
      </c>
      <c r="AI71" s="49" t="str">
        <f t="shared" si="63"/>
        <v>A6</v>
      </c>
      <c r="AJ71" s="49" t="str">
        <f t="shared" si="71"/>
        <v>A6</v>
      </c>
      <c r="AK71" s="50">
        <f t="shared" si="72"/>
        <v>73860.5</v>
      </c>
      <c r="AL71" s="49" t="str">
        <f t="shared" ref="AL71:AL134" si="85">AI71</f>
        <v>A6</v>
      </c>
      <c r="AM71" s="50">
        <f t="shared" si="73"/>
        <v>73860.5</v>
      </c>
      <c r="AN71" s="56">
        <f t="shared" ref="AN71:AN134" si="86">ABS(ABS(AH71-AH70)-ABS(AH70-AH69))</f>
        <v>350</v>
      </c>
      <c r="AO71" s="57">
        <f t="shared" ref="AO71:AO134" si="87">AH71+AN71/2</f>
        <v>71505</v>
      </c>
      <c r="AP71" s="23">
        <f t="shared" si="74"/>
        <v>71155</v>
      </c>
      <c r="AQ71" s="23">
        <f t="shared" si="75"/>
        <v>71680</v>
      </c>
      <c r="AR71" s="23">
        <f t="shared" si="76"/>
        <v>70980</v>
      </c>
      <c r="AS71" s="23">
        <f t="shared" si="77"/>
        <v>71417.5</v>
      </c>
      <c r="AT71" s="23">
        <f t="shared" si="78"/>
        <v>71242.5</v>
      </c>
      <c r="AU71" s="23">
        <f t="shared" si="79"/>
        <v>72030</v>
      </c>
      <c r="AV71" s="23">
        <f t="shared" si="80"/>
        <v>70630</v>
      </c>
      <c r="AW71" s="23">
        <f t="shared" si="81"/>
        <v>71388.333333333328</v>
      </c>
      <c r="AX71" s="23">
        <f t="shared" si="82"/>
        <v>71271.666666666672</v>
      </c>
      <c r="AY71" s="23">
        <f t="shared" si="83"/>
        <v>72380</v>
      </c>
      <c r="AZ71" s="23">
        <f t="shared" si="84"/>
        <v>70280</v>
      </c>
      <c r="BA71" s="23">
        <f t="shared" si="51"/>
        <v>73297.75</v>
      </c>
      <c r="BB71" s="43"/>
      <c r="BC71" s="51">
        <f t="shared" si="65"/>
        <v>71330</v>
      </c>
      <c r="BD71" s="52">
        <f t="shared" si="69"/>
        <v>73297.75</v>
      </c>
      <c r="BE71" s="37">
        <f t="shared" ref="BE71:BE134" si="88">BC71-BD71</f>
        <v>-1967.75</v>
      </c>
      <c r="BF71">
        <f t="shared" ref="BF71:BF134" si="89">ABS(BE71)</f>
        <v>1967.75</v>
      </c>
      <c r="BG71">
        <f t="shared" ref="BG71:BG134" si="90">BF71/BC71</f>
        <v>2.7586569465862892E-2</v>
      </c>
    </row>
    <row r="72" spans="1:59">
      <c r="A72" s="1" t="s">
        <v>73</v>
      </c>
      <c r="B72" s="1">
        <v>70880</v>
      </c>
      <c r="Q72">
        <v>69</v>
      </c>
      <c r="R72" s="27" t="str">
        <f t="shared" si="66"/>
        <v>08/11/2023</v>
      </c>
      <c r="S72" s="27">
        <f t="shared" si="66"/>
        <v>70210</v>
      </c>
      <c r="T72" s="4" t="str">
        <f t="shared" si="67"/>
        <v>A5</v>
      </c>
      <c r="V72">
        <v>69</v>
      </c>
      <c r="W72" s="28" t="str">
        <f t="shared" si="64"/>
        <v>08/11/2023</v>
      </c>
      <c r="X72" s="28">
        <f t="shared" si="64"/>
        <v>70210</v>
      </c>
      <c r="Y72" s="28" t="str">
        <f t="shared" si="64"/>
        <v>A5</v>
      </c>
      <c r="Z72" s="5" t="str">
        <f t="shared" si="70"/>
        <v>A6</v>
      </c>
      <c r="AA72" s="5" t="str">
        <f t="shared" si="68"/>
        <v>A5</v>
      </c>
      <c r="AG72" s="49" t="str">
        <f t="shared" si="63"/>
        <v>08/11/2023</v>
      </c>
      <c r="AH72" s="46">
        <f t="shared" si="63"/>
        <v>70210</v>
      </c>
      <c r="AI72" s="49" t="str">
        <f t="shared" si="63"/>
        <v>A5</v>
      </c>
      <c r="AJ72" s="49" t="str">
        <f t="shared" si="71"/>
        <v>A6</v>
      </c>
      <c r="AK72" s="50">
        <f t="shared" si="72"/>
        <v>73860.5</v>
      </c>
      <c r="AL72" s="49" t="str">
        <f t="shared" si="85"/>
        <v>A5</v>
      </c>
      <c r="AM72" s="50">
        <f t="shared" si="73"/>
        <v>67829.5</v>
      </c>
      <c r="AN72" s="56">
        <f t="shared" si="86"/>
        <v>60</v>
      </c>
      <c r="AO72" s="57">
        <f t="shared" si="87"/>
        <v>70240</v>
      </c>
      <c r="AP72" s="23">
        <f t="shared" si="74"/>
        <v>70180</v>
      </c>
      <c r="AQ72" s="23">
        <f t="shared" si="75"/>
        <v>70270</v>
      </c>
      <c r="AR72" s="23">
        <f t="shared" si="76"/>
        <v>70150</v>
      </c>
      <c r="AS72" s="23">
        <f t="shared" si="77"/>
        <v>70225</v>
      </c>
      <c r="AT72" s="23">
        <f t="shared" si="78"/>
        <v>70195</v>
      </c>
      <c r="AU72" s="23">
        <f t="shared" si="79"/>
        <v>70330</v>
      </c>
      <c r="AV72" s="23">
        <f t="shared" si="80"/>
        <v>70090</v>
      </c>
      <c r="AW72" s="23">
        <f t="shared" si="81"/>
        <v>70220</v>
      </c>
      <c r="AX72" s="23">
        <f t="shared" si="82"/>
        <v>70200</v>
      </c>
      <c r="AY72" s="23">
        <f t="shared" si="83"/>
        <v>70390</v>
      </c>
      <c r="AZ72" s="23">
        <f t="shared" si="84"/>
        <v>70030</v>
      </c>
      <c r="BA72" s="23">
        <f t="shared" ref="BA72:BA107" si="91">(AO71+AM71)/(1+1)</f>
        <v>72682.75</v>
      </c>
      <c r="BB72" s="43"/>
      <c r="BC72" s="51">
        <f t="shared" si="65"/>
        <v>70210</v>
      </c>
      <c r="BD72" s="52">
        <f t="shared" si="69"/>
        <v>72682.75</v>
      </c>
      <c r="BE72" s="37">
        <f t="shared" si="88"/>
        <v>-2472.75</v>
      </c>
      <c r="BF72">
        <f t="shared" si="89"/>
        <v>2472.75</v>
      </c>
      <c r="BG72">
        <f t="shared" si="90"/>
        <v>3.5219341974077764E-2</v>
      </c>
    </row>
    <row r="73" spans="1:59">
      <c r="A73" s="1" t="s">
        <v>74</v>
      </c>
      <c r="B73" s="1">
        <v>70660</v>
      </c>
      <c r="Q73">
        <v>70</v>
      </c>
      <c r="R73" s="27" t="str">
        <f t="shared" si="66"/>
        <v>09/11/2023</v>
      </c>
      <c r="S73" s="27">
        <f t="shared" si="66"/>
        <v>70490</v>
      </c>
      <c r="T73" s="4" t="str">
        <f t="shared" si="67"/>
        <v>A5</v>
      </c>
      <c r="V73">
        <v>70</v>
      </c>
      <c r="W73" s="28" t="str">
        <f t="shared" si="64"/>
        <v>09/11/2023</v>
      </c>
      <c r="X73" s="28">
        <f t="shared" si="64"/>
        <v>70490</v>
      </c>
      <c r="Y73" s="28" t="str">
        <f t="shared" si="64"/>
        <v>A5</v>
      </c>
      <c r="Z73" s="5" t="str">
        <f t="shared" si="70"/>
        <v>A5</v>
      </c>
      <c r="AA73" s="5" t="str">
        <f t="shared" si="68"/>
        <v>A5</v>
      </c>
      <c r="AG73" s="49" t="str">
        <f t="shared" si="63"/>
        <v>09/11/2023</v>
      </c>
      <c r="AH73" s="46">
        <f t="shared" si="63"/>
        <v>70490</v>
      </c>
      <c r="AI73" s="49" t="str">
        <f t="shared" si="63"/>
        <v>A5</v>
      </c>
      <c r="AJ73" s="49" t="str">
        <f t="shared" si="71"/>
        <v>A5</v>
      </c>
      <c r="AK73" s="50">
        <f t="shared" si="72"/>
        <v>67829.5</v>
      </c>
      <c r="AL73" s="49" t="str">
        <f t="shared" si="85"/>
        <v>A5</v>
      </c>
      <c r="AM73" s="50">
        <f t="shared" si="73"/>
        <v>67829.5</v>
      </c>
      <c r="AN73" s="56">
        <f t="shared" si="86"/>
        <v>840</v>
      </c>
      <c r="AO73" s="57">
        <f t="shared" si="87"/>
        <v>70910</v>
      </c>
      <c r="AP73" s="23">
        <f t="shared" si="74"/>
        <v>70070</v>
      </c>
      <c r="AQ73" s="23">
        <f t="shared" si="75"/>
        <v>71330</v>
      </c>
      <c r="AR73" s="23">
        <f t="shared" si="76"/>
        <v>69650</v>
      </c>
      <c r="AS73" s="23">
        <f t="shared" si="77"/>
        <v>70700</v>
      </c>
      <c r="AT73" s="23">
        <f t="shared" si="78"/>
        <v>70280</v>
      </c>
      <c r="AU73" s="23">
        <f t="shared" si="79"/>
        <v>72170</v>
      </c>
      <c r="AV73" s="23">
        <f t="shared" si="80"/>
        <v>68810</v>
      </c>
      <c r="AW73" s="23">
        <f t="shared" si="81"/>
        <v>70630</v>
      </c>
      <c r="AX73" s="23">
        <f t="shared" si="82"/>
        <v>70350</v>
      </c>
      <c r="AY73" s="23">
        <f t="shared" si="83"/>
        <v>73010</v>
      </c>
      <c r="AZ73" s="23">
        <f t="shared" si="84"/>
        <v>67970</v>
      </c>
      <c r="BA73" s="23">
        <f t="shared" si="91"/>
        <v>69034.75</v>
      </c>
      <c r="BB73" s="43"/>
      <c r="BC73" s="51">
        <f t="shared" si="65"/>
        <v>70490</v>
      </c>
      <c r="BD73" s="52">
        <f t="shared" si="69"/>
        <v>69034.75</v>
      </c>
      <c r="BE73" s="37">
        <f t="shared" si="88"/>
        <v>1455.25</v>
      </c>
      <c r="BF73">
        <f t="shared" si="89"/>
        <v>1455.25</v>
      </c>
      <c r="BG73">
        <f t="shared" si="90"/>
        <v>2.0644772308128813E-2</v>
      </c>
    </row>
    <row r="74" spans="1:59">
      <c r="A74" s="1" t="s">
        <v>75</v>
      </c>
      <c r="B74" s="1">
        <v>71720</v>
      </c>
      <c r="Q74">
        <v>71</v>
      </c>
      <c r="R74" s="27" t="str">
        <f t="shared" si="66"/>
        <v>10/11/2023</v>
      </c>
      <c r="S74" s="27">
        <f t="shared" si="66"/>
        <v>70880</v>
      </c>
      <c r="T74" s="4" t="str">
        <f t="shared" si="67"/>
        <v>A6</v>
      </c>
      <c r="V74">
        <v>71</v>
      </c>
      <c r="W74" s="28" t="str">
        <f t="shared" si="64"/>
        <v>10/11/2023</v>
      </c>
      <c r="X74" s="28">
        <f t="shared" si="64"/>
        <v>70880</v>
      </c>
      <c r="Y74" s="28" t="str">
        <f t="shared" si="64"/>
        <v>A6</v>
      </c>
      <c r="Z74" s="5" t="str">
        <f t="shared" si="70"/>
        <v>A5</v>
      </c>
      <c r="AA74" s="5" t="str">
        <f t="shared" si="68"/>
        <v>A6</v>
      </c>
      <c r="AG74" s="49" t="str">
        <f t="shared" si="63"/>
        <v>10/11/2023</v>
      </c>
      <c r="AH74" s="46">
        <f t="shared" si="63"/>
        <v>70880</v>
      </c>
      <c r="AI74" s="49" t="str">
        <f t="shared" si="63"/>
        <v>A6</v>
      </c>
      <c r="AJ74" s="49" t="str">
        <f t="shared" si="71"/>
        <v>A5</v>
      </c>
      <c r="AK74" s="50">
        <f t="shared" si="72"/>
        <v>67829.5</v>
      </c>
      <c r="AL74" s="49" t="str">
        <f t="shared" si="85"/>
        <v>A6</v>
      </c>
      <c r="AM74" s="50">
        <f t="shared" si="73"/>
        <v>73860.5</v>
      </c>
      <c r="AN74" s="56">
        <f t="shared" si="86"/>
        <v>110</v>
      </c>
      <c r="AO74" s="57">
        <f t="shared" si="87"/>
        <v>70935</v>
      </c>
      <c r="AP74" s="23">
        <f t="shared" si="74"/>
        <v>70825</v>
      </c>
      <c r="AQ74" s="23">
        <f t="shared" si="75"/>
        <v>70990</v>
      </c>
      <c r="AR74" s="23">
        <f t="shared" si="76"/>
        <v>70770</v>
      </c>
      <c r="AS74" s="23">
        <f t="shared" si="77"/>
        <v>70907.5</v>
      </c>
      <c r="AT74" s="23">
        <f t="shared" si="78"/>
        <v>70852.5</v>
      </c>
      <c r="AU74" s="23">
        <f t="shared" si="79"/>
        <v>71100</v>
      </c>
      <c r="AV74" s="23">
        <f t="shared" si="80"/>
        <v>70660</v>
      </c>
      <c r="AW74" s="23">
        <f t="shared" si="81"/>
        <v>70898.333333333328</v>
      </c>
      <c r="AX74" s="23">
        <f t="shared" si="82"/>
        <v>70861.666666666672</v>
      </c>
      <c r="AY74" s="23">
        <f t="shared" si="83"/>
        <v>71210</v>
      </c>
      <c r="AZ74" s="23">
        <f t="shared" si="84"/>
        <v>70550</v>
      </c>
      <c r="BA74" s="23">
        <f t="shared" si="91"/>
        <v>69369.75</v>
      </c>
      <c r="BB74" s="43"/>
      <c r="BC74" s="51">
        <f t="shared" si="65"/>
        <v>70880</v>
      </c>
      <c r="BD74" s="52">
        <f t="shared" si="69"/>
        <v>69369.75</v>
      </c>
      <c r="BE74" s="37">
        <f t="shared" si="88"/>
        <v>1510.25</v>
      </c>
      <c r="BF74">
        <f t="shared" si="89"/>
        <v>1510.25</v>
      </c>
      <c r="BG74">
        <f t="shared" si="90"/>
        <v>2.1307138826185103E-2</v>
      </c>
    </row>
    <row r="75" spans="1:59">
      <c r="A75" s="1" t="s">
        <v>76</v>
      </c>
      <c r="B75" s="1">
        <v>68920</v>
      </c>
      <c r="Q75">
        <v>72</v>
      </c>
      <c r="R75" s="27" t="str">
        <f t="shared" si="66"/>
        <v>11/11/2023</v>
      </c>
      <c r="S75" s="27">
        <f t="shared" si="66"/>
        <v>70660</v>
      </c>
      <c r="T75" s="4" t="str">
        <f t="shared" si="67"/>
        <v>A5</v>
      </c>
      <c r="V75">
        <v>72</v>
      </c>
      <c r="W75" s="28" t="str">
        <f t="shared" si="64"/>
        <v>11/11/2023</v>
      </c>
      <c r="X75" s="28">
        <f t="shared" si="64"/>
        <v>70660</v>
      </c>
      <c r="Y75" s="28" t="str">
        <f t="shared" si="64"/>
        <v>A5</v>
      </c>
      <c r="Z75" s="5" t="str">
        <f t="shared" si="70"/>
        <v>A6</v>
      </c>
      <c r="AA75" s="5" t="str">
        <f t="shared" si="68"/>
        <v>A5</v>
      </c>
      <c r="AG75" s="49" t="str">
        <f t="shared" si="63"/>
        <v>11/11/2023</v>
      </c>
      <c r="AH75" s="46">
        <f t="shared" si="63"/>
        <v>70660</v>
      </c>
      <c r="AI75" s="49" t="str">
        <f t="shared" si="63"/>
        <v>A5</v>
      </c>
      <c r="AJ75" s="49" t="str">
        <f t="shared" si="71"/>
        <v>A6</v>
      </c>
      <c r="AK75" s="50">
        <f t="shared" si="72"/>
        <v>73860.5</v>
      </c>
      <c r="AL75" s="49" t="str">
        <f t="shared" si="85"/>
        <v>A5</v>
      </c>
      <c r="AM75" s="50">
        <f t="shared" si="73"/>
        <v>67829.5</v>
      </c>
      <c r="AN75" s="56">
        <f t="shared" si="86"/>
        <v>170</v>
      </c>
      <c r="AO75" s="57">
        <f t="shared" si="87"/>
        <v>70745</v>
      </c>
      <c r="AP75" s="23">
        <f t="shared" si="74"/>
        <v>70575</v>
      </c>
      <c r="AQ75" s="23">
        <f t="shared" si="75"/>
        <v>70830</v>
      </c>
      <c r="AR75" s="23">
        <f t="shared" si="76"/>
        <v>70490</v>
      </c>
      <c r="AS75" s="23">
        <f t="shared" si="77"/>
        <v>70702.5</v>
      </c>
      <c r="AT75" s="23">
        <f t="shared" si="78"/>
        <v>70617.5</v>
      </c>
      <c r="AU75" s="23">
        <f t="shared" si="79"/>
        <v>71000</v>
      </c>
      <c r="AV75" s="23">
        <f t="shared" si="80"/>
        <v>70320</v>
      </c>
      <c r="AW75" s="23">
        <f t="shared" si="81"/>
        <v>70688.333333333328</v>
      </c>
      <c r="AX75" s="23">
        <f t="shared" si="82"/>
        <v>70631.666666666672</v>
      </c>
      <c r="AY75" s="23">
        <f t="shared" si="83"/>
        <v>71170</v>
      </c>
      <c r="AZ75" s="23">
        <f t="shared" si="84"/>
        <v>70150</v>
      </c>
      <c r="BA75" s="23">
        <f t="shared" si="91"/>
        <v>72397.75</v>
      </c>
      <c r="BB75" s="43"/>
      <c r="BC75" s="51">
        <f t="shared" si="65"/>
        <v>70660</v>
      </c>
      <c r="BD75" s="52">
        <f t="shared" si="69"/>
        <v>72397.75</v>
      </c>
      <c r="BE75" s="37">
        <f t="shared" si="88"/>
        <v>-1737.75</v>
      </c>
      <c r="BF75">
        <f t="shared" si="89"/>
        <v>1737.75</v>
      </c>
      <c r="BG75">
        <f t="shared" si="90"/>
        <v>2.4593121992640816E-2</v>
      </c>
    </row>
    <row r="76" spans="1:59">
      <c r="A76" s="1" t="s">
        <v>77</v>
      </c>
      <c r="B76" s="1">
        <v>67070</v>
      </c>
      <c r="Q76">
        <v>73</v>
      </c>
      <c r="R76" s="27" t="str">
        <f t="shared" si="66"/>
        <v>12/11/2023</v>
      </c>
      <c r="S76" s="27">
        <f t="shared" si="66"/>
        <v>71720</v>
      </c>
      <c r="T76" s="4" t="str">
        <f t="shared" si="67"/>
        <v>A6</v>
      </c>
      <c r="V76">
        <v>73</v>
      </c>
      <c r="W76" s="28" t="str">
        <f t="shared" si="64"/>
        <v>12/11/2023</v>
      </c>
      <c r="X76" s="28">
        <f t="shared" si="64"/>
        <v>71720</v>
      </c>
      <c r="Y76" s="28" t="str">
        <f t="shared" si="64"/>
        <v>A6</v>
      </c>
      <c r="Z76" s="5" t="str">
        <f t="shared" si="70"/>
        <v>A5</v>
      </c>
      <c r="AA76" s="5" t="str">
        <f t="shared" si="68"/>
        <v>A6</v>
      </c>
      <c r="AG76" s="49" t="str">
        <f t="shared" si="63"/>
        <v>12/11/2023</v>
      </c>
      <c r="AH76" s="46">
        <f t="shared" si="63"/>
        <v>71720</v>
      </c>
      <c r="AI76" s="49" t="str">
        <f t="shared" si="63"/>
        <v>A6</v>
      </c>
      <c r="AJ76" s="49" t="str">
        <f t="shared" si="71"/>
        <v>A5</v>
      </c>
      <c r="AK76" s="50">
        <f t="shared" si="72"/>
        <v>67829.5</v>
      </c>
      <c r="AL76" s="49" t="str">
        <f t="shared" si="85"/>
        <v>A6</v>
      </c>
      <c r="AM76" s="50">
        <f t="shared" si="73"/>
        <v>73860.5</v>
      </c>
      <c r="AN76" s="56">
        <f t="shared" si="86"/>
        <v>840</v>
      </c>
      <c r="AO76" s="57">
        <f t="shared" si="87"/>
        <v>72140</v>
      </c>
      <c r="AP76" s="23">
        <f t="shared" si="74"/>
        <v>71300</v>
      </c>
      <c r="AQ76" s="23">
        <f t="shared" si="75"/>
        <v>72560</v>
      </c>
      <c r="AR76" s="23">
        <f t="shared" si="76"/>
        <v>70880</v>
      </c>
      <c r="AS76" s="23">
        <f t="shared" si="77"/>
        <v>71930</v>
      </c>
      <c r="AT76" s="23">
        <f t="shared" si="78"/>
        <v>71510</v>
      </c>
      <c r="AU76" s="23">
        <f t="shared" si="79"/>
        <v>73400</v>
      </c>
      <c r="AV76" s="23">
        <f t="shared" si="80"/>
        <v>70040</v>
      </c>
      <c r="AW76" s="23">
        <f t="shared" si="81"/>
        <v>71860</v>
      </c>
      <c r="AX76" s="23">
        <f t="shared" si="82"/>
        <v>71580</v>
      </c>
      <c r="AY76" s="23">
        <f t="shared" si="83"/>
        <v>74240</v>
      </c>
      <c r="AZ76" s="23">
        <f t="shared" si="84"/>
        <v>69200</v>
      </c>
      <c r="BA76" s="23">
        <f t="shared" si="91"/>
        <v>69287.25</v>
      </c>
      <c r="BB76" s="43"/>
      <c r="BC76" s="51">
        <f t="shared" si="65"/>
        <v>71720</v>
      </c>
      <c r="BD76" s="52">
        <f t="shared" si="69"/>
        <v>69287.25</v>
      </c>
      <c r="BE76" s="37">
        <f t="shared" si="88"/>
        <v>2432.75</v>
      </c>
      <c r="BF76">
        <f t="shared" si="89"/>
        <v>2432.75</v>
      </c>
      <c r="BG76">
        <f t="shared" si="90"/>
        <v>3.3920105967651978E-2</v>
      </c>
    </row>
    <row r="77" spans="1:59">
      <c r="A77" s="1" t="s">
        <v>78</v>
      </c>
      <c r="B77" s="1">
        <v>67490</v>
      </c>
      <c r="Q77">
        <v>74</v>
      </c>
      <c r="R77" s="27" t="str">
        <f t="shared" si="66"/>
        <v>13/11/2023</v>
      </c>
      <c r="S77" s="27">
        <f t="shared" si="66"/>
        <v>68920</v>
      </c>
      <c r="T77" s="4" t="str">
        <f t="shared" si="67"/>
        <v>A5</v>
      </c>
      <c r="V77">
        <v>74</v>
      </c>
      <c r="W77" s="28" t="str">
        <f t="shared" si="64"/>
        <v>13/11/2023</v>
      </c>
      <c r="X77" s="28">
        <f t="shared" si="64"/>
        <v>68920</v>
      </c>
      <c r="Y77" s="28" t="str">
        <f t="shared" si="64"/>
        <v>A5</v>
      </c>
      <c r="Z77" s="5" t="str">
        <f t="shared" si="70"/>
        <v>A6</v>
      </c>
      <c r="AA77" s="5" t="str">
        <f t="shared" si="68"/>
        <v>A5</v>
      </c>
      <c r="AG77" s="49" t="str">
        <f t="shared" si="63"/>
        <v>13/11/2023</v>
      </c>
      <c r="AH77" s="46">
        <f t="shared" si="63"/>
        <v>68920</v>
      </c>
      <c r="AI77" s="49" t="str">
        <f t="shared" si="63"/>
        <v>A5</v>
      </c>
      <c r="AJ77" s="49" t="str">
        <f t="shared" si="71"/>
        <v>A6</v>
      </c>
      <c r="AK77" s="50">
        <f t="shared" si="72"/>
        <v>73860.5</v>
      </c>
      <c r="AL77" s="49" t="str">
        <f t="shared" si="85"/>
        <v>A5</v>
      </c>
      <c r="AM77" s="50">
        <f t="shared" si="73"/>
        <v>67829.5</v>
      </c>
      <c r="AN77" s="56">
        <f t="shared" si="86"/>
        <v>1740</v>
      </c>
      <c r="AO77" s="57">
        <f t="shared" si="87"/>
        <v>69790</v>
      </c>
      <c r="AP77" s="23">
        <f t="shared" si="74"/>
        <v>68050</v>
      </c>
      <c r="AQ77" s="23">
        <f t="shared" si="75"/>
        <v>70660</v>
      </c>
      <c r="AR77" s="23">
        <f t="shared" si="76"/>
        <v>67180</v>
      </c>
      <c r="AS77" s="23">
        <f t="shared" si="77"/>
        <v>69355</v>
      </c>
      <c r="AT77" s="23">
        <f t="shared" si="78"/>
        <v>68485</v>
      </c>
      <c r="AU77" s="23">
        <f t="shared" si="79"/>
        <v>72400</v>
      </c>
      <c r="AV77" s="23">
        <f t="shared" si="80"/>
        <v>65440</v>
      </c>
      <c r="AW77" s="23">
        <f t="shared" si="81"/>
        <v>69210</v>
      </c>
      <c r="AX77" s="23">
        <f t="shared" si="82"/>
        <v>68630</v>
      </c>
      <c r="AY77" s="23">
        <f t="shared" si="83"/>
        <v>74140</v>
      </c>
      <c r="AZ77" s="23">
        <f t="shared" si="84"/>
        <v>63700</v>
      </c>
      <c r="BA77" s="23">
        <f t="shared" si="91"/>
        <v>73000.25</v>
      </c>
      <c r="BB77" s="43"/>
      <c r="BC77" s="51">
        <f t="shared" si="65"/>
        <v>68920</v>
      </c>
      <c r="BD77" s="52">
        <f t="shared" si="69"/>
        <v>73000.25</v>
      </c>
      <c r="BE77" s="37">
        <f t="shared" si="88"/>
        <v>-4080.25</v>
      </c>
      <c r="BF77">
        <f t="shared" si="89"/>
        <v>4080.25</v>
      </c>
      <c r="BG77">
        <f t="shared" si="90"/>
        <v>5.9202698781195592E-2</v>
      </c>
    </row>
    <row r="78" spans="1:59">
      <c r="A78" s="1" t="s">
        <v>79</v>
      </c>
      <c r="B78" s="1">
        <v>67000</v>
      </c>
      <c r="Q78">
        <v>75</v>
      </c>
      <c r="R78" s="27" t="str">
        <f t="shared" si="66"/>
        <v>14/11/2023</v>
      </c>
      <c r="S78" s="27">
        <f t="shared" si="66"/>
        <v>67070</v>
      </c>
      <c r="T78" s="4" t="str">
        <f t="shared" si="67"/>
        <v>A5</v>
      </c>
      <c r="V78">
        <v>75</v>
      </c>
      <c r="W78" s="28" t="str">
        <f t="shared" si="64"/>
        <v>14/11/2023</v>
      </c>
      <c r="X78" s="28">
        <f t="shared" si="64"/>
        <v>67070</v>
      </c>
      <c r="Y78" s="28" t="str">
        <f t="shared" si="64"/>
        <v>A5</v>
      </c>
      <c r="Z78" s="5" t="str">
        <f t="shared" si="70"/>
        <v>A5</v>
      </c>
      <c r="AA78" s="5" t="str">
        <f t="shared" si="68"/>
        <v>A5</v>
      </c>
      <c r="AG78" s="49" t="str">
        <f t="shared" si="63"/>
        <v>14/11/2023</v>
      </c>
      <c r="AH78" s="46">
        <f t="shared" si="63"/>
        <v>67070</v>
      </c>
      <c r="AI78" s="49" t="str">
        <f t="shared" si="63"/>
        <v>A5</v>
      </c>
      <c r="AJ78" s="49" t="str">
        <f t="shared" si="71"/>
        <v>A5</v>
      </c>
      <c r="AK78" s="50">
        <f t="shared" si="72"/>
        <v>67829.5</v>
      </c>
      <c r="AL78" s="49" t="str">
        <f t="shared" si="85"/>
        <v>A5</v>
      </c>
      <c r="AM78" s="50">
        <f t="shared" si="73"/>
        <v>67829.5</v>
      </c>
      <c r="AN78" s="56">
        <f t="shared" si="86"/>
        <v>950</v>
      </c>
      <c r="AO78" s="57">
        <f t="shared" si="87"/>
        <v>67545</v>
      </c>
      <c r="AP78" s="23">
        <f t="shared" si="74"/>
        <v>66595</v>
      </c>
      <c r="AQ78" s="23">
        <f t="shared" si="75"/>
        <v>68020</v>
      </c>
      <c r="AR78" s="23">
        <f t="shared" si="76"/>
        <v>66120</v>
      </c>
      <c r="AS78" s="23">
        <f t="shared" si="77"/>
        <v>67307.5</v>
      </c>
      <c r="AT78" s="23">
        <f t="shared" si="78"/>
        <v>66832.5</v>
      </c>
      <c r="AU78" s="23">
        <f t="shared" si="79"/>
        <v>68970</v>
      </c>
      <c r="AV78" s="23">
        <f t="shared" si="80"/>
        <v>65170</v>
      </c>
      <c r="AW78" s="23">
        <f t="shared" si="81"/>
        <v>67228.333333333328</v>
      </c>
      <c r="AX78" s="23">
        <f t="shared" si="82"/>
        <v>66911.666666666672</v>
      </c>
      <c r="AY78" s="23">
        <f t="shared" si="83"/>
        <v>69920</v>
      </c>
      <c r="AZ78" s="23">
        <f t="shared" si="84"/>
        <v>64220</v>
      </c>
      <c r="BA78" s="23">
        <f t="shared" si="91"/>
        <v>68809.75</v>
      </c>
      <c r="BB78" s="43"/>
      <c r="BC78" s="51">
        <f t="shared" si="65"/>
        <v>67070</v>
      </c>
      <c r="BD78" s="52">
        <f t="shared" si="69"/>
        <v>68809.75</v>
      </c>
      <c r="BE78" s="37">
        <f t="shared" si="88"/>
        <v>-1739.75</v>
      </c>
      <c r="BF78">
        <f t="shared" si="89"/>
        <v>1739.75</v>
      </c>
      <c r="BG78">
        <f t="shared" si="90"/>
        <v>2.5939317131355302E-2</v>
      </c>
    </row>
    <row r="79" spans="1:59">
      <c r="A79" s="1" t="s">
        <v>80</v>
      </c>
      <c r="B79" s="1">
        <v>68140</v>
      </c>
      <c r="Q79">
        <v>76</v>
      </c>
      <c r="R79" s="27" t="str">
        <f t="shared" si="66"/>
        <v>15/11/2023</v>
      </c>
      <c r="S79" s="27">
        <f t="shared" si="66"/>
        <v>67490</v>
      </c>
      <c r="T79" s="4" t="str">
        <f t="shared" si="67"/>
        <v>A5</v>
      </c>
      <c r="V79">
        <v>76</v>
      </c>
      <c r="W79" s="28" t="str">
        <f t="shared" si="64"/>
        <v>15/11/2023</v>
      </c>
      <c r="X79" s="28">
        <f t="shared" si="64"/>
        <v>67490</v>
      </c>
      <c r="Y79" s="28" t="str">
        <f t="shared" si="64"/>
        <v>A5</v>
      </c>
      <c r="Z79" s="5" t="str">
        <f t="shared" si="70"/>
        <v>A5</v>
      </c>
      <c r="AA79" s="5" t="str">
        <f t="shared" si="68"/>
        <v>A5</v>
      </c>
      <c r="AG79" s="49" t="str">
        <f t="shared" si="63"/>
        <v>15/11/2023</v>
      </c>
      <c r="AH79" s="46">
        <f t="shared" si="63"/>
        <v>67490</v>
      </c>
      <c r="AI79" s="49" t="str">
        <f t="shared" si="63"/>
        <v>A5</v>
      </c>
      <c r="AJ79" s="49" t="str">
        <f t="shared" si="71"/>
        <v>A5</v>
      </c>
      <c r="AK79" s="50">
        <f t="shared" si="72"/>
        <v>67829.5</v>
      </c>
      <c r="AL79" s="49" t="str">
        <f t="shared" si="85"/>
        <v>A5</v>
      </c>
      <c r="AM79" s="50">
        <f t="shared" si="73"/>
        <v>67829.5</v>
      </c>
      <c r="AN79" s="56">
        <f t="shared" si="86"/>
        <v>1430</v>
      </c>
      <c r="AO79" s="57">
        <f t="shared" si="87"/>
        <v>68205</v>
      </c>
      <c r="AP79" s="23">
        <f t="shared" si="74"/>
        <v>66775</v>
      </c>
      <c r="AQ79" s="23">
        <f t="shared" si="75"/>
        <v>68920</v>
      </c>
      <c r="AR79" s="23">
        <f t="shared" si="76"/>
        <v>66060</v>
      </c>
      <c r="AS79" s="23">
        <f t="shared" si="77"/>
        <v>67847.5</v>
      </c>
      <c r="AT79" s="23">
        <f t="shared" si="78"/>
        <v>67132.5</v>
      </c>
      <c r="AU79" s="23">
        <f t="shared" si="79"/>
        <v>70350</v>
      </c>
      <c r="AV79" s="23">
        <f t="shared" si="80"/>
        <v>64630</v>
      </c>
      <c r="AW79" s="23">
        <f t="shared" si="81"/>
        <v>67728.333333333328</v>
      </c>
      <c r="AX79" s="23">
        <f t="shared" si="82"/>
        <v>67251.666666666672</v>
      </c>
      <c r="AY79" s="23">
        <f t="shared" si="83"/>
        <v>71780</v>
      </c>
      <c r="AZ79" s="23">
        <f t="shared" si="84"/>
        <v>63200</v>
      </c>
      <c r="BA79" s="23">
        <f t="shared" si="91"/>
        <v>67687.25</v>
      </c>
      <c r="BB79" s="43"/>
      <c r="BC79" s="51">
        <f t="shared" si="65"/>
        <v>67490</v>
      </c>
      <c r="BD79" s="52">
        <f t="shared" si="69"/>
        <v>67687.25</v>
      </c>
      <c r="BE79" s="37">
        <f t="shared" si="88"/>
        <v>-197.25</v>
      </c>
      <c r="BF79">
        <f t="shared" si="89"/>
        <v>197.25</v>
      </c>
      <c r="BG79">
        <f t="shared" si="90"/>
        <v>2.9226552081789894E-3</v>
      </c>
    </row>
    <row r="80" spans="1:59">
      <c r="A80" s="1" t="s">
        <v>81</v>
      </c>
      <c r="B80" s="1">
        <v>69290</v>
      </c>
      <c r="Q80">
        <v>77</v>
      </c>
      <c r="R80" s="27" t="str">
        <f t="shared" si="66"/>
        <v>16/11/2023</v>
      </c>
      <c r="S80" s="27">
        <f t="shared" si="66"/>
        <v>67000</v>
      </c>
      <c r="T80" s="4" t="str">
        <f t="shared" si="67"/>
        <v>A5</v>
      </c>
      <c r="V80">
        <v>77</v>
      </c>
      <c r="W80" s="28" t="str">
        <f t="shared" si="64"/>
        <v>16/11/2023</v>
      </c>
      <c r="X80" s="28">
        <f t="shared" si="64"/>
        <v>67000</v>
      </c>
      <c r="Y80" s="28" t="str">
        <f t="shared" si="64"/>
        <v>A5</v>
      </c>
      <c r="Z80" s="5" t="str">
        <f t="shared" si="70"/>
        <v>A5</v>
      </c>
      <c r="AA80" s="5" t="str">
        <f t="shared" si="68"/>
        <v>A5</v>
      </c>
      <c r="AG80" s="49" t="str">
        <f t="shared" si="63"/>
        <v>16/11/2023</v>
      </c>
      <c r="AH80" s="46">
        <f t="shared" si="63"/>
        <v>67000</v>
      </c>
      <c r="AI80" s="49" t="str">
        <f t="shared" si="63"/>
        <v>A5</v>
      </c>
      <c r="AJ80" s="49" t="str">
        <f t="shared" si="71"/>
        <v>A5</v>
      </c>
      <c r="AK80" s="50">
        <f t="shared" si="72"/>
        <v>67829.5</v>
      </c>
      <c r="AL80" s="49" t="str">
        <f t="shared" si="85"/>
        <v>A5</v>
      </c>
      <c r="AM80" s="50">
        <f t="shared" si="73"/>
        <v>67829.5</v>
      </c>
      <c r="AN80" s="56">
        <f t="shared" si="86"/>
        <v>70</v>
      </c>
      <c r="AO80" s="57">
        <f t="shared" si="87"/>
        <v>67035</v>
      </c>
      <c r="AP80" s="23">
        <f t="shared" si="74"/>
        <v>66965</v>
      </c>
      <c r="AQ80" s="23">
        <f t="shared" si="75"/>
        <v>67070</v>
      </c>
      <c r="AR80" s="23">
        <f t="shared" si="76"/>
        <v>66930</v>
      </c>
      <c r="AS80" s="23">
        <f t="shared" si="77"/>
        <v>67017.5</v>
      </c>
      <c r="AT80" s="23">
        <f t="shared" si="78"/>
        <v>66982.5</v>
      </c>
      <c r="AU80" s="23">
        <f t="shared" si="79"/>
        <v>67140</v>
      </c>
      <c r="AV80" s="23">
        <f t="shared" si="80"/>
        <v>66860</v>
      </c>
      <c r="AW80" s="23">
        <f t="shared" si="81"/>
        <v>67011.666666666672</v>
      </c>
      <c r="AX80" s="23">
        <f t="shared" si="82"/>
        <v>66988.333333333328</v>
      </c>
      <c r="AY80" s="23">
        <f t="shared" si="83"/>
        <v>67210</v>
      </c>
      <c r="AZ80" s="23">
        <f t="shared" si="84"/>
        <v>66790</v>
      </c>
      <c r="BA80" s="23">
        <f t="shared" si="91"/>
        <v>68017.25</v>
      </c>
      <c r="BB80" s="43"/>
      <c r="BC80" s="51">
        <f t="shared" si="65"/>
        <v>67000</v>
      </c>
      <c r="BD80" s="52">
        <f t="shared" si="69"/>
        <v>68017.25</v>
      </c>
      <c r="BE80" s="37">
        <f t="shared" si="88"/>
        <v>-1017.25</v>
      </c>
      <c r="BF80">
        <f t="shared" si="89"/>
        <v>1017.25</v>
      </c>
      <c r="BG80">
        <f t="shared" si="90"/>
        <v>1.5182835820895522E-2</v>
      </c>
    </row>
    <row r="81" spans="1:59">
      <c r="A81" s="1" t="s">
        <v>82</v>
      </c>
      <c r="B81" s="1">
        <v>69770</v>
      </c>
      <c r="Q81">
        <v>78</v>
      </c>
      <c r="R81" s="27" t="str">
        <f t="shared" si="66"/>
        <v>17/11/2023</v>
      </c>
      <c r="S81" s="27">
        <f t="shared" si="66"/>
        <v>68140</v>
      </c>
      <c r="T81" s="4" t="str">
        <f t="shared" si="67"/>
        <v>A5</v>
      </c>
      <c r="V81">
        <v>78</v>
      </c>
      <c r="W81" s="28" t="str">
        <f t="shared" si="64"/>
        <v>17/11/2023</v>
      </c>
      <c r="X81" s="28">
        <f t="shared" si="64"/>
        <v>68140</v>
      </c>
      <c r="Y81" s="28" t="str">
        <f t="shared" si="64"/>
        <v>A5</v>
      </c>
      <c r="Z81" s="5" t="str">
        <f t="shared" si="70"/>
        <v>A5</v>
      </c>
      <c r="AA81" s="5" t="str">
        <f t="shared" si="68"/>
        <v>A5</v>
      </c>
      <c r="AG81" s="49" t="str">
        <f t="shared" si="63"/>
        <v>17/11/2023</v>
      </c>
      <c r="AH81" s="46">
        <f t="shared" si="63"/>
        <v>68140</v>
      </c>
      <c r="AI81" s="49" t="str">
        <f t="shared" si="63"/>
        <v>A5</v>
      </c>
      <c r="AJ81" s="49" t="str">
        <f t="shared" si="71"/>
        <v>A5</v>
      </c>
      <c r="AK81" s="50">
        <f t="shared" si="72"/>
        <v>67829.5</v>
      </c>
      <c r="AL81" s="49" t="str">
        <f t="shared" si="85"/>
        <v>A5</v>
      </c>
      <c r="AM81" s="50">
        <f t="shared" si="73"/>
        <v>67829.5</v>
      </c>
      <c r="AN81" s="56">
        <f t="shared" si="86"/>
        <v>650</v>
      </c>
      <c r="AO81" s="57">
        <f t="shared" si="87"/>
        <v>68465</v>
      </c>
      <c r="AP81" s="23">
        <f t="shared" si="74"/>
        <v>67815</v>
      </c>
      <c r="AQ81" s="23">
        <f t="shared" si="75"/>
        <v>68790</v>
      </c>
      <c r="AR81" s="23">
        <f t="shared" si="76"/>
        <v>67490</v>
      </c>
      <c r="AS81" s="23">
        <f t="shared" si="77"/>
        <v>68302.5</v>
      </c>
      <c r="AT81" s="23">
        <f t="shared" si="78"/>
        <v>67977.5</v>
      </c>
      <c r="AU81" s="23">
        <f t="shared" si="79"/>
        <v>69440</v>
      </c>
      <c r="AV81" s="23">
        <f t="shared" si="80"/>
        <v>66840</v>
      </c>
      <c r="AW81" s="23">
        <f t="shared" si="81"/>
        <v>68248.333333333328</v>
      </c>
      <c r="AX81" s="23">
        <f t="shared" si="82"/>
        <v>68031.666666666672</v>
      </c>
      <c r="AY81" s="23">
        <f t="shared" si="83"/>
        <v>70090</v>
      </c>
      <c r="AZ81" s="23">
        <f t="shared" si="84"/>
        <v>66190</v>
      </c>
      <c r="BA81" s="23">
        <f t="shared" si="91"/>
        <v>67432.25</v>
      </c>
      <c r="BB81" s="43"/>
      <c r="BC81" s="51">
        <f t="shared" si="65"/>
        <v>68140</v>
      </c>
      <c r="BD81" s="52">
        <f t="shared" si="69"/>
        <v>67432.25</v>
      </c>
      <c r="BE81" s="37">
        <f t="shared" si="88"/>
        <v>707.75</v>
      </c>
      <c r="BF81">
        <f t="shared" si="89"/>
        <v>707.75</v>
      </c>
      <c r="BG81">
        <f t="shared" si="90"/>
        <v>1.0386703845024948E-2</v>
      </c>
    </row>
    <row r="82" spans="1:59">
      <c r="A82" s="1" t="s">
        <v>83</v>
      </c>
      <c r="B82" s="1">
        <v>70000</v>
      </c>
      <c r="Q82">
        <v>79</v>
      </c>
      <c r="R82" s="27" t="str">
        <f t="shared" si="66"/>
        <v>18/11/2023</v>
      </c>
      <c r="S82" s="27">
        <f t="shared" si="66"/>
        <v>69290</v>
      </c>
      <c r="T82" s="4" t="str">
        <f t="shared" si="67"/>
        <v>A5</v>
      </c>
      <c r="V82">
        <v>79</v>
      </c>
      <c r="W82" s="28" t="str">
        <f t="shared" si="64"/>
        <v>18/11/2023</v>
      </c>
      <c r="X82" s="28">
        <f t="shared" si="64"/>
        <v>69290</v>
      </c>
      <c r="Y82" s="28" t="str">
        <f t="shared" si="64"/>
        <v>A5</v>
      </c>
      <c r="Z82" s="5" t="str">
        <f t="shared" si="70"/>
        <v>A5</v>
      </c>
      <c r="AA82" s="5" t="str">
        <f t="shared" si="68"/>
        <v>A5</v>
      </c>
      <c r="AG82" s="49" t="str">
        <f t="shared" si="63"/>
        <v>18/11/2023</v>
      </c>
      <c r="AH82" s="46">
        <f t="shared" si="63"/>
        <v>69290</v>
      </c>
      <c r="AI82" s="49" t="str">
        <f t="shared" si="63"/>
        <v>A5</v>
      </c>
      <c r="AJ82" s="49" t="str">
        <f t="shared" si="71"/>
        <v>A5</v>
      </c>
      <c r="AK82" s="50">
        <f t="shared" si="72"/>
        <v>67829.5</v>
      </c>
      <c r="AL82" s="49" t="str">
        <f t="shared" si="85"/>
        <v>A5</v>
      </c>
      <c r="AM82" s="50">
        <f t="shared" si="73"/>
        <v>67829.5</v>
      </c>
      <c r="AN82" s="56">
        <f t="shared" si="86"/>
        <v>10</v>
      </c>
      <c r="AO82" s="57">
        <f t="shared" si="87"/>
        <v>69295</v>
      </c>
      <c r="AP82" s="23">
        <f t="shared" si="74"/>
        <v>69285</v>
      </c>
      <c r="AQ82" s="23">
        <f t="shared" si="75"/>
        <v>69300</v>
      </c>
      <c r="AR82" s="23">
        <f t="shared" si="76"/>
        <v>69280</v>
      </c>
      <c r="AS82" s="23">
        <f t="shared" si="77"/>
        <v>69292.5</v>
      </c>
      <c r="AT82" s="23">
        <f t="shared" si="78"/>
        <v>69287.5</v>
      </c>
      <c r="AU82" s="23">
        <f t="shared" si="79"/>
        <v>69310</v>
      </c>
      <c r="AV82" s="23">
        <f t="shared" si="80"/>
        <v>69270</v>
      </c>
      <c r="AW82" s="23">
        <f t="shared" si="81"/>
        <v>69291.666666666672</v>
      </c>
      <c r="AX82" s="23">
        <f t="shared" si="82"/>
        <v>69288.333333333328</v>
      </c>
      <c r="AY82" s="23">
        <f t="shared" si="83"/>
        <v>69320</v>
      </c>
      <c r="AZ82" s="23">
        <f t="shared" si="84"/>
        <v>69260</v>
      </c>
      <c r="BA82" s="23">
        <f t="shared" si="91"/>
        <v>68147.25</v>
      </c>
      <c r="BB82" s="43"/>
      <c r="BC82" s="51">
        <f t="shared" si="65"/>
        <v>69290</v>
      </c>
      <c r="BD82" s="52">
        <f t="shared" si="69"/>
        <v>68147.25</v>
      </c>
      <c r="BE82" s="37">
        <f t="shared" si="88"/>
        <v>1142.75</v>
      </c>
      <c r="BF82">
        <f t="shared" si="89"/>
        <v>1142.75</v>
      </c>
      <c r="BG82">
        <f t="shared" si="90"/>
        <v>1.6492278828113726E-2</v>
      </c>
    </row>
    <row r="83" spans="1:59">
      <c r="A83" s="1" t="s">
        <v>84</v>
      </c>
      <c r="B83" s="1">
        <v>71150</v>
      </c>
      <c r="Q83">
        <v>80</v>
      </c>
      <c r="R83" s="27" t="str">
        <f t="shared" si="66"/>
        <v>19/11/2023</v>
      </c>
      <c r="S83" s="27">
        <f t="shared" si="66"/>
        <v>69770</v>
      </c>
      <c r="T83" s="4" t="str">
        <f t="shared" si="67"/>
        <v>A5</v>
      </c>
      <c r="V83">
        <v>80</v>
      </c>
      <c r="W83" s="28" t="str">
        <f t="shared" si="64"/>
        <v>19/11/2023</v>
      </c>
      <c r="X83" s="28">
        <f t="shared" si="64"/>
        <v>69770</v>
      </c>
      <c r="Y83" s="28" t="str">
        <f t="shared" si="64"/>
        <v>A5</v>
      </c>
      <c r="Z83" s="5" t="str">
        <f t="shared" si="70"/>
        <v>A5</v>
      </c>
      <c r="AA83" s="5" t="str">
        <f t="shared" si="68"/>
        <v>A5</v>
      </c>
      <c r="AG83" s="49" t="str">
        <f t="shared" si="63"/>
        <v>19/11/2023</v>
      </c>
      <c r="AH83" s="46">
        <f t="shared" si="63"/>
        <v>69770</v>
      </c>
      <c r="AI83" s="49" t="str">
        <f t="shared" si="63"/>
        <v>A5</v>
      </c>
      <c r="AJ83" s="49" t="str">
        <f t="shared" si="71"/>
        <v>A5</v>
      </c>
      <c r="AK83" s="50">
        <f t="shared" si="72"/>
        <v>67829.5</v>
      </c>
      <c r="AL83" s="49" t="str">
        <f t="shared" si="85"/>
        <v>A5</v>
      </c>
      <c r="AM83" s="50">
        <f t="shared" si="73"/>
        <v>67829.5</v>
      </c>
      <c r="AN83" s="56">
        <f t="shared" si="86"/>
        <v>670</v>
      </c>
      <c r="AO83" s="57">
        <f t="shared" si="87"/>
        <v>70105</v>
      </c>
      <c r="AP83" s="23">
        <f t="shared" si="74"/>
        <v>69435</v>
      </c>
      <c r="AQ83" s="23">
        <f t="shared" si="75"/>
        <v>70440</v>
      </c>
      <c r="AR83" s="23">
        <f t="shared" si="76"/>
        <v>69100</v>
      </c>
      <c r="AS83" s="23">
        <f t="shared" si="77"/>
        <v>69937.5</v>
      </c>
      <c r="AT83" s="23">
        <f t="shared" si="78"/>
        <v>69602.5</v>
      </c>
      <c r="AU83" s="23">
        <f t="shared" si="79"/>
        <v>71110</v>
      </c>
      <c r="AV83" s="23">
        <f t="shared" si="80"/>
        <v>68430</v>
      </c>
      <c r="AW83" s="23">
        <f t="shared" si="81"/>
        <v>69881.666666666672</v>
      </c>
      <c r="AX83" s="23">
        <f t="shared" si="82"/>
        <v>69658.333333333328</v>
      </c>
      <c r="AY83" s="23">
        <f t="shared" si="83"/>
        <v>71780</v>
      </c>
      <c r="AZ83" s="23">
        <f t="shared" si="84"/>
        <v>67760</v>
      </c>
      <c r="BA83" s="23">
        <f t="shared" si="91"/>
        <v>68562.25</v>
      </c>
      <c r="BB83" s="43"/>
      <c r="BC83" s="51">
        <f t="shared" si="65"/>
        <v>69770</v>
      </c>
      <c r="BD83" s="52">
        <f t="shared" si="69"/>
        <v>68562.25</v>
      </c>
      <c r="BE83" s="37">
        <f t="shared" si="88"/>
        <v>1207.75</v>
      </c>
      <c r="BF83">
        <f t="shared" si="89"/>
        <v>1207.75</v>
      </c>
      <c r="BG83">
        <f t="shared" si="90"/>
        <v>1.7310448616884046E-2</v>
      </c>
    </row>
    <row r="84" spans="1:59">
      <c r="A84" s="1" t="s">
        <v>85</v>
      </c>
      <c r="B84" s="1">
        <v>72870</v>
      </c>
      <c r="Q84">
        <v>81</v>
      </c>
      <c r="R84" s="27" t="str">
        <f t="shared" si="66"/>
        <v>20/11/2023</v>
      </c>
      <c r="S84" s="27">
        <f t="shared" si="66"/>
        <v>70000</v>
      </c>
      <c r="T84" s="4" t="str">
        <f t="shared" si="67"/>
        <v>A5</v>
      </c>
      <c r="V84">
        <v>81</v>
      </c>
      <c r="W84" s="28" t="str">
        <f t="shared" si="64"/>
        <v>20/11/2023</v>
      </c>
      <c r="X84" s="28">
        <f t="shared" si="64"/>
        <v>70000</v>
      </c>
      <c r="Y84" s="28" t="str">
        <f t="shared" si="64"/>
        <v>A5</v>
      </c>
      <c r="Z84" s="5" t="str">
        <f t="shared" si="70"/>
        <v>A5</v>
      </c>
      <c r="AA84" s="5" t="str">
        <f t="shared" si="68"/>
        <v>A5</v>
      </c>
      <c r="AG84" s="49" t="str">
        <f t="shared" si="63"/>
        <v>20/11/2023</v>
      </c>
      <c r="AH84" s="46">
        <f t="shared" si="63"/>
        <v>70000</v>
      </c>
      <c r="AI84" s="49" t="str">
        <f t="shared" si="63"/>
        <v>A5</v>
      </c>
      <c r="AJ84" s="49" t="str">
        <f t="shared" si="71"/>
        <v>A5</v>
      </c>
      <c r="AK84" s="50">
        <f t="shared" si="72"/>
        <v>67829.5</v>
      </c>
      <c r="AL84" s="49" t="str">
        <f t="shared" si="85"/>
        <v>A5</v>
      </c>
      <c r="AM84" s="50">
        <f t="shared" si="73"/>
        <v>67829.5</v>
      </c>
      <c r="AN84" s="56">
        <f t="shared" si="86"/>
        <v>250</v>
      </c>
      <c r="AO84" s="57">
        <f t="shared" si="87"/>
        <v>70125</v>
      </c>
      <c r="AP84" s="23">
        <f t="shared" si="74"/>
        <v>69875</v>
      </c>
      <c r="AQ84" s="23">
        <f t="shared" si="75"/>
        <v>70250</v>
      </c>
      <c r="AR84" s="23">
        <f t="shared" si="76"/>
        <v>69750</v>
      </c>
      <c r="AS84" s="23">
        <f t="shared" si="77"/>
        <v>70062.5</v>
      </c>
      <c r="AT84" s="23">
        <f t="shared" si="78"/>
        <v>69937.5</v>
      </c>
      <c r="AU84" s="23">
        <f t="shared" si="79"/>
        <v>70500</v>
      </c>
      <c r="AV84" s="23">
        <f t="shared" si="80"/>
        <v>69500</v>
      </c>
      <c r="AW84" s="23">
        <f t="shared" si="81"/>
        <v>70041.666666666672</v>
      </c>
      <c r="AX84" s="23">
        <f t="shared" si="82"/>
        <v>69958.333333333328</v>
      </c>
      <c r="AY84" s="23">
        <f t="shared" si="83"/>
        <v>70750</v>
      </c>
      <c r="AZ84" s="23">
        <f t="shared" si="84"/>
        <v>69250</v>
      </c>
      <c r="BA84" s="23">
        <f t="shared" si="91"/>
        <v>68967.25</v>
      </c>
      <c r="BB84" s="43"/>
      <c r="BC84" s="51">
        <f t="shared" si="65"/>
        <v>70000</v>
      </c>
      <c r="BD84" s="52">
        <f t="shared" si="69"/>
        <v>68967.25</v>
      </c>
      <c r="BE84" s="37">
        <f t="shared" si="88"/>
        <v>1032.75</v>
      </c>
      <c r="BF84">
        <f t="shared" si="89"/>
        <v>1032.75</v>
      </c>
      <c r="BG84">
        <f t="shared" si="90"/>
        <v>1.4753571428571428E-2</v>
      </c>
    </row>
    <row r="85" spans="1:59">
      <c r="A85" s="1" t="s">
        <v>86</v>
      </c>
      <c r="B85" s="1">
        <v>75700</v>
      </c>
      <c r="Q85">
        <v>82</v>
      </c>
      <c r="R85" s="27" t="str">
        <f t="shared" si="66"/>
        <v>21/11/2023</v>
      </c>
      <c r="S85" s="27">
        <f t="shared" si="66"/>
        <v>71150</v>
      </c>
      <c r="T85" s="4" t="str">
        <f t="shared" si="67"/>
        <v>A6</v>
      </c>
      <c r="V85">
        <v>82</v>
      </c>
      <c r="W85" s="28" t="str">
        <f t="shared" si="64"/>
        <v>21/11/2023</v>
      </c>
      <c r="X85" s="28">
        <f t="shared" si="64"/>
        <v>71150</v>
      </c>
      <c r="Y85" s="28" t="str">
        <f t="shared" si="64"/>
        <v>A6</v>
      </c>
      <c r="Z85" s="5" t="str">
        <f t="shared" si="70"/>
        <v>A5</v>
      </c>
      <c r="AA85" s="5" t="str">
        <f t="shared" si="68"/>
        <v>A6</v>
      </c>
      <c r="AG85" s="49" t="str">
        <f t="shared" si="63"/>
        <v>21/11/2023</v>
      </c>
      <c r="AH85" s="46">
        <f t="shared" si="63"/>
        <v>71150</v>
      </c>
      <c r="AI85" s="49" t="str">
        <f t="shared" si="63"/>
        <v>A6</v>
      </c>
      <c r="AJ85" s="49" t="str">
        <f t="shared" si="71"/>
        <v>A5</v>
      </c>
      <c r="AK85" s="50">
        <f t="shared" si="72"/>
        <v>67829.5</v>
      </c>
      <c r="AL85" s="49" t="str">
        <f t="shared" si="85"/>
        <v>A6</v>
      </c>
      <c r="AM85" s="50">
        <f t="shared" si="73"/>
        <v>73860.5</v>
      </c>
      <c r="AN85" s="56">
        <f t="shared" si="86"/>
        <v>920</v>
      </c>
      <c r="AO85" s="57">
        <f t="shared" si="87"/>
        <v>71610</v>
      </c>
      <c r="AP85" s="23">
        <f t="shared" si="74"/>
        <v>70690</v>
      </c>
      <c r="AQ85" s="23">
        <f t="shared" si="75"/>
        <v>72070</v>
      </c>
      <c r="AR85" s="23">
        <f t="shared" si="76"/>
        <v>70230</v>
      </c>
      <c r="AS85" s="23">
        <f t="shared" si="77"/>
        <v>71380</v>
      </c>
      <c r="AT85" s="23">
        <f t="shared" si="78"/>
        <v>70920</v>
      </c>
      <c r="AU85" s="23">
        <f t="shared" si="79"/>
        <v>72990</v>
      </c>
      <c r="AV85" s="23">
        <f t="shared" si="80"/>
        <v>69310</v>
      </c>
      <c r="AW85" s="23">
        <f t="shared" si="81"/>
        <v>71303.333333333328</v>
      </c>
      <c r="AX85" s="23">
        <f t="shared" si="82"/>
        <v>70996.666666666672</v>
      </c>
      <c r="AY85" s="23">
        <f t="shared" si="83"/>
        <v>73910</v>
      </c>
      <c r="AZ85" s="23">
        <f t="shared" si="84"/>
        <v>68390</v>
      </c>
      <c r="BA85" s="23">
        <f t="shared" si="91"/>
        <v>68977.25</v>
      </c>
      <c r="BB85" s="43"/>
      <c r="BC85" s="51">
        <f t="shared" si="65"/>
        <v>71150</v>
      </c>
      <c r="BD85" s="52">
        <f t="shared" si="69"/>
        <v>68977.25</v>
      </c>
      <c r="BE85" s="37">
        <f t="shared" si="88"/>
        <v>2172.75</v>
      </c>
      <c r="BF85">
        <f t="shared" si="89"/>
        <v>2172.75</v>
      </c>
      <c r="BG85">
        <f t="shared" si="90"/>
        <v>3.0537596626844694E-2</v>
      </c>
    </row>
    <row r="86" spans="1:59">
      <c r="A86" s="1" t="s">
        <v>87</v>
      </c>
      <c r="B86" s="1">
        <v>75650</v>
      </c>
      <c r="Q86">
        <v>83</v>
      </c>
      <c r="R86" s="27" t="str">
        <f t="shared" si="66"/>
        <v>22/11/2023</v>
      </c>
      <c r="S86" s="27">
        <f t="shared" si="66"/>
        <v>72870</v>
      </c>
      <c r="T86" s="4" t="str">
        <f t="shared" si="67"/>
        <v>A6</v>
      </c>
      <c r="V86">
        <v>83</v>
      </c>
      <c r="W86" s="28" t="str">
        <f t="shared" si="64"/>
        <v>22/11/2023</v>
      </c>
      <c r="X86" s="28">
        <f t="shared" si="64"/>
        <v>72870</v>
      </c>
      <c r="Y86" s="28" t="str">
        <f t="shared" si="64"/>
        <v>A6</v>
      </c>
      <c r="Z86" s="5" t="str">
        <f t="shared" si="70"/>
        <v>A6</v>
      </c>
      <c r="AA86" s="5" t="str">
        <f t="shared" si="68"/>
        <v>A6</v>
      </c>
      <c r="AG86" s="49" t="str">
        <f t="shared" si="63"/>
        <v>22/11/2023</v>
      </c>
      <c r="AH86" s="46">
        <f t="shared" si="63"/>
        <v>72870</v>
      </c>
      <c r="AI86" s="49" t="str">
        <f t="shared" si="63"/>
        <v>A6</v>
      </c>
      <c r="AJ86" s="49" t="str">
        <f t="shared" si="71"/>
        <v>A6</v>
      </c>
      <c r="AK86" s="50">
        <f t="shared" si="72"/>
        <v>73860.5</v>
      </c>
      <c r="AL86" s="49" t="str">
        <f t="shared" si="85"/>
        <v>A6</v>
      </c>
      <c r="AM86" s="50">
        <f t="shared" si="73"/>
        <v>73860.5</v>
      </c>
      <c r="AN86" s="56">
        <f t="shared" si="86"/>
        <v>570</v>
      </c>
      <c r="AO86" s="57">
        <f t="shared" si="87"/>
        <v>73155</v>
      </c>
      <c r="AP86" s="23">
        <f t="shared" si="74"/>
        <v>72585</v>
      </c>
      <c r="AQ86" s="23">
        <f t="shared" si="75"/>
        <v>73440</v>
      </c>
      <c r="AR86" s="23">
        <f t="shared" si="76"/>
        <v>72300</v>
      </c>
      <c r="AS86" s="23">
        <f t="shared" si="77"/>
        <v>73012.5</v>
      </c>
      <c r="AT86" s="23">
        <f t="shared" si="78"/>
        <v>72727.5</v>
      </c>
      <c r="AU86" s="23">
        <f t="shared" si="79"/>
        <v>74010</v>
      </c>
      <c r="AV86" s="23">
        <f t="shared" si="80"/>
        <v>71730</v>
      </c>
      <c r="AW86" s="23">
        <f t="shared" si="81"/>
        <v>72965</v>
      </c>
      <c r="AX86" s="23">
        <f t="shared" si="82"/>
        <v>72775</v>
      </c>
      <c r="AY86" s="23">
        <f t="shared" si="83"/>
        <v>74580</v>
      </c>
      <c r="AZ86" s="23">
        <f t="shared" si="84"/>
        <v>71160</v>
      </c>
      <c r="BA86" s="23">
        <f t="shared" si="91"/>
        <v>72735.25</v>
      </c>
      <c r="BB86" s="43"/>
      <c r="BC86" s="51">
        <f t="shared" si="65"/>
        <v>72870</v>
      </c>
      <c r="BD86" s="52">
        <f t="shared" si="69"/>
        <v>72735.25</v>
      </c>
      <c r="BE86" s="37">
        <f t="shared" si="88"/>
        <v>134.75</v>
      </c>
      <c r="BF86">
        <f t="shared" si="89"/>
        <v>134.75</v>
      </c>
      <c r="BG86">
        <f t="shared" si="90"/>
        <v>1.8491834774255523E-3</v>
      </c>
    </row>
    <row r="87" spans="1:59">
      <c r="A87" s="1" t="s">
        <v>88</v>
      </c>
      <c r="B87" s="1">
        <v>76380</v>
      </c>
      <c r="Q87">
        <v>84</v>
      </c>
      <c r="R87" s="27" t="str">
        <f t="shared" si="66"/>
        <v>23/11/2023</v>
      </c>
      <c r="S87" s="27">
        <f t="shared" si="66"/>
        <v>75700</v>
      </c>
      <c r="T87" s="4" t="str">
        <f t="shared" si="67"/>
        <v>A6</v>
      </c>
      <c r="V87">
        <v>84</v>
      </c>
      <c r="W87" s="28" t="str">
        <f t="shared" si="64"/>
        <v>23/11/2023</v>
      </c>
      <c r="X87" s="28">
        <f t="shared" si="64"/>
        <v>75700</v>
      </c>
      <c r="Y87" s="28" t="str">
        <f t="shared" si="64"/>
        <v>A6</v>
      </c>
      <c r="Z87" s="5" t="str">
        <f t="shared" si="70"/>
        <v>A6</v>
      </c>
      <c r="AA87" s="5" t="str">
        <f t="shared" si="68"/>
        <v>A6</v>
      </c>
      <c r="AG87" s="49" t="str">
        <f t="shared" si="63"/>
        <v>23/11/2023</v>
      </c>
      <c r="AH87" s="46">
        <f t="shared" si="63"/>
        <v>75700</v>
      </c>
      <c r="AI87" s="49" t="str">
        <f t="shared" si="63"/>
        <v>A6</v>
      </c>
      <c r="AJ87" s="49" t="str">
        <f t="shared" si="71"/>
        <v>A6</v>
      </c>
      <c r="AK87" s="50">
        <f t="shared" si="72"/>
        <v>73860.5</v>
      </c>
      <c r="AL87" s="49" t="str">
        <f t="shared" si="85"/>
        <v>A6</v>
      </c>
      <c r="AM87" s="50">
        <f t="shared" si="73"/>
        <v>73860.5</v>
      </c>
      <c r="AN87" s="56">
        <f t="shared" si="86"/>
        <v>1110</v>
      </c>
      <c r="AO87" s="57">
        <f t="shared" si="87"/>
        <v>76255</v>
      </c>
      <c r="AP87" s="23">
        <f t="shared" si="74"/>
        <v>75145</v>
      </c>
      <c r="AQ87" s="23">
        <f t="shared" si="75"/>
        <v>76810</v>
      </c>
      <c r="AR87" s="23">
        <f t="shared" si="76"/>
        <v>74590</v>
      </c>
      <c r="AS87" s="23">
        <f t="shared" si="77"/>
        <v>75977.5</v>
      </c>
      <c r="AT87" s="23">
        <f t="shared" si="78"/>
        <v>75422.5</v>
      </c>
      <c r="AU87" s="23">
        <f t="shared" si="79"/>
        <v>77920</v>
      </c>
      <c r="AV87" s="23">
        <f t="shared" si="80"/>
        <v>73480</v>
      </c>
      <c r="AW87" s="23">
        <f t="shared" si="81"/>
        <v>75885</v>
      </c>
      <c r="AX87" s="23">
        <f t="shared" si="82"/>
        <v>75515</v>
      </c>
      <c r="AY87" s="23">
        <f t="shared" si="83"/>
        <v>79030</v>
      </c>
      <c r="AZ87" s="23">
        <f t="shared" si="84"/>
        <v>72370</v>
      </c>
      <c r="BA87" s="23">
        <f t="shared" si="91"/>
        <v>73507.75</v>
      </c>
      <c r="BB87" s="43"/>
      <c r="BC87" s="51">
        <f t="shared" si="65"/>
        <v>75700</v>
      </c>
      <c r="BD87" s="52">
        <f t="shared" si="69"/>
        <v>73507.75</v>
      </c>
      <c r="BE87" s="37">
        <f t="shared" si="88"/>
        <v>2192.25</v>
      </c>
      <c r="BF87">
        <f t="shared" si="89"/>
        <v>2192.25</v>
      </c>
      <c r="BG87">
        <f t="shared" si="90"/>
        <v>2.8959709379128139E-2</v>
      </c>
    </row>
    <row r="88" spans="1:59">
      <c r="A88" s="1" t="s">
        <v>89</v>
      </c>
      <c r="B88" s="1">
        <v>75730</v>
      </c>
      <c r="Q88">
        <v>85</v>
      </c>
      <c r="R88" s="27" t="str">
        <f t="shared" si="66"/>
        <v>24/11/2023</v>
      </c>
      <c r="S88" s="27">
        <f t="shared" si="66"/>
        <v>75650</v>
      </c>
      <c r="T88" s="4" t="str">
        <f t="shared" si="67"/>
        <v>A6</v>
      </c>
      <c r="V88">
        <v>85</v>
      </c>
      <c r="W88" s="28" t="str">
        <f t="shared" si="64"/>
        <v>24/11/2023</v>
      </c>
      <c r="X88" s="28">
        <f t="shared" si="64"/>
        <v>75650</v>
      </c>
      <c r="Y88" s="28" t="str">
        <f t="shared" si="64"/>
        <v>A6</v>
      </c>
      <c r="Z88" s="5" t="str">
        <f t="shared" si="70"/>
        <v>A6</v>
      </c>
      <c r="AA88" s="5" t="str">
        <f t="shared" si="68"/>
        <v>A6</v>
      </c>
      <c r="AG88" s="49" t="str">
        <f t="shared" si="63"/>
        <v>24/11/2023</v>
      </c>
      <c r="AH88" s="46">
        <f t="shared" si="63"/>
        <v>75650</v>
      </c>
      <c r="AI88" s="49" t="str">
        <f t="shared" si="63"/>
        <v>A6</v>
      </c>
      <c r="AJ88" s="49" t="str">
        <f t="shared" si="71"/>
        <v>A6</v>
      </c>
      <c r="AK88" s="50">
        <f t="shared" si="72"/>
        <v>73860.5</v>
      </c>
      <c r="AL88" s="49" t="str">
        <f t="shared" si="85"/>
        <v>A6</v>
      </c>
      <c r="AM88" s="50">
        <f t="shared" si="73"/>
        <v>73860.5</v>
      </c>
      <c r="AN88" s="56">
        <f t="shared" si="86"/>
        <v>2780</v>
      </c>
      <c r="AO88" s="57">
        <f t="shared" si="87"/>
        <v>77040</v>
      </c>
      <c r="AP88" s="23">
        <f t="shared" si="74"/>
        <v>74260</v>
      </c>
      <c r="AQ88" s="23">
        <f t="shared" si="75"/>
        <v>78430</v>
      </c>
      <c r="AR88" s="23">
        <f t="shared" si="76"/>
        <v>72870</v>
      </c>
      <c r="AS88" s="23">
        <f t="shared" si="77"/>
        <v>76345</v>
      </c>
      <c r="AT88" s="23">
        <f t="shared" si="78"/>
        <v>74955</v>
      </c>
      <c r="AU88" s="23">
        <f t="shared" si="79"/>
        <v>81210</v>
      </c>
      <c r="AV88" s="23">
        <f t="shared" si="80"/>
        <v>70090</v>
      </c>
      <c r="AW88" s="23">
        <f t="shared" si="81"/>
        <v>76113.333333333328</v>
      </c>
      <c r="AX88" s="23">
        <f t="shared" si="82"/>
        <v>75186.666666666672</v>
      </c>
      <c r="AY88" s="23">
        <f t="shared" si="83"/>
        <v>83990</v>
      </c>
      <c r="AZ88" s="23">
        <f t="shared" si="84"/>
        <v>67310</v>
      </c>
      <c r="BA88" s="23">
        <f t="shared" si="91"/>
        <v>75057.75</v>
      </c>
      <c r="BB88" s="43"/>
      <c r="BC88" s="51">
        <f t="shared" si="65"/>
        <v>75650</v>
      </c>
      <c r="BD88" s="52">
        <f t="shared" si="69"/>
        <v>75057.75</v>
      </c>
      <c r="BE88" s="37">
        <f t="shared" si="88"/>
        <v>592.25</v>
      </c>
      <c r="BF88">
        <f t="shared" si="89"/>
        <v>592.25</v>
      </c>
      <c r="BG88">
        <f t="shared" si="90"/>
        <v>7.8288169200264376E-3</v>
      </c>
    </row>
    <row r="89" spans="1:59">
      <c r="A89" s="1" t="s">
        <v>90</v>
      </c>
      <c r="B89" s="1">
        <v>74140</v>
      </c>
      <c r="Q89">
        <v>86</v>
      </c>
      <c r="R89" s="27" t="str">
        <f t="shared" si="66"/>
        <v>25/11/2023</v>
      </c>
      <c r="S89" s="27">
        <f t="shared" si="66"/>
        <v>76380</v>
      </c>
      <c r="T89" s="4" t="str">
        <f t="shared" si="67"/>
        <v>A6</v>
      </c>
      <c r="V89">
        <v>86</v>
      </c>
      <c r="W89" s="28" t="str">
        <f t="shared" si="64"/>
        <v>25/11/2023</v>
      </c>
      <c r="X89" s="28">
        <f t="shared" si="64"/>
        <v>76380</v>
      </c>
      <c r="Y89" s="28" t="str">
        <f t="shared" si="64"/>
        <v>A6</v>
      </c>
      <c r="Z89" s="5" t="str">
        <f t="shared" si="70"/>
        <v>A6</v>
      </c>
      <c r="AA89" s="5" t="str">
        <f t="shared" si="68"/>
        <v>A6</v>
      </c>
      <c r="AG89" s="49" t="str">
        <f t="shared" si="63"/>
        <v>25/11/2023</v>
      </c>
      <c r="AH89" s="46">
        <f t="shared" si="63"/>
        <v>76380</v>
      </c>
      <c r="AI89" s="49" t="str">
        <f t="shared" si="63"/>
        <v>A6</v>
      </c>
      <c r="AJ89" s="49" t="str">
        <f t="shared" si="71"/>
        <v>A6</v>
      </c>
      <c r="AK89" s="50">
        <f t="shared" si="72"/>
        <v>73860.5</v>
      </c>
      <c r="AL89" s="49" t="str">
        <f t="shared" si="85"/>
        <v>A6</v>
      </c>
      <c r="AM89" s="50">
        <f t="shared" si="73"/>
        <v>73860.5</v>
      </c>
      <c r="AN89" s="56">
        <f t="shared" si="86"/>
        <v>680</v>
      </c>
      <c r="AO89" s="57">
        <f t="shared" si="87"/>
        <v>76720</v>
      </c>
      <c r="AP89" s="23">
        <f t="shared" si="74"/>
        <v>76040</v>
      </c>
      <c r="AQ89" s="23">
        <f t="shared" si="75"/>
        <v>77060</v>
      </c>
      <c r="AR89" s="23">
        <f t="shared" si="76"/>
        <v>75700</v>
      </c>
      <c r="AS89" s="23">
        <f t="shared" si="77"/>
        <v>76550</v>
      </c>
      <c r="AT89" s="23">
        <f t="shared" si="78"/>
        <v>76210</v>
      </c>
      <c r="AU89" s="23">
        <f t="shared" si="79"/>
        <v>77740</v>
      </c>
      <c r="AV89" s="23">
        <f t="shared" si="80"/>
        <v>75020</v>
      </c>
      <c r="AW89" s="23">
        <f t="shared" si="81"/>
        <v>76493.333333333328</v>
      </c>
      <c r="AX89" s="23">
        <f t="shared" si="82"/>
        <v>76266.666666666672</v>
      </c>
      <c r="AY89" s="23">
        <f t="shared" si="83"/>
        <v>78420</v>
      </c>
      <c r="AZ89" s="23">
        <f t="shared" si="84"/>
        <v>74340</v>
      </c>
      <c r="BA89" s="23">
        <f t="shared" si="91"/>
        <v>75450.25</v>
      </c>
      <c r="BB89" s="43"/>
      <c r="BC89" s="51">
        <f t="shared" si="65"/>
        <v>76380</v>
      </c>
      <c r="BD89" s="52">
        <f t="shared" si="69"/>
        <v>75450.25</v>
      </c>
      <c r="BE89" s="37">
        <f t="shared" si="88"/>
        <v>929.75</v>
      </c>
      <c r="BF89">
        <f t="shared" si="89"/>
        <v>929.75</v>
      </c>
      <c r="BG89">
        <f t="shared" si="90"/>
        <v>1.2172689185650693E-2</v>
      </c>
    </row>
    <row r="90" spans="1:59">
      <c r="A90" s="1" t="s">
        <v>91</v>
      </c>
      <c r="B90" s="1">
        <v>74130</v>
      </c>
      <c r="Q90">
        <v>87</v>
      </c>
      <c r="R90" s="27" t="str">
        <f t="shared" si="66"/>
        <v>26/11/2023</v>
      </c>
      <c r="S90" s="27">
        <f t="shared" si="66"/>
        <v>75730</v>
      </c>
      <c r="T90" s="4" t="str">
        <f t="shared" si="67"/>
        <v>A6</v>
      </c>
      <c r="V90">
        <v>87</v>
      </c>
      <c r="W90" s="28" t="str">
        <f t="shared" si="64"/>
        <v>26/11/2023</v>
      </c>
      <c r="X90" s="28">
        <f t="shared" si="64"/>
        <v>75730</v>
      </c>
      <c r="Y90" s="28" t="str">
        <f t="shared" si="64"/>
        <v>A6</v>
      </c>
      <c r="Z90" s="5" t="str">
        <f t="shared" si="70"/>
        <v>A6</v>
      </c>
      <c r="AA90" s="5" t="str">
        <f t="shared" si="68"/>
        <v>A6</v>
      </c>
      <c r="AG90" s="49" t="str">
        <f t="shared" si="63"/>
        <v>26/11/2023</v>
      </c>
      <c r="AH90" s="46">
        <f t="shared" si="63"/>
        <v>75730</v>
      </c>
      <c r="AI90" s="49" t="str">
        <f t="shared" si="63"/>
        <v>A6</v>
      </c>
      <c r="AJ90" s="49" t="str">
        <f t="shared" si="71"/>
        <v>A6</v>
      </c>
      <c r="AK90" s="50">
        <f t="shared" si="72"/>
        <v>73860.5</v>
      </c>
      <c r="AL90" s="49" t="str">
        <f t="shared" si="85"/>
        <v>A6</v>
      </c>
      <c r="AM90" s="50">
        <f t="shared" si="73"/>
        <v>73860.5</v>
      </c>
      <c r="AN90" s="56">
        <f t="shared" si="86"/>
        <v>80</v>
      </c>
      <c r="AO90" s="57">
        <f t="shared" si="87"/>
        <v>75770</v>
      </c>
      <c r="AP90" s="23">
        <f t="shared" si="74"/>
        <v>75690</v>
      </c>
      <c r="AQ90" s="23">
        <f t="shared" si="75"/>
        <v>75810</v>
      </c>
      <c r="AR90" s="23">
        <f t="shared" si="76"/>
        <v>75650</v>
      </c>
      <c r="AS90" s="23">
        <f t="shared" si="77"/>
        <v>75750</v>
      </c>
      <c r="AT90" s="23">
        <f t="shared" si="78"/>
        <v>75710</v>
      </c>
      <c r="AU90" s="23">
        <f t="shared" si="79"/>
        <v>75890</v>
      </c>
      <c r="AV90" s="23">
        <f t="shared" si="80"/>
        <v>75570</v>
      </c>
      <c r="AW90" s="23">
        <f t="shared" si="81"/>
        <v>75743.333333333328</v>
      </c>
      <c r="AX90" s="23">
        <f t="shared" si="82"/>
        <v>75716.666666666672</v>
      </c>
      <c r="AY90" s="23">
        <f t="shared" si="83"/>
        <v>75970</v>
      </c>
      <c r="AZ90" s="23">
        <f t="shared" si="84"/>
        <v>75490</v>
      </c>
      <c r="BA90" s="23">
        <f t="shared" si="91"/>
        <v>75290.25</v>
      </c>
      <c r="BB90" s="43"/>
      <c r="BC90" s="51">
        <f t="shared" si="65"/>
        <v>75730</v>
      </c>
      <c r="BD90" s="52">
        <f t="shared" si="69"/>
        <v>75290.25</v>
      </c>
      <c r="BE90" s="37">
        <f t="shared" si="88"/>
        <v>439.75</v>
      </c>
      <c r="BF90">
        <f t="shared" si="89"/>
        <v>439.75</v>
      </c>
      <c r="BG90">
        <f t="shared" si="90"/>
        <v>5.8068136801795855E-3</v>
      </c>
    </row>
    <row r="91" spans="1:59">
      <c r="A91" s="1" t="s">
        <v>92</v>
      </c>
      <c r="B91" s="1">
        <v>71140</v>
      </c>
      <c r="Q91">
        <v>88</v>
      </c>
      <c r="R91" s="27" t="str">
        <f t="shared" si="66"/>
        <v>27/11/2023</v>
      </c>
      <c r="S91" s="27">
        <f t="shared" si="66"/>
        <v>74140</v>
      </c>
      <c r="T91" s="4" t="str">
        <f t="shared" si="67"/>
        <v>A6</v>
      </c>
      <c r="V91">
        <v>88</v>
      </c>
      <c r="W91" s="28" t="str">
        <f t="shared" si="64"/>
        <v>27/11/2023</v>
      </c>
      <c r="X91" s="28">
        <f t="shared" si="64"/>
        <v>74140</v>
      </c>
      <c r="Y91" s="28" t="str">
        <f t="shared" si="64"/>
        <v>A6</v>
      </c>
      <c r="Z91" s="5" t="str">
        <f t="shared" si="70"/>
        <v>A6</v>
      </c>
      <c r="AA91" s="5" t="str">
        <f t="shared" si="68"/>
        <v>A6</v>
      </c>
      <c r="AG91" s="49" t="str">
        <f t="shared" si="63"/>
        <v>27/11/2023</v>
      </c>
      <c r="AH91" s="46">
        <f t="shared" si="63"/>
        <v>74140</v>
      </c>
      <c r="AI91" s="49" t="str">
        <f t="shared" si="63"/>
        <v>A6</v>
      </c>
      <c r="AJ91" s="49" t="str">
        <f t="shared" si="71"/>
        <v>A6</v>
      </c>
      <c r="AK91" s="50">
        <f t="shared" si="72"/>
        <v>73860.5</v>
      </c>
      <c r="AL91" s="49" t="str">
        <f t="shared" si="85"/>
        <v>A6</v>
      </c>
      <c r="AM91" s="50">
        <f t="shared" si="73"/>
        <v>73860.5</v>
      </c>
      <c r="AN91" s="56">
        <f t="shared" si="86"/>
        <v>940</v>
      </c>
      <c r="AO91" s="57">
        <f t="shared" si="87"/>
        <v>74610</v>
      </c>
      <c r="AP91" s="23">
        <f t="shared" si="74"/>
        <v>73670</v>
      </c>
      <c r="AQ91" s="23">
        <f t="shared" si="75"/>
        <v>75080</v>
      </c>
      <c r="AR91" s="23">
        <f t="shared" si="76"/>
        <v>73200</v>
      </c>
      <c r="AS91" s="23">
        <f t="shared" si="77"/>
        <v>74375</v>
      </c>
      <c r="AT91" s="23">
        <f t="shared" si="78"/>
        <v>73905</v>
      </c>
      <c r="AU91" s="23">
        <f t="shared" si="79"/>
        <v>76020</v>
      </c>
      <c r="AV91" s="23">
        <f t="shared" si="80"/>
        <v>72260</v>
      </c>
      <c r="AW91" s="23">
        <f t="shared" si="81"/>
        <v>74296.666666666672</v>
      </c>
      <c r="AX91" s="23">
        <f t="shared" si="82"/>
        <v>73983.333333333328</v>
      </c>
      <c r="AY91" s="23">
        <f t="shared" si="83"/>
        <v>76960</v>
      </c>
      <c r="AZ91" s="23">
        <f t="shared" si="84"/>
        <v>71320</v>
      </c>
      <c r="BA91" s="23">
        <f t="shared" si="91"/>
        <v>74815.25</v>
      </c>
      <c r="BB91" s="43"/>
      <c r="BC91" s="51">
        <f t="shared" si="65"/>
        <v>74140</v>
      </c>
      <c r="BD91" s="52">
        <f t="shared" si="69"/>
        <v>74815.25</v>
      </c>
      <c r="BE91" s="37">
        <f t="shared" si="88"/>
        <v>-675.25</v>
      </c>
      <c r="BF91">
        <f t="shared" si="89"/>
        <v>675.25</v>
      </c>
      <c r="BG91">
        <f t="shared" si="90"/>
        <v>9.1077690855138928E-3</v>
      </c>
    </row>
    <row r="92" spans="1:59">
      <c r="A92" s="1" t="s">
        <v>93</v>
      </c>
      <c r="B92" s="1">
        <v>73140</v>
      </c>
      <c r="Q92">
        <v>89</v>
      </c>
      <c r="R92" s="27" t="str">
        <f t="shared" si="66"/>
        <v>28/11/2023</v>
      </c>
      <c r="S92" s="27">
        <f t="shared" si="66"/>
        <v>74130</v>
      </c>
      <c r="T92" s="4" t="str">
        <f t="shared" si="67"/>
        <v>A6</v>
      </c>
      <c r="V92">
        <v>89</v>
      </c>
      <c r="W92" s="28" t="str">
        <f t="shared" si="64"/>
        <v>28/11/2023</v>
      </c>
      <c r="X92" s="28">
        <f t="shared" si="64"/>
        <v>74130</v>
      </c>
      <c r="Y92" s="28" t="str">
        <f t="shared" si="64"/>
        <v>A6</v>
      </c>
      <c r="Z92" s="5" t="str">
        <f t="shared" si="70"/>
        <v>A6</v>
      </c>
      <c r="AA92" s="5" t="str">
        <f t="shared" si="68"/>
        <v>A6</v>
      </c>
      <c r="AG92" s="49" t="str">
        <f t="shared" si="63"/>
        <v>28/11/2023</v>
      </c>
      <c r="AH92" s="46">
        <f t="shared" si="63"/>
        <v>74130</v>
      </c>
      <c r="AI92" s="49" t="str">
        <f t="shared" si="63"/>
        <v>A6</v>
      </c>
      <c r="AJ92" s="49" t="str">
        <f t="shared" si="71"/>
        <v>A6</v>
      </c>
      <c r="AK92" s="50">
        <f t="shared" si="72"/>
        <v>73860.5</v>
      </c>
      <c r="AL92" s="49" t="str">
        <f t="shared" si="85"/>
        <v>A6</v>
      </c>
      <c r="AM92" s="50">
        <f t="shared" si="73"/>
        <v>73860.5</v>
      </c>
      <c r="AN92" s="56">
        <f t="shared" si="86"/>
        <v>1580</v>
      </c>
      <c r="AO92" s="57">
        <f t="shared" si="87"/>
        <v>74920</v>
      </c>
      <c r="AP92" s="23">
        <f t="shared" si="74"/>
        <v>73340</v>
      </c>
      <c r="AQ92" s="23">
        <f t="shared" si="75"/>
        <v>75710</v>
      </c>
      <c r="AR92" s="23">
        <f t="shared" si="76"/>
        <v>72550</v>
      </c>
      <c r="AS92" s="23">
        <f t="shared" si="77"/>
        <v>74525</v>
      </c>
      <c r="AT92" s="23">
        <f t="shared" si="78"/>
        <v>73735</v>
      </c>
      <c r="AU92" s="23">
        <f t="shared" si="79"/>
        <v>77290</v>
      </c>
      <c r="AV92" s="23">
        <f t="shared" si="80"/>
        <v>70970</v>
      </c>
      <c r="AW92" s="23">
        <f t="shared" si="81"/>
        <v>74393.333333333328</v>
      </c>
      <c r="AX92" s="23">
        <f t="shared" si="82"/>
        <v>73866.666666666672</v>
      </c>
      <c r="AY92" s="23">
        <f t="shared" si="83"/>
        <v>78870</v>
      </c>
      <c r="AZ92" s="23">
        <f t="shared" si="84"/>
        <v>69390</v>
      </c>
      <c r="BA92" s="23">
        <f t="shared" si="91"/>
        <v>74235.25</v>
      </c>
      <c r="BB92" s="43"/>
      <c r="BC92" s="51">
        <f t="shared" si="65"/>
        <v>74130</v>
      </c>
      <c r="BD92" s="52">
        <f t="shared" si="69"/>
        <v>74235.25</v>
      </c>
      <c r="BE92" s="37">
        <f t="shared" si="88"/>
        <v>-105.25</v>
      </c>
      <c r="BF92">
        <f t="shared" si="89"/>
        <v>105.25</v>
      </c>
      <c r="BG92">
        <f t="shared" si="90"/>
        <v>1.4198030486982328E-3</v>
      </c>
    </row>
    <row r="93" spans="1:59">
      <c r="A93" s="1" t="s">
        <v>94</v>
      </c>
      <c r="B93" s="1">
        <v>71950</v>
      </c>
      <c r="Q93">
        <v>90</v>
      </c>
      <c r="R93" s="27" t="str">
        <f t="shared" si="66"/>
        <v>29/11/2023</v>
      </c>
      <c r="S93" s="27">
        <f t="shared" si="66"/>
        <v>71140</v>
      </c>
      <c r="T93" s="4" t="str">
        <f t="shared" si="67"/>
        <v>A6</v>
      </c>
      <c r="V93">
        <v>90</v>
      </c>
      <c r="W93" s="28" t="str">
        <f t="shared" si="64"/>
        <v>29/11/2023</v>
      </c>
      <c r="X93" s="28">
        <f t="shared" si="64"/>
        <v>71140</v>
      </c>
      <c r="Y93" s="28" t="str">
        <f t="shared" si="64"/>
        <v>A6</v>
      </c>
      <c r="Z93" s="5" t="str">
        <f t="shared" si="70"/>
        <v>A6</v>
      </c>
      <c r="AA93" s="5" t="str">
        <f t="shared" si="68"/>
        <v>A6</v>
      </c>
      <c r="AG93" s="49" t="str">
        <f t="shared" si="63"/>
        <v>29/11/2023</v>
      </c>
      <c r="AH93" s="46">
        <f t="shared" si="63"/>
        <v>71140</v>
      </c>
      <c r="AI93" s="49" t="str">
        <f t="shared" si="63"/>
        <v>A6</v>
      </c>
      <c r="AJ93" s="49" t="str">
        <f t="shared" si="71"/>
        <v>A6</v>
      </c>
      <c r="AK93" s="50">
        <f t="shared" si="72"/>
        <v>73860.5</v>
      </c>
      <c r="AL93" s="49" t="str">
        <f t="shared" si="85"/>
        <v>A6</v>
      </c>
      <c r="AM93" s="50">
        <f t="shared" si="73"/>
        <v>73860.5</v>
      </c>
      <c r="AN93" s="56">
        <f t="shared" si="86"/>
        <v>2980</v>
      </c>
      <c r="AO93" s="57">
        <f t="shared" si="87"/>
        <v>72630</v>
      </c>
      <c r="AP93" s="23">
        <f t="shared" si="74"/>
        <v>69650</v>
      </c>
      <c r="AQ93" s="23">
        <f t="shared" si="75"/>
        <v>74120</v>
      </c>
      <c r="AR93" s="23">
        <f t="shared" si="76"/>
        <v>68160</v>
      </c>
      <c r="AS93" s="23">
        <f t="shared" si="77"/>
        <v>71885</v>
      </c>
      <c r="AT93" s="23">
        <f t="shared" si="78"/>
        <v>70395</v>
      </c>
      <c r="AU93" s="23">
        <f t="shared" si="79"/>
        <v>77100</v>
      </c>
      <c r="AV93" s="23">
        <f t="shared" si="80"/>
        <v>65180</v>
      </c>
      <c r="AW93" s="23">
        <f t="shared" si="81"/>
        <v>71636.666666666672</v>
      </c>
      <c r="AX93" s="23">
        <f t="shared" si="82"/>
        <v>70643.333333333328</v>
      </c>
      <c r="AY93" s="23">
        <f t="shared" si="83"/>
        <v>80080</v>
      </c>
      <c r="AZ93" s="23">
        <f t="shared" si="84"/>
        <v>62200</v>
      </c>
      <c r="BA93" s="23">
        <f t="shared" si="91"/>
        <v>74390.25</v>
      </c>
      <c r="BB93" s="43"/>
      <c r="BC93" s="51">
        <f t="shared" si="65"/>
        <v>71140</v>
      </c>
      <c r="BD93" s="52">
        <f t="shared" si="69"/>
        <v>74390.25</v>
      </c>
      <c r="BE93" s="37">
        <f t="shared" si="88"/>
        <v>-3250.25</v>
      </c>
      <c r="BF93">
        <f t="shared" si="89"/>
        <v>3250.25</v>
      </c>
      <c r="BG93">
        <f t="shared" si="90"/>
        <v>4.5688079842563956E-2</v>
      </c>
    </row>
    <row r="94" spans="1:59">
      <c r="A94" s="1" t="s">
        <v>95</v>
      </c>
      <c r="B94" s="1">
        <v>72670</v>
      </c>
      <c r="Q94">
        <v>91</v>
      </c>
      <c r="R94" s="27" t="str">
        <f t="shared" si="66"/>
        <v>30/11/2023</v>
      </c>
      <c r="S94" s="27">
        <f t="shared" si="66"/>
        <v>73140</v>
      </c>
      <c r="T94" s="4" t="str">
        <f t="shared" si="67"/>
        <v>A6</v>
      </c>
      <c r="V94">
        <v>91</v>
      </c>
      <c r="W94" s="28" t="str">
        <f t="shared" si="64"/>
        <v>30/11/2023</v>
      </c>
      <c r="X94" s="28">
        <f t="shared" si="64"/>
        <v>73140</v>
      </c>
      <c r="Y94" s="28" t="str">
        <f t="shared" si="64"/>
        <v>A6</v>
      </c>
      <c r="Z94" s="5" t="str">
        <f t="shared" si="70"/>
        <v>A6</v>
      </c>
      <c r="AA94" s="5" t="str">
        <f t="shared" si="68"/>
        <v>A6</v>
      </c>
      <c r="AG94" s="49" t="str">
        <f t="shared" si="63"/>
        <v>30/11/2023</v>
      </c>
      <c r="AH94" s="46">
        <f t="shared" si="63"/>
        <v>73140</v>
      </c>
      <c r="AI94" s="49" t="str">
        <f t="shared" si="63"/>
        <v>A6</v>
      </c>
      <c r="AJ94" s="49" t="str">
        <f t="shared" si="71"/>
        <v>A6</v>
      </c>
      <c r="AK94" s="50">
        <f t="shared" si="72"/>
        <v>73860.5</v>
      </c>
      <c r="AL94" s="49" t="str">
        <f t="shared" si="85"/>
        <v>A6</v>
      </c>
      <c r="AM94" s="50">
        <f t="shared" si="73"/>
        <v>73860.5</v>
      </c>
      <c r="AN94" s="56">
        <f t="shared" si="86"/>
        <v>990</v>
      </c>
      <c r="AO94" s="57">
        <f t="shared" si="87"/>
        <v>73635</v>
      </c>
      <c r="AP94" s="23">
        <f t="shared" si="74"/>
        <v>72645</v>
      </c>
      <c r="AQ94" s="23">
        <f t="shared" si="75"/>
        <v>74130</v>
      </c>
      <c r="AR94" s="23">
        <f t="shared" si="76"/>
        <v>72150</v>
      </c>
      <c r="AS94" s="23">
        <f t="shared" si="77"/>
        <v>73387.5</v>
      </c>
      <c r="AT94" s="23">
        <f t="shared" si="78"/>
        <v>72892.5</v>
      </c>
      <c r="AU94" s="23">
        <f t="shared" si="79"/>
        <v>75120</v>
      </c>
      <c r="AV94" s="23">
        <f t="shared" si="80"/>
        <v>71160</v>
      </c>
      <c r="AW94" s="23">
        <f t="shared" si="81"/>
        <v>73305</v>
      </c>
      <c r="AX94" s="23">
        <f t="shared" si="82"/>
        <v>72975</v>
      </c>
      <c r="AY94" s="23">
        <f t="shared" si="83"/>
        <v>76110</v>
      </c>
      <c r="AZ94" s="23">
        <f t="shared" si="84"/>
        <v>70170</v>
      </c>
      <c r="BA94" s="23">
        <f t="shared" si="91"/>
        <v>73245.25</v>
      </c>
      <c r="BB94" s="43"/>
      <c r="BC94" s="51">
        <f t="shared" si="65"/>
        <v>73140</v>
      </c>
      <c r="BD94" s="52">
        <f t="shared" si="69"/>
        <v>73245.25</v>
      </c>
      <c r="BE94" s="37">
        <f t="shared" si="88"/>
        <v>-105.25</v>
      </c>
      <c r="BF94">
        <f t="shared" si="89"/>
        <v>105.25</v>
      </c>
      <c r="BG94">
        <f t="shared" si="90"/>
        <v>1.4390210555099809E-3</v>
      </c>
    </row>
    <row r="95" spans="1:59">
      <c r="A95" s="1" t="s">
        <v>96</v>
      </c>
      <c r="B95" s="1">
        <v>72440</v>
      </c>
      <c r="Q95">
        <v>92</v>
      </c>
      <c r="R95" s="27" t="str">
        <f t="shared" si="66"/>
        <v>01/12/2023</v>
      </c>
      <c r="S95" s="27">
        <f t="shared" si="66"/>
        <v>71950</v>
      </c>
      <c r="T95" s="4" t="str">
        <f t="shared" si="67"/>
        <v>A6</v>
      </c>
      <c r="V95">
        <v>92</v>
      </c>
      <c r="W95" s="28" t="str">
        <f t="shared" si="64"/>
        <v>01/12/2023</v>
      </c>
      <c r="X95" s="28">
        <f t="shared" si="64"/>
        <v>71950</v>
      </c>
      <c r="Y95" s="28" t="str">
        <f t="shared" si="64"/>
        <v>A6</v>
      </c>
      <c r="Z95" s="5" t="str">
        <f t="shared" si="70"/>
        <v>A6</v>
      </c>
      <c r="AA95" s="5" t="str">
        <f t="shared" si="68"/>
        <v>A6</v>
      </c>
      <c r="AG95" s="49" t="str">
        <f t="shared" si="63"/>
        <v>01/12/2023</v>
      </c>
      <c r="AH95" s="46">
        <f t="shared" si="63"/>
        <v>71950</v>
      </c>
      <c r="AI95" s="49" t="str">
        <f t="shared" si="63"/>
        <v>A6</v>
      </c>
      <c r="AJ95" s="49" t="str">
        <f t="shared" si="71"/>
        <v>A6</v>
      </c>
      <c r="AK95" s="50">
        <f t="shared" si="72"/>
        <v>73860.5</v>
      </c>
      <c r="AL95" s="49" t="str">
        <f t="shared" si="85"/>
        <v>A6</v>
      </c>
      <c r="AM95" s="50">
        <f t="shared" si="73"/>
        <v>73860.5</v>
      </c>
      <c r="AN95" s="56">
        <f t="shared" si="86"/>
        <v>810</v>
      </c>
      <c r="AO95" s="57">
        <f t="shared" si="87"/>
        <v>72355</v>
      </c>
      <c r="AP95" s="23">
        <f t="shared" si="74"/>
        <v>71545</v>
      </c>
      <c r="AQ95" s="23">
        <f t="shared" si="75"/>
        <v>72760</v>
      </c>
      <c r="AR95" s="23">
        <f t="shared" si="76"/>
        <v>71140</v>
      </c>
      <c r="AS95" s="23">
        <f t="shared" si="77"/>
        <v>72152.5</v>
      </c>
      <c r="AT95" s="23">
        <f t="shared" si="78"/>
        <v>71747.5</v>
      </c>
      <c r="AU95" s="23">
        <f t="shared" si="79"/>
        <v>73570</v>
      </c>
      <c r="AV95" s="23">
        <f t="shared" si="80"/>
        <v>70330</v>
      </c>
      <c r="AW95" s="23">
        <f t="shared" si="81"/>
        <v>72085</v>
      </c>
      <c r="AX95" s="23">
        <f t="shared" si="82"/>
        <v>71815</v>
      </c>
      <c r="AY95" s="23">
        <f t="shared" si="83"/>
        <v>74380</v>
      </c>
      <c r="AZ95" s="23">
        <f t="shared" si="84"/>
        <v>69520</v>
      </c>
      <c r="BA95" s="23">
        <f t="shared" si="91"/>
        <v>73747.75</v>
      </c>
      <c r="BB95" s="43"/>
      <c r="BC95" s="51">
        <f t="shared" si="65"/>
        <v>71950</v>
      </c>
      <c r="BD95" s="52">
        <f t="shared" si="69"/>
        <v>73747.75</v>
      </c>
      <c r="BE95" s="37">
        <f t="shared" si="88"/>
        <v>-1797.75</v>
      </c>
      <c r="BF95">
        <f t="shared" si="89"/>
        <v>1797.75</v>
      </c>
      <c r="BG95">
        <f t="shared" si="90"/>
        <v>2.4986101459346769E-2</v>
      </c>
    </row>
    <row r="96" spans="1:59">
      <c r="A96" s="1" t="s">
        <v>97</v>
      </c>
      <c r="B96" s="1">
        <v>71430</v>
      </c>
      <c r="Q96">
        <v>93</v>
      </c>
      <c r="R96" s="27" t="str">
        <f t="shared" si="66"/>
        <v>02/12/2023</v>
      </c>
      <c r="S96" s="27">
        <f t="shared" si="66"/>
        <v>72670</v>
      </c>
      <c r="T96" s="4" t="str">
        <f t="shared" si="67"/>
        <v>A6</v>
      </c>
      <c r="V96">
        <v>93</v>
      </c>
      <c r="W96" s="28" t="str">
        <f t="shared" si="64"/>
        <v>02/12/2023</v>
      </c>
      <c r="X96" s="28">
        <f t="shared" si="64"/>
        <v>72670</v>
      </c>
      <c r="Y96" s="28" t="str">
        <f t="shared" si="64"/>
        <v>A6</v>
      </c>
      <c r="Z96" s="5" t="str">
        <f t="shared" si="70"/>
        <v>A6</v>
      </c>
      <c r="AA96" s="5" t="str">
        <f t="shared" si="68"/>
        <v>A6</v>
      </c>
      <c r="AG96" s="49" t="str">
        <f t="shared" si="63"/>
        <v>02/12/2023</v>
      </c>
      <c r="AH96" s="46">
        <f t="shared" si="63"/>
        <v>72670</v>
      </c>
      <c r="AI96" s="49" t="str">
        <f t="shared" si="63"/>
        <v>A6</v>
      </c>
      <c r="AJ96" s="49" t="str">
        <f t="shared" si="71"/>
        <v>A6</v>
      </c>
      <c r="AK96" s="50">
        <f t="shared" si="72"/>
        <v>73860.5</v>
      </c>
      <c r="AL96" s="49" t="str">
        <f t="shared" si="85"/>
        <v>A6</v>
      </c>
      <c r="AM96" s="50">
        <f t="shared" si="73"/>
        <v>73860.5</v>
      </c>
      <c r="AN96" s="56">
        <f t="shared" si="86"/>
        <v>470</v>
      </c>
      <c r="AO96" s="57">
        <f t="shared" si="87"/>
        <v>72905</v>
      </c>
      <c r="AP96" s="23">
        <f t="shared" si="74"/>
        <v>72435</v>
      </c>
      <c r="AQ96" s="23">
        <f t="shared" si="75"/>
        <v>73140</v>
      </c>
      <c r="AR96" s="23">
        <f t="shared" si="76"/>
        <v>72200</v>
      </c>
      <c r="AS96" s="23">
        <f t="shared" si="77"/>
        <v>72787.5</v>
      </c>
      <c r="AT96" s="23">
        <f t="shared" si="78"/>
        <v>72552.5</v>
      </c>
      <c r="AU96" s="23">
        <f t="shared" si="79"/>
        <v>73610</v>
      </c>
      <c r="AV96" s="23">
        <f t="shared" si="80"/>
        <v>71730</v>
      </c>
      <c r="AW96" s="23">
        <f t="shared" si="81"/>
        <v>72748.333333333328</v>
      </c>
      <c r="AX96" s="23">
        <f t="shared" si="82"/>
        <v>72591.666666666672</v>
      </c>
      <c r="AY96" s="23">
        <f t="shared" si="83"/>
        <v>74080</v>
      </c>
      <c r="AZ96" s="23">
        <f t="shared" si="84"/>
        <v>71260</v>
      </c>
      <c r="BA96" s="23">
        <f t="shared" si="91"/>
        <v>73107.75</v>
      </c>
      <c r="BB96" s="43"/>
      <c r="BC96" s="51">
        <f t="shared" si="65"/>
        <v>72670</v>
      </c>
      <c r="BD96" s="52">
        <f t="shared" si="69"/>
        <v>73107.75</v>
      </c>
      <c r="BE96" s="37">
        <f t="shared" si="88"/>
        <v>-437.75</v>
      </c>
      <c r="BF96">
        <f t="shared" si="89"/>
        <v>437.75</v>
      </c>
      <c r="BG96">
        <f t="shared" si="90"/>
        <v>6.0238062474198429E-3</v>
      </c>
    </row>
    <row r="97" spans="1:59">
      <c r="A97" s="1" t="s">
        <v>98</v>
      </c>
      <c r="B97" s="1">
        <v>72580</v>
      </c>
      <c r="Q97">
        <v>94</v>
      </c>
      <c r="R97" s="27" t="str">
        <f t="shared" si="66"/>
        <v>03/12/2023</v>
      </c>
      <c r="S97" s="27">
        <f t="shared" si="66"/>
        <v>72440</v>
      </c>
      <c r="T97" s="4" t="str">
        <f t="shared" si="67"/>
        <v>A6</v>
      </c>
      <c r="V97">
        <v>94</v>
      </c>
      <c r="W97" s="28" t="str">
        <f t="shared" si="64"/>
        <v>03/12/2023</v>
      </c>
      <c r="X97" s="28">
        <f t="shared" si="64"/>
        <v>72440</v>
      </c>
      <c r="Y97" s="28" t="str">
        <f t="shared" si="64"/>
        <v>A6</v>
      </c>
      <c r="Z97" s="5" t="str">
        <f t="shared" si="70"/>
        <v>A6</v>
      </c>
      <c r="AA97" s="5" t="str">
        <f t="shared" si="68"/>
        <v>A6</v>
      </c>
      <c r="AG97" s="49" t="str">
        <f t="shared" si="63"/>
        <v>03/12/2023</v>
      </c>
      <c r="AH97" s="46">
        <f t="shared" si="63"/>
        <v>72440</v>
      </c>
      <c r="AI97" s="49" t="str">
        <f t="shared" si="63"/>
        <v>A6</v>
      </c>
      <c r="AJ97" s="49" t="str">
        <f t="shared" si="71"/>
        <v>A6</v>
      </c>
      <c r="AK97" s="50">
        <f t="shared" si="72"/>
        <v>73860.5</v>
      </c>
      <c r="AL97" s="49" t="str">
        <f t="shared" si="85"/>
        <v>A6</v>
      </c>
      <c r="AM97" s="50">
        <f t="shared" si="73"/>
        <v>73860.5</v>
      </c>
      <c r="AN97" s="56">
        <f t="shared" si="86"/>
        <v>490</v>
      </c>
      <c r="AO97" s="57">
        <f t="shared" si="87"/>
        <v>72685</v>
      </c>
      <c r="AP97" s="23">
        <f t="shared" si="74"/>
        <v>72195</v>
      </c>
      <c r="AQ97" s="23">
        <f t="shared" si="75"/>
        <v>72930</v>
      </c>
      <c r="AR97" s="23">
        <f t="shared" si="76"/>
        <v>71950</v>
      </c>
      <c r="AS97" s="23">
        <f t="shared" si="77"/>
        <v>72562.5</v>
      </c>
      <c r="AT97" s="23">
        <f t="shared" si="78"/>
        <v>72317.5</v>
      </c>
      <c r="AU97" s="23">
        <f t="shared" si="79"/>
        <v>73420</v>
      </c>
      <c r="AV97" s="23">
        <f t="shared" si="80"/>
        <v>71460</v>
      </c>
      <c r="AW97" s="23">
        <f t="shared" si="81"/>
        <v>72521.666666666672</v>
      </c>
      <c r="AX97" s="23">
        <f t="shared" si="82"/>
        <v>72358.333333333328</v>
      </c>
      <c r="AY97" s="23">
        <f t="shared" si="83"/>
        <v>73910</v>
      </c>
      <c r="AZ97" s="23">
        <f t="shared" si="84"/>
        <v>70970</v>
      </c>
      <c r="BA97" s="23">
        <f t="shared" si="91"/>
        <v>73382.75</v>
      </c>
      <c r="BB97" s="43"/>
      <c r="BC97" s="51">
        <f t="shared" si="65"/>
        <v>72440</v>
      </c>
      <c r="BD97" s="52">
        <f t="shared" si="69"/>
        <v>73382.75</v>
      </c>
      <c r="BE97" s="37">
        <f t="shared" si="88"/>
        <v>-942.75</v>
      </c>
      <c r="BF97">
        <f t="shared" si="89"/>
        <v>942.75</v>
      </c>
      <c r="BG97">
        <f t="shared" si="90"/>
        <v>1.30142186637217E-2</v>
      </c>
    </row>
    <row r="98" spans="1:59">
      <c r="A98" s="1" t="s">
        <v>99</v>
      </c>
      <c r="B98" s="1">
        <v>72250</v>
      </c>
      <c r="Q98">
        <v>95</v>
      </c>
      <c r="R98" s="27" t="str">
        <f t="shared" si="66"/>
        <v>04/12/2023</v>
      </c>
      <c r="S98" s="27">
        <f t="shared" si="66"/>
        <v>71430</v>
      </c>
      <c r="T98" s="4" t="str">
        <f t="shared" si="67"/>
        <v>A6</v>
      </c>
      <c r="V98">
        <v>95</v>
      </c>
      <c r="W98" s="28" t="str">
        <f t="shared" si="64"/>
        <v>04/12/2023</v>
      </c>
      <c r="X98" s="28">
        <f t="shared" si="64"/>
        <v>71430</v>
      </c>
      <c r="Y98" s="28" t="str">
        <f t="shared" si="64"/>
        <v>A6</v>
      </c>
      <c r="Z98" s="5" t="str">
        <f t="shared" si="70"/>
        <v>A6</v>
      </c>
      <c r="AA98" s="5" t="str">
        <f t="shared" si="68"/>
        <v>A6</v>
      </c>
      <c r="AG98" s="49" t="str">
        <f t="shared" si="63"/>
        <v>04/12/2023</v>
      </c>
      <c r="AH98" s="46">
        <f t="shared" si="63"/>
        <v>71430</v>
      </c>
      <c r="AI98" s="49" t="str">
        <f t="shared" si="63"/>
        <v>A6</v>
      </c>
      <c r="AJ98" s="49" t="str">
        <f t="shared" si="71"/>
        <v>A6</v>
      </c>
      <c r="AK98" s="50">
        <f t="shared" si="72"/>
        <v>73860.5</v>
      </c>
      <c r="AL98" s="49" t="str">
        <f t="shared" si="85"/>
        <v>A6</v>
      </c>
      <c r="AM98" s="50">
        <f t="shared" si="73"/>
        <v>73860.5</v>
      </c>
      <c r="AN98" s="56">
        <f t="shared" si="86"/>
        <v>780</v>
      </c>
      <c r="AO98" s="57">
        <f t="shared" si="87"/>
        <v>71820</v>
      </c>
      <c r="AP98" s="23">
        <f t="shared" si="74"/>
        <v>71040</v>
      </c>
      <c r="AQ98" s="23">
        <f t="shared" si="75"/>
        <v>72210</v>
      </c>
      <c r="AR98" s="23">
        <f t="shared" si="76"/>
        <v>70650</v>
      </c>
      <c r="AS98" s="23">
        <f t="shared" si="77"/>
        <v>71625</v>
      </c>
      <c r="AT98" s="23">
        <f t="shared" si="78"/>
        <v>71235</v>
      </c>
      <c r="AU98" s="23">
        <f t="shared" si="79"/>
        <v>72990</v>
      </c>
      <c r="AV98" s="23">
        <f t="shared" si="80"/>
        <v>69870</v>
      </c>
      <c r="AW98" s="23">
        <f t="shared" si="81"/>
        <v>71560</v>
      </c>
      <c r="AX98" s="23">
        <f t="shared" si="82"/>
        <v>71300</v>
      </c>
      <c r="AY98" s="23">
        <f t="shared" si="83"/>
        <v>73770</v>
      </c>
      <c r="AZ98" s="23">
        <f t="shared" si="84"/>
        <v>69090</v>
      </c>
      <c r="BA98" s="23">
        <f t="shared" si="91"/>
        <v>73272.75</v>
      </c>
      <c r="BB98" s="43"/>
      <c r="BC98" s="51">
        <f t="shared" si="65"/>
        <v>71430</v>
      </c>
      <c r="BD98" s="52">
        <f t="shared" si="69"/>
        <v>73272.75</v>
      </c>
      <c r="BE98" s="37">
        <f t="shared" si="88"/>
        <v>-1842.75</v>
      </c>
      <c r="BF98">
        <f t="shared" si="89"/>
        <v>1842.75</v>
      </c>
      <c r="BG98">
        <f t="shared" si="90"/>
        <v>2.5797984040319192E-2</v>
      </c>
    </row>
    <row r="99" spans="1:59">
      <c r="A99" s="1" t="s">
        <v>100</v>
      </c>
      <c r="B99" s="1">
        <v>72750</v>
      </c>
      <c r="Q99">
        <v>96</v>
      </c>
      <c r="R99" s="27" t="str">
        <f t="shared" si="66"/>
        <v>05/12/2023</v>
      </c>
      <c r="S99" s="27">
        <f t="shared" si="66"/>
        <v>72580</v>
      </c>
      <c r="T99" s="4" t="str">
        <f t="shared" si="67"/>
        <v>A6</v>
      </c>
      <c r="V99">
        <v>96</v>
      </c>
      <c r="W99" s="28" t="str">
        <f t="shared" si="64"/>
        <v>05/12/2023</v>
      </c>
      <c r="X99" s="28">
        <f t="shared" si="64"/>
        <v>72580</v>
      </c>
      <c r="Y99" s="28" t="str">
        <f t="shared" si="64"/>
        <v>A6</v>
      </c>
      <c r="Z99" s="5" t="str">
        <f t="shared" si="70"/>
        <v>A6</v>
      </c>
      <c r="AA99" s="5" t="str">
        <f t="shared" si="68"/>
        <v>A6</v>
      </c>
      <c r="AG99" s="49" t="str">
        <f t="shared" si="63"/>
        <v>05/12/2023</v>
      </c>
      <c r="AH99" s="46">
        <f t="shared" si="63"/>
        <v>72580</v>
      </c>
      <c r="AI99" s="49" t="str">
        <f t="shared" si="63"/>
        <v>A6</v>
      </c>
      <c r="AJ99" s="49" t="str">
        <f t="shared" si="71"/>
        <v>A6</v>
      </c>
      <c r="AK99" s="50">
        <f t="shared" si="72"/>
        <v>73860.5</v>
      </c>
      <c r="AL99" s="49" t="str">
        <f t="shared" si="85"/>
        <v>A6</v>
      </c>
      <c r="AM99" s="50">
        <f t="shared" si="73"/>
        <v>73860.5</v>
      </c>
      <c r="AN99" s="56">
        <f t="shared" si="86"/>
        <v>140</v>
      </c>
      <c r="AO99" s="57">
        <f t="shared" si="87"/>
        <v>72650</v>
      </c>
      <c r="AP99" s="23">
        <f t="shared" si="74"/>
        <v>72510</v>
      </c>
      <c r="AQ99" s="23">
        <f t="shared" si="75"/>
        <v>72720</v>
      </c>
      <c r="AR99" s="23">
        <f t="shared" si="76"/>
        <v>72440</v>
      </c>
      <c r="AS99" s="23">
        <f t="shared" si="77"/>
        <v>72615</v>
      </c>
      <c r="AT99" s="23">
        <f t="shared" si="78"/>
        <v>72545</v>
      </c>
      <c r="AU99" s="23">
        <f t="shared" si="79"/>
        <v>72860</v>
      </c>
      <c r="AV99" s="23">
        <f t="shared" si="80"/>
        <v>72300</v>
      </c>
      <c r="AW99" s="23">
        <f t="shared" si="81"/>
        <v>72603.333333333328</v>
      </c>
      <c r="AX99" s="23">
        <f t="shared" si="82"/>
        <v>72556.666666666672</v>
      </c>
      <c r="AY99" s="23">
        <f t="shared" si="83"/>
        <v>73000</v>
      </c>
      <c r="AZ99" s="23">
        <f t="shared" si="84"/>
        <v>72160</v>
      </c>
      <c r="BA99" s="23">
        <f t="shared" si="91"/>
        <v>72840.25</v>
      </c>
      <c r="BB99" s="43"/>
      <c r="BC99" s="51">
        <f t="shared" si="65"/>
        <v>72580</v>
      </c>
      <c r="BD99" s="52">
        <f t="shared" si="69"/>
        <v>72840.25</v>
      </c>
      <c r="BE99" s="37">
        <f t="shared" si="88"/>
        <v>-260.25</v>
      </c>
      <c r="BF99">
        <f t="shared" si="89"/>
        <v>260.25</v>
      </c>
      <c r="BG99">
        <f t="shared" si="90"/>
        <v>3.5856985395425738E-3</v>
      </c>
    </row>
    <row r="100" spans="1:59">
      <c r="A100" s="1" t="s">
        <v>101</v>
      </c>
      <c r="B100" s="1">
        <v>74530</v>
      </c>
      <c r="Q100">
        <v>97</v>
      </c>
      <c r="R100" s="27" t="str">
        <f t="shared" si="66"/>
        <v>06/12/2023</v>
      </c>
      <c r="S100" s="27">
        <f t="shared" si="66"/>
        <v>72250</v>
      </c>
      <c r="T100" s="4" t="str">
        <f t="shared" si="67"/>
        <v>A6</v>
      </c>
      <c r="V100">
        <v>97</v>
      </c>
      <c r="W100" s="28" t="str">
        <f t="shared" si="64"/>
        <v>06/12/2023</v>
      </c>
      <c r="X100" s="28">
        <f t="shared" si="64"/>
        <v>72250</v>
      </c>
      <c r="Y100" s="28" t="str">
        <f t="shared" si="64"/>
        <v>A6</v>
      </c>
      <c r="Z100" s="5" t="str">
        <f t="shared" si="70"/>
        <v>A6</v>
      </c>
      <c r="AA100" s="5" t="str">
        <f t="shared" si="68"/>
        <v>A6</v>
      </c>
      <c r="AG100" s="49" t="str">
        <f t="shared" si="63"/>
        <v>06/12/2023</v>
      </c>
      <c r="AH100" s="46">
        <f t="shared" si="63"/>
        <v>72250</v>
      </c>
      <c r="AI100" s="49" t="str">
        <f t="shared" si="63"/>
        <v>A6</v>
      </c>
      <c r="AJ100" s="49" t="str">
        <f t="shared" si="71"/>
        <v>A6</v>
      </c>
      <c r="AK100" s="50">
        <f t="shared" si="72"/>
        <v>73860.5</v>
      </c>
      <c r="AL100" s="49" t="str">
        <f t="shared" si="85"/>
        <v>A6</v>
      </c>
      <c r="AM100" s="50">
        <f t="shared" si="73"/>
        <v>73860.5</v>
      </c>
      <c r="AN100" s="56">
        <f t="shared" si="86"/>
        <v>820</v>
      </c>
      <c r="AO100" s="57">
        <f t="shared" si="87"/>
        <v>72660</v>
      </c>
      <c r="AP100" s="23">
        <f t="shared" si="74"/>
        <v>71840</v>
      </c>
      <c r="AQ100" s="23">
        <f t="shared" si="75"/>
        <v>73070</v>
      </c>
      <c r="AR100" s="23">
        <f t="shared" si="76"/>
        <v>71430</v>
      </c>
      <c r="AS100" s="23">
        <f t="shared" si="77"/>
        <v>72455</v>
      </c>
      <c r="AT100" s="23">
        <f t="shared" si="78"/>
        <v>72045</v>
      </c>
      <c r="AU100" s="23">
        <f t="shared" si="79"/>
        <v>73890</v>
      </c>
      <c r="AV100" s="23">
        <f t="shared" si="80"/>
        <v>70610</v>
      </c>
      <c r="AW100" s="23">
        <f t="shared" si="81"/>
        <v>72386.666666666672</v>
      </c>
      <c r="AX100" s="23">
        <f t="shared" si="82"/>
        <v>72113.333333333328</v>
      </c>
      <c r="AY100" s="23">
        <f t="shared" si="83"/>
        <v>74710</v>
      </c>
      <c r="AZ100" s="23">
        <f t="shared" si="84"/>
        <v>69790</v>
      </c>
      <c r="BA100" s="23">
        <f t="shared" si="91"/>
        <v>73255.25</v>
      </c>
      <c r="BB100" s="43"/>
      <c r="BC100" s="51">
        <f t="shared" si="65"/>
        <v>72250</v>
      </c>
      <c r="BD100" s="52">
        <f t="shared" si="69"/>
        <v>73255.25</v>
      </c>
      <c r="BE100" s="37">
        <f t="shared" si="88"/>
        <v>-1005.25</v>
      </c>
      <c r="BF100">
        <f t="shared" si="89"/>
        <v>1005.25</v>
      </c>
      <c r="BG100">
        <f t="shared" si="90"/>
        <v>1.3913494809688582E-2</v>
      </c>
    </row>
    <row r="101" spans="1:59">
      <c r="A101" s="1" t="s">
        <v>102</v>
      </c>
      <c r="B101" s="1">
        <v>74980</v>
      </c>
      <c r="Q101">
        <v>98</v>
      </c>
      <c r="R101" s="27" t="str">
        <f t="shared" si="66"/>
        <v>07/12/2023</v>
      </c>
      <c r="S101" s="27">
        <f t="shared" si="66"/>
        <v>72750</v>
      </c>
      <c r="T101" s="4" t="str">
        <f t="shared" si="67"/>
        <v>A6</v>
      </c>
      <c r="V101">
        <v>98</v>
      </c>
      <c r="W101" s="28" t="str">
        <f t="shared" si="64"/>
        <v>07/12/2023</v>
      </c>
      <c r="X101" s="28">
        <f t="shared" si="64"/>
        <v>72750</v>
      </c>
      <c r="Y101" s="28" t="str">
        <f t="shared" si="64"/>
        <v>A6</v>
      </c>
      <c r="Z101" s="5" t="str">
        <f t="shared" si="70"/>
        <v>A6</v>
      </c>
      <c r="AA101" s="5" t="str">
        <f t="shared" si="68"/>
        <v>A6</v>
      </c>
      <c r="AG101" s="49" t="str">
        <f t="shared" si="63"/>
        <v>07/12/2023</v>
      </c>
      <c r="AH101" s="46">
        <f t="shared" si="63"/>
        <v>72750</v>
      </c>
      <c r="AI101" s="49" t="str">
        <f t="shared" si="63"/>
        <v>A6</v>
      </c>
      <c r="AJ101" s="49" t="str">
        <f t="shared" si="71"/>
        <v>A6</v>
      </c>
      <c r="AK101" s="50">
        <f t="shared" si="72"/>
        <v>73860.5</v>
      </c>
      <c r="AL101" s="49" t="str">
        <f t="shared" si="85"/>
        <v>A6</v>
      </c>
      <c r="AM101" s="50">
        <f t="shared" si="73"/>
        <v>73860.5</v>
      </c>
      <c r="AN101" s="56">
        <f t="shared" si="86"/>
        <v>170</v>
      </c>
      <c r="AO101" s="57">
        <f t="shared" si="87"/>
        <v>72835</v>
      </c>
      <c r="AP101" s="23">
        <f t="shared" si="74"/>
        <v>72665</v>
      </c>
      <c r="AQ101" s="23">
        <f t="shared" si="75"/>
        <v>72920</v>
      </c>
      <c r="AR101" s="23">
        <f t="shared" si="76"/>
        <v>72580</v>
      </c>
      <c r="AS101" s="23">
        <f t="shared" si="77"/>
        <v>72792.5</v>
      </c>
      <c r="AT101" s="23">
        <f t="shared" si="78"/>
        <v>72707.5</v>
      </c>
      <c r="AU101" s="23">
        <f t="shared" si="79"/>
        <v>73090</v>
      </c>
      <c r="AV101" s="23">
        <f t="shared" si="80"/>
        <v>72410</v>
      </c>
      <c r="AW101" s="23">
        <f t="shared" si="81"/>
        <v>72778.333333333328</v>
      </c>
      <c r="AX101" s="23">
        <f t="shared" si="82"/>
        <v>72721.666666666672</v>
      </c>
      <c r="AY101" s="23">
        <f t="shared" si="83"/>
        <v>73260</v>
      </c>
      <c r="AZ101" s="23">
        <f t="shared" si="84"/>
        <v>72240</v>
      </c>
      <c r="BA101" s="23">
        <f t="shared" si="91"/>
        <v>73260.25</v>
      </c>
      <c r="BB101" s="43"/>
      <c r="BC101" s="51">
        <f t="shared" si="65"/>
        <v>72750</v>
      </c>
      <c r="BD101" s="52">
        <f t="shared" si="69"/>
        <v>73260.25</v>
      </c>
      <c r="BE101" s="37">
        <f t="shared" si="88"/>
        <v>-510.25</v>
      </c>
      <c r="BF101">
        <f t="shared" si="89"/>
        <v>510.25</v>
      </c>
      <c r="BG101">
        <f t="shared" si="90"/>
        <v>7.0137457044673543E-3</v>
      </c>
    </row>
    <row r="102" spans="1:59">
      <c r="A102" s="1" t="s">
        <v>103</v>
      </c>
      <c r="B102" s="1">
        <v>75270</v>
      </c>
      <c r="Q102">
        <v>99</v>
      </c>
      <c r="R102" s="27" t="str">
        <f t="shared" si="66"/>
        <v>08/12/2023</v>
      </c>
      <c r="S102" s="27">
        <f t="shared" si="66"/>
        <v>74530</v>
      </c>
      <c r="T102" s="4" t="str">
        <f t="shared" si="67"/>
        <v>A6</v>
      </c>
      <c r="V102">
        <v>99</v>
      </c>
      <c r="W102" s="28" t="str">
        <f t="shared" si="64"/>
        <v>08/12/2023</v>
      </c>
      <c r="X102" s="28">
        <f t="shared" si="64"/>
        <v>74530</v>
      </c>
      <c r="Y102" s="28" t="str">
        <f t="shared" si="64"/>
        <v>A6</v>
      </c>
      <c r="Z102" s="5" t="str">
        <f t="shared" si="70"/>
        <v>A6</v>
      </c>
      <c r="AA102" s="5" t="str">
        <f t="shared" si="68"/>
        <v>A6</v>
      </c>
      <c r="AG102" s="49" t="str">
        <f t="shared" si="63"/>
        <v>08/12/2023</v>
      </c>
      <c r="AH102" s="46">
        <f t="shared" si="63"/>
        <v>74530</v>
      </c>
      <c r="AI102" s="49" t="str">
        <f t="shared" si="63"/>
        <v>A6</v>
      </c>
      <c r="AJ102" s="49" t="str">
        <f t="shared" si="71"/>
        <v>A6</v>
      </c>
      <c r="AK102" s="50">
        <f t="shared" si="72"/>
        <v>73860.5</v>
      </c>
      <c r="AL102" s="49" t="str">
        <f t="shared" si="85"/>
        <v>A6</v>
      </c>
      <c r="AM102" s="50">
        <f t="shared" si="73"/>
        <v>73860.5</v>
      </c>
      <c r="AN102" s="56">
        <f t="shared" si="86"/>
        <v>1280</v>
      </c>
      <c r="AO102" s="57">
        <f t="shared" si="87"/>
        <v>75170</v>
      </c>
      <c r="AP102" s="23">
        <f t="shared" si="74"/>
        <v>73890</v>
      </c>
      <c r="AQ102" s="23">
        <f t="shared" si="75"/>
        <v>75810</v>
      </c>
      <c r="AR102" s="23">
        <f t="shared" si="76"/>
        <v>73250</v>
      </c>
      <c r="AS102" s="23">
        <f t="shared" si="77"/>
        <v>74850</v>
      </c>
      <c r="AT102" s="23">
        <f t="shared" si="78"/>
        <v>74210</v>
      </c>
      <c r="AU102" s="23">
        <f t="shared" si="79"/>
        <v>77090</v>
      </c>
      <c r="AV102" s="23">
        <f t="shared" si="80"/>
        <v>71970</v>
      </c>
      <c r="AW102" s="23">
        <f t="shared" si="81"/>
        <v>74743.333333333328</v>
      </c>
      <c r="AX102" s="23">
        <f t="shared" si="82"/>
        <v>74316.666666666672</v>
      </c>
      <c r="AY102" s="23">
        <f t="shared" si="83"/>
        <v>78370</v>
      </c>
      <c r="AZ102" s="23">
        <f t="shared" si="84"/>
        <v>70690</v>
      </c>
      <c r="BA102" s="23">
        <f t="shared" si="91"/>
        <v>73347.75</v>
      </c>
      <c r="BB102" s="43"/>
      <c r="BC102" s="51">
        <f t="shared" si="65"/>
        <v>74530</v>
      </c>
      <c r="BD102" s="52">
        <f t="shared" si="69"/>
        <v>73347.75</v>
      </c>
      <c r="BE102" s="37">
        <f t="shared" si="88"/>
        <v>1182.25</v>
      </c>
      <c r="BF102">
        <f t="shared" si="89"/>
        <v>1182.25</v>
      </c>
      <c r="BG102">
        <f t="shared" si="90"/>
        <v>1.5862739836307527E-2</v>
      </c>
    </row>
    <row r="103" spans="1:59">
      <c r="A103" s="1" t="s">
        <v>104</v>
      </c>
      <c r="B103" s="1">
        <v>71970</v>
      </c>
      <c r="Q103">
        <v>100</v>
      </c>
      <c r="R103" s="27" t="str">
        <f t="shared" si="66"/>
        <v>09/12/2023</v>
      </c>
      <c r="S103" s="27">
        <f t="shared" si="66"/>
        <v>74980</v>
      </c>
      <c r="T103" s="4" t="str">
        <f t="shared" si="67"/>
        <v>A6</v>
      </c>
      <c r="V103">
        <v>100</v>
      </c>
      <c r="W103" s="28" t="str">
        <f t="shared" si="64"/>
        <v>09/12/2023</v>
      </c>
      <c r="X103" s="28">
        <f t="shared" si="64"/>
        <v>74980</v>
      </c>
      <c r="Y103" s="28" t="str">
        <f t="shared" si="64"/>
        <v>A6</v>
      </c>
      <c r="Z103" s="5" t="str">
        <f t="shared" si="70"/>
        <v>A6</v>
      </c>
      <c r="AA103" s="5" t="str">
        <f t="shared" si="68"/>
        <v>A6</v>
      </c>
      <c r="AG103" s="49" t="str">
        <f t="shared" si="63"/>
        <v>09/12/2023</v>
      </c>
      <c r="AH103" s="46">
        <f t="shared" si="63"/>
        <v>74980</v>
      </c>
      <c r="AI103" s="49" t="str">
        <f t="shared" si="63"/>
        <v>A6</v>
      </c>
      <c r="AJ103" s="49" t="str">
        <f t="shared" si="71"/>
        <v>A6</v>
      </c>
      <c r="AK103" s="50">
        <f t="shared" si="72"/>
        <v>73860.5</v>
      </c>
      <c r="AL103" s="49" t="str">
        <f t="shared" si="85"/>
        <v>A6</v>
      </c>
      <c r="AM103" s="50">
        <f t="shared" si="73"/>
        <v>73860.5</v>
      </c>
      <c r="AN103" s="56">
        <f t="shared" si="86"/>
        <v>1330</v>
      </c>
      <c r="AO103" s="57">
        <f t="shared" si="87"/>
        <v>75645</v>
      </c>
      <c r="AP103" s="23">
        <f t="shared" si="74"/>
        <v>74315</v>
      </c>
      <c r="AQ103" s="23">
        <f t="shared" si="75"/>
        <v>76310</v>
      </c>
      <c r="AR103" s="23">
        <f t="shared" si="76"/>
        <v>73650</v>
      </c>
      <c r="AS103" s="23">
        <f t="shared" si="77"/>
        <v>75312.5</v>
      </c>
      <c r="AT103" s="23">
        <f t="shared" si="78"/>
        <v>74647.5</v>
      </c>
      <c r="AU103" s="23">
        <f t="shared" si="79"/>
        <v>77640</v>
      </c>
      <c r="AV103" s="23">
        <f t="shared" si="80"/>
        <v>72320</v>
      </c>
      <c r="AW103" s="23">
        <f t="shared" si="81"/>
        <v>75201.666666666672</v>
      </c>
      <c r="AX103" s="23">
        <f t="shared" si="82"/>
        <v>74758.333333333328</v>
      </c>
      <c r="AY103" s="23">
        <f t="shared" si="83"/>
        <v>78970</v>
      </c>
      <c r="AZ103" s="23">
        <f t="shared" si="84"/>
        <v>70990</v>
      </c>
      <c r="BA103" s="23">
        <f t="shared" si="91"/>
        <v>74515.25</v>
      </c>
      <c r="BB103" s="43"/>
      <c r="BC103" s="51">
        <f t="shared" si="65"/>
        <v>74980</v>
      </c>
      <c r="BD103" s="52">
        <f t="shared" si="69"/>
        <v>74515.25</v>
      </c>
      <c r="BE103" s="37">
        <f t="shared" si="88"/>
        <v>464.75</v>
      </c>
      <c r="BF103">
        <f t="shared" si="89"/>
        <v>464.75</v>
      </c>
      <c r="BG103">
        <f t="shared" si="90"/>
        <v>6.1983195518805012E-3</v>
      </c>
    </row>
    <row r="104" spans="1:59">
      <c r="A104" s="1" t="s">
        <v>105</v>
      </c>
      <c r="B104" s="1">
        <v>72260</v>
      </c>
      <c r="Q104">
        <v>101</v>
      </c>
      <c r="R104" s="27" t="str">
        <f t="shared" si="66"/>
        <v>10/12/2023</v>
      </c>
      <c r="S104" s="27">
        <f t="shared" si="66"/>
        <v>75270</v>
      </c>
      <c r="T104" s="4" t="str">
        <f t="shared" si="67"/>
        <v>A6</v>
      </c>
      <c r="V104">
        <v>101</v>
      </c>
      <c r="W104" s="28" t="str">
        <f t="shared" si="64"/>
        <v>10/12/2023</v>
      </c>
      <c r="X104" s="28">
        <f t="shared" si="64"/>
        <v>75270</v>
      </c>
      <c r="Y104" s="28" t="str">
        <f t="shared" si="64"/>
        <v>A6</v>
      </c>
      <c r="Z104" s="5" t="str">
        <f t="shared" si="70"/>
        <v>A6</v>
      </c>
      <c r="AA104" s="5" t="str">
        <f t="shared" si="68"/>
        <v>A6</v>
      </c>
      <c r="AG104" s="49" t="str">
        <f t="shared" si="63"/>
        <v>10/12/2023</v>
      </c>
      <c r="AH104" s="46">
        <f t="shared" si="63"/>
        <v>75270</v>
      </c>
      <c r="AI104" s="49" t="str">
        <f t="shared" si="63"/>
        <v>A6</v>
      </c>
      <c r="AJ104" s="49" t="str">
        <f t="shared" si="71"/>
        <v>A6</v>
      </c>
      <c r="AK104" s="50">
        <f t="shared" si="72"/>
        <v>73860.5</v>
      </c>
      <c r="AL104" s="49" t="str">
        <f t="shared" si="85"/>
        <v>A6</v>
      </c>
      <c r="AM104" s="50">
        <f t="shared" si="73"/>
        <v>73860.5</v>
      </c>
      <c r="AN104" s="56">
        <f t="shared" si="86"/>
        <v>160</v>
      </c>
      <c r="AO104" s="57">
        <f t="shared" si="87"/>
        <v>75350</v>
      </c>
      <c r="AP104" s="23">
        <f t="shared" si="74"/>
        <v>75190</v>
      </c>
      <c r="AQ104" s="23">
        <f t="shared" si="75"/>
        <v>75430</v>
      </c>
      <c r="AR104" s="23">
        <f t="shared" si="76"/>
        <v>75110</v>
      </c>
      <c r="AS104" s="23">
        <f t="shared" si="77"/>
        <v>75310</v>
      </c>
      <c r="AT104" s="23">
        <f t="shared" si="78"/>
        <v>75230</v>
      </c>
      <c r="AU104" s="23">
        <f t="shared" si="79"/>
        <v>75590</v>
      </c>
      <c r="AV104" s="23">
        <f t="shared" si="80"/>
        <v>74950</v>
      </c>
      <c r="AW104" s="23">
        <f t="shared" si="81"/>
        <v>75296.666666666672</v>
      </c>
      <c r="AX104" s="23">
        <f t="shared" si="82"/>
        <v>75243.333333333328</v>
      </c>
      <c r="AY104" s="23">
        <f t="shared" si="83"/>
        <v>75750</v>
      </c>
      <c r="AZ104" s="23">
        <f t="shared" si="84"/>
        <v>74790</v>
      </c>
      <c r="BA104" s="23">
        <f t="shared" si="91"/>
        <v>74752.75</v>
      </c>
      <c r="BB104" s="43"/>
      <c r="BC104" s="51">
        <f t="shared" si="65"/>
        <v>75270</v>
      </c>
      <c r="BD104" s="52">
        <f t="shared" si="69"/>
        <v>74752.75</v>
      </c>
      <c r="BE104" s="37">
        <f t="shared" si="88"/>
        <v>517.25</v>
      </c>
      <c r="BF104">
        <f t="shared" si="89"/>
        <v>517.25</v>
      </c>
      <c r="BG104">
        <f t="shared" si="90"/>
        <v>6.8719277268500063E-3</v>
      </c>
    </row>
    <row r="105" spans="1:59">
      <c r="A105" s="1" t="s">
        <v>106</v>
      </c>
      <c r="B105" s="1">
        <v>67730</v>
      </c>
      <c r="Q105">
        <v>102</v>
      </c>
      <c r="R105" s="27" t="str">
        <f t="shared" si="66"/>
        <v>11/12/2023</v>
      </c>
      <c r="S105" s="27">
        <f t="shared" si="66"/>
        <v>71970</v>
      </c>
      <c r="T105" s="4" t="str">
        <f t="shared" si="67"/>
        <v>A6</v>
      </c>
      <c r="V105">
        <v>102</v>
      </c>
      <c r="W105" s="28" t="str">
        <f t="shared" si="64"/>
        <v>11/12/2023</v>
      </c>
      <c r="X105" s="28">
        <f t="shared" si="64"/>
        <v>71970</v>
      </c>
      <c r="Y105" s="28" t="str">
        <f t="shared" si="64"/>
        <v>A6</v>
      </c>
      <c r="Z105" s="5" t="str">
        <f t="shared" si="70"/>
        <v>A6</v>
      </c>
      <c r="AA105" s="5" t="str">
        <f t="shared" si="68"/>
        <v>A6</v>
      </c>
      <c r="AG105" s="49" t="str">
        <f t="shared" si="63"/>
        <v>11/12/2023</v>
      </c>
      <c r="AH105" s="46">
        <f t="shared" si="63"/>
        <v>71970</v>
      </c>
      <c r="AI105" s="49" t="str">
        <f t="shared" si="63"/>
        <v>A6</v>
      </c>
      <c r="AJ105" s="49" t="str">
        <f t="shared" si="71"/>
        <v>A6</v>
      </c>
      <c r="AK105" s="50">
        <f t="shared" si="72"/>
        <v>73860.5</v>
      </c>
      <c r="AL105" s="49" t="str">
        <f t="shared" si="85"/>
        <v>A6</v>
      </c>
      <c r="AM105" s="50">
        <f t="shared" si="73"/>
        <v>73860.5</v>
      </c>
      <c r="AN105" s="56">
        <f t="shared" si="86"/>
        <v>3010</v>
      </c>
      <c r="AO105" s="57">
        <f t="shared" si="87"/>
        <v>73475</v>
      </c>
      <c r="AP105" s="23">
        <f t="shared" si="74"/>
        <v>70465</v>
      </c>
      <c r="AQ105" s="23">
        <f t="shared" si="75"/>
        <v>74980</v>
      </c>
      <c r="AR105" s="23">
        <f t="shared" si="76"/>
        <v>68960</v>
      </c>
      <c r="AS105" s="23">
        <f t="shared" si="77"/>
        <v>72722.5</v>
      </c>
      <c r="AT105" s="23">
        <f t="shared" si="78"/>
        <v>71217.5</v>
      </c>
      <c r="AU105" s="23">
        <f t="shared" si="79"/>
        <v>77990</v>
      </c>
      <c r="AV105" s="23">
        <f t="shared" si="80"/>
        <v>65950</v>
      </c>
      <c r="AW105" s="23">
        <f t="shared" si="81"/>
        <v>72471.666666666672</v>
      </c>
      <c r="AX105" s="23">
        <f t="shared" si="82"/>
        <v>71468.333333333328</v>
      </c>
      <c r="AY105" s="23">
        <f t="shared" si="83"/>
        <v>81000</v>
      </c>
      <c r="AZ105" s="23">
        <f t="shared" si="84"/>
        <v>62940</v>
      </c>
      <c r="BA105" s="23">
        <f t="shared" si="91"/>
        <v>74605.25</v>
      </c>
      <c r="BB105" s="43"/>
      <c r="BC105" s="51">
        <f t="shared" si="65"/>
        <v>71970</v>
      </c>
      <c r="BD105" s="52">
        <f t="shared" si="69"/>
        <v>74605.25</v>
      </c>
      <c r="BE105" s="37">
        <f t="shared" si="88"/>
        <v>-2635.25</v>
      </c>
      <c r="BF105">
        <f t="shared" si="89"/>
        <v>2635.25</v>
      </c>
      <c r="BG105">
        <f t="shared" si="90"/>
        <v>3.6615951090732249E-2</v>
      </c>
    </row>
    <row r="106" spans="1:59">
      <c r="A106" s="1" t="s">
        <v>107</v>
      </c>
      <c r="B106" s="1">
        <v>69550</v>
      </c>
      <c r="Q106">
        <v>103</v>
      </c>
      <c r="R106" s="27" t="str">
        <f t="shared" si="66"/>
        <v>12/12/2023</v>
      </c>
      <c r="S106" s="27">
        <f t="shared" si="66"/>
        <v>72260</v>
      </c>
      <c r="T106" s="4" t="str">
        <f t="shared" si="67"/>
        <v>A6</v>
      </c>
      <c r="V106">
        <v>103</v>
      </c>
      <c r="W106" s="28" t="str">
        <f t="shared" si="64"/>
        <v>12/12/2023</v>
      </c>
      <c r="X106" s="28">
        <f t="shared" si="64"/>
        <v>72260</v>
      </c>
      <c r="Y106" s="28" t="str">
        <f t="shared" si="64"/>
        <v>A6</v>
      </c>
      <c r="Z106" s="5" t="str">
        <f t="shared" si="70"/>
        <v>A6</v>
      </c>
      <c r="AA106" s="5" t="str">
        <f t="shared" si="68"/>
        <v>A6</v>
      </c>
      <c r="AG106" s="49" t="str">
        <f t="shared" si="63"/>
        <v>12/12/2023</v>
      </c>
      <c r="AH106" s="46">
        <f t="shared" si="63"/>
        <v>72260</v>
      </c>
      <c r="AI106" s="49" t="str">
        <f t="shared" si="63"/>
        <v>A6</v>
      </c>
      <c r="AJ106" s="49" t="str">
        <f t="shared" si="71"/>
        <v>A6</v>
      </c>
      <c r="AK106" s="50">
        <f t="shared" si="72"/>
        <v>73860.5</v>
      </c>
      <c r="AL106" s="49" t="str">
        <f t="shared" si="85"/>
        <v>A6</v>
      </c>
      <c r="AM106" s="50">
        <f t="shared" si="73"/>
        <v>73860.5</v>
      </c>
      <c r="AN106" s="56">
        <f t="shared" si="86"/>
        <v>3010</v>
      </c>
      <c r="AO106" s="57">
        <f t="shared" si="87"/>
        <v>73765</v>
      </c>
      <c r="AP106" s="23">
        <f t="shared" si="74"/>
        <v>70755</v>
      </c>
      <c r="AQ106" s="23">
        <f t="shared" si="75"/>
        <v>75270</v>
      </c>
      <c r="AR106" s="23">
        <f t="shared" si="76"/>
        <v>69250</v>
      </c>
      <c r="AS106" s="23">
        <f t="shared" si="77"/>
        <v>73012.5</v>
      </c>
      <c r="AT106" s="23">
        <f t="shared" si="78"/>
        <v>71507.5</v>
      </c>
      <c r="AU106" s="23">
        <f t="shared" si="79"/>
        <v>78280</v>
      </c>
      <c r="AV106" s="23">
        <f t="shared" si="80"/>
        <v>66240</v>
      </c>
      <c r="AW106" s="23">
        <f t="shared" si="81"/>
        <v>72761.666666666672</v>
      </c>
      <c r="AX106" s="23">
        <f t="shared" si="82"/>
        <v>71758.333333333328</v>
      </c>
      <c r="AY106" s="23">
        <f t="shared" si="83"/>
        <v>81290</v>
      </c>
      <c r="AZ106" s="23">
        <f t="shared" si="84"/>
        <v>63230</v>
      </c>
      <c r="BA106" s="23">
        <f t="shared" si="91"/>
        <v>73667.75</v>
      </c>
      <c r="BB106" s="43"/>
      <c r="BC106" s="51">
        <f t="shared" si="65"/>
        <v>72260</v>
      </c>
      <c r="BD106" s="52">
        <f t="shared" si="69"/>
        <v>73667.75</v>
      </c>
      <c r="BE106" s="37">
        <f t="shared" si="88"/>
        <v>-1407.75</v>
      </c>
      <c r="BF106">
        <f t="shared" si="89"/>
        <v>1407.75</v>
      </c>
      <c r="BG106">
        <f t="shared" si="90"/>
        <v>1.9481732632161637E-2</v>
      </c>
    </row>
    <row r="107" spans="1:59">
      <c r="A107" s="1" t="s">
        <v>108</v>
      </c>
      <c r="B107" s="1">
        <v>70230</v>
      </c>
      <c r="Q107">
        <v>104</v>
      </c>
      <c r="R107" s="27" t="str">
        <f t="shared" si="66"/>
        <v>13/12/2023</v>
      </c>
      <c r="S107" s="27">
        <f t="shared" si="66"/>
        <v>67730</v>
      </c>
      <c r="T107" s="4" t="str">
        <f t="shared" si="67"/>
        <v>A5</v>
      </c>
      <c r="V107">
        <v>104</v>
      </c>
      <c r="W107" s="28" t="str">
        <f t="shared" si="64"/>
        <v>13/12/2023</v>
      </c>
      <c r="X107" s="28">
        <f t="shared" si="64"/>
        <v>67730</v>
      </c>
      <c r="Y107" s="28" t="str">
        <f t="shared" si="64"/>
        <v>A5</v>
      </c>
      <c r="Z107" s="5" t="str">
        <f t="shared" si="70"/>
        <v>A6</v>
      </c>
      <c r="AA107" s="5" t="str">
        <f t="shared" si="68"/>
        <v>A5</v>
      </c>
      <c r="AG107" s="49" t="str">
        <f t="shared" si="63"/>
        <v>13/12/2023</v>
      </c>
      <c r="AH107" s="46">
        <f t="shared" si="63"/>
        <v>67730</v>
      </c>
      <c r="AI107" s="49" t="str">
        <f t="shared" si="63"/>
        <v>A5</v>
      </c>
      <c r="AJ107" s="49" t="str">
        <f t="shared" si="71"/>
        <v>A6</v>
      </c>
      <c r="AK107" s="50">
        <f t="shared" si="72"/>
        <v>73860.5</v>
      </c>
      <c r="AL107" s="49" t="str">
        <f t="shared" si="85"/>
        <v>A5</v>
      </c>
      <c r="AM107" s="50">
        <f t="shared" si="73"/>
        <v>67829.5</v>
      </c>
      <c r="AN107" s="56">
        <f t="shared" si="86"/>
        <v>4240</v>
      </c>
      <c r="AO107" s="23">
        <f t="shared" si="87"/>
        <v>69850</v>
      </c>
      <c r="AP107" s="57">
        <f t="shared" si="74"/>
        <v>65610</v>
      </c>
      <c r="AQ107" s="23">
        <f t="shared" si="75"/>
        <v>71970</v>
      </c>
      <c r="AR107" s="23">
        <f t="shared" si="76"/>
        <v>63490</v>
      </c>
      <c r="AS107" s="23">
        <f t="shared" si="77"/>
        <v>68790</v>
      </c>
      <c r="AT107" s="23">
        <f t="shared" si="78"/>
        <v>66670</v>
      </c>
      <c r="AU107" s="23">
        <f t="shared" si="79"/>
        <v>76210</v>
      </c>
      <c r="AV107" s="23">
        <f t="shared" si="80"/>
        <v>59250</v>
      </c>
      <c r="AW107" s="23">
        <f t="shared" si="81"/>
        <v>68436.666666666672</v>
      </c>
      <c r="AX107" s="23">
        <f t="shared" si="82"/>
        <v>67023.333333333328</v>
      </c>
      <c r="AY107" s="23">
        <f t="shared" si="83"/>
        <v>80450</v>
      </c>
      <c r="AZ107" s="23">
        <f t="shared" si="84"/>
        <v>55010</v>
      </c>
      <c r="BA107" s="23">
        <f t="shared" si="91"/>
        <v>73812.75</v>
      </c>
      <c r="BB107" s="43"/>
      <c r="BC107" s="51">
        <f t="shared" si="65"/>
        <v>67730</v>
      </c>
      <c r="BD107" s="52">
        <f t="shared" si="69"/>
        <v>73812.75</v>
      </c>
      <c r="BE107" s="37">
        <f t="shared" si="88"/>
        <v>-6082.75</v>
      </c>
      <c r="BF107">
        <f t="shared" si="89"/>
        <v>6082.75</v>
      </c>
      <c r="BG107">
        <f t="shared" si="90"/>
        <v>8.9808799645651846E-2</v>
      </c>
    </row>
    <row r="108" spans="1:59">
      <c r="A108" s="1" t="s">
        <v>109</v>
      </c>
      <c r="B108" s="1">
        <v>69080</v>
      </c>
      <c r="Q108">
        <v>105</v>
      </c>
      <c r="R108" s="27" t="str">
        <f t="shared" si="66"/>
        <v>14/12/2023</v>
      </c>
      <c r="S108" s="27">
        <f t="shared" si="66"/>
        <v>69550</v>
      </c>
      <c r="T108" s="4" t="str">
        <f t="shared" si="67"/>
        <v>A5</v>
      </c>
      <c r="V108">
        <v>105</v>
      </c>
      <c r="W108" s="28" t="str">
        <f t="shared" si="64"/>
        <v>14/12/2023</v>
      </c>
      <c r="X108" s="28">
        <f t="shared" si="64"/>
        <v>69550</v>
      </c>
      <c r="Y108" s="28" t="str">
        <f t="shared" si="64"/>
        <v>A5</v>
      </c>
      <c r="Z108" s="5" t="str">
        <f t="shared" si="70"/>
        <v>A5</v>
      </c>
      <c r="AA108" s="5" t="str">
        <f t="shared" si="68"/>
        <v>A5</v>
      </c>
      <c r="AG108" s="49" t="str">
        <f t="shared" si="63"/>
        <v>14/12/2023</v>
      </c>
      <c r="AH108" s="46">
        <f t="shared" si="63"/>
        <v>69550</v>
      </c>
      <c r="AI108" s="49" t="str">
        <f t="shared" si="63"/>
        <v>A5</v>
      </c>
      <c r="AJ108" s="49" t="str">
        <f t="shared" si="71"/>
        <v>A5</v>
      </c>
      <c r="AK108" s="50">
        <f t="shared" si="72"/>
        <v>67829.5</v>
      </c>
      <c r="AL108" s="49" t="str">
        <f t="shared" si="85"/>
        <v>A5</v>
      </c>
      <c r="AM108" s="50">
        <f t="shared" si="73"/>
        <v>67829.5</v>
      </c>
      <c r="AN108" s="56">
        <f t="shared" si="86"/>
        <v>2710</v>
      </c>
      <c r="AO108" s="57">
        <f t="shared" si="87"/>
        <v>70905</v>
      </c>
      <c r="AP108" s="23">
        <f t="shared" si="74"/>
        <v>68195</v>
      </c>
      <c r="AQ108" s="23">
        <f t="shared" si="75"/>
        <v>72260</v>
      </c>
      <c r="AR108" s="23">
        <f t="shared" si="76"/>
        <v>66840</v>
      </c>
      <c r="AS108" s="23">
        <f t="shared" si="77"/>
        <v>70227.5</v>
      </c>
      <c r="AT108" s="23">
        <f t="shared" si="78"/>
        <v>68872.5</v>
      </c>
      <c r="AU108" s="23">
        <f t="shared" si="79"/>
        <v>74970</v>
      </c>
      <c r="AV108" s="23">
        <f t="shared" si="80"/>
        <v>64130</v>
      </c>
      <c r="AW108" s="23">
        <f t="shared" si="81"/>
        <v>70001.666666666672</v>
      </c>
      <c r="AX108" s="23">
        <f t="shared" si="82"/>
        <v>69098.333333333328</v>
      </c>
      <c r="AY108" s="23">
        <f t="shared" si="83"/>
        <v>77680</v>
      </c>
      <c r="AZ108" s="23">
        <f t="shared" si="84"/>
        <v>61420</v>
      </c>
      <c r="BA108" s="23">
        <f>(AP107+AM107)/(1+1)</f>
        <v>66719.75</v>
      </c>
      <c r="BB108" s="43"/>
      <c r="BC108" s="51">
        <f t="shared" si="65"/>
        <v>69550</v>
      </c>
      <c r="BD108" s="52">
        <f t="shared" si="69"/>
        <v>66719.75</v>
      </c>
      <c r="BE108" s="37">
        <f t="shared" si="88"/>
        <v>2830.25</v>
      </c>
      <c r="BF108">
        <f t="shared" si="89"/>
        <v>2830.25</v>
      </c>
      <c r="BG108">
        <f t="shared" si="90"/>
        <v>4.0693745506829616E-2</v>
      </c>
    </row>
    <row r="109" spans="1:59">
      <c r="A109" s="1" t="s">
        <v>110</v>
      </c>
      <c r="B109" s="1">
        <v>67830</v>
      </c>
      <c r="Q109">
        <v>106</v>
      </c>
      <c r="R109" s="27" t="str">
        <f t="shared" si="66"/>
        <v>15/12/2023</v>
      </c>
      <c r="S109" s="27">
        <f t="shared" si="66"/>
        <v>70230</v>
      </c>
      <c r="T109" s="4" t="str">
        <f t="shared" si="67"/>
        <v>A5</v>
      </c>
      <c r="V109">
        <v>106</v>
      </c>
      <c r="W109" s="28" t="str">
        <f t="shared" si="64"/>
        <v>15/12/2023</v>
      </c>
      <c r="X109" s="28">
        <f t="shared" si="64"/>
        <v>70230</v>
      </c>
      <c r="Y109" s="28" t="str">
        <f t="shared" si="64"/>
        <v>A5</v>
      </c>
      <c r="Z109" s="5" t="str">
        <f t="shared" si="70"/>
        <v>A5</v>
      </c>
      <c r="AA109" s="5" t="str">
        <f t="shared" si="68"/>
        <v>A5</v>
      </c>
      <c r="AG109" s="49" t="str">
        <f t="shared" si="63"/>
        <v>15/12/2023</v>
      </c>
      <c r="AH109" s="46">
        <f t="shared" si="63"/>
        <v>70230</v>
      </c>
      <c r="AI109" s="49" t="str">
        <f t="shared" si="63"/>
        <v>A5</v>
      </c>
      <c r="AJ109" s="49" t="str">
        <f t="shared" si="71"/>
        <v>A5</v>
      </c>
      <c r="AK109" s="50">
        <f t="shared" si="72"/>
        <v>67829.5</v>
      </c>
      <c r="AL109" s="49" t="str">
        <f t="shared" si="85"/>
        <v>A5</v>
      </c>
      <c r="AM109" s="50">
        <f t="shared" si="73"/>
        <v>67829.5</v>
      </c>
      <c r="AN109" s="56">
        <f t="shared" si="86"/>
        <v>1140</v>
      </c>
      <c r="AO109" s="57">
        <f t="shared" si="87"/>
        <v>70800</v>
      </c>
      <c r="AP109" s="23">
        <f t="shared" si="74"/>
        <v>69660</v>
      </c>
      <c r="AQ109" s="23">
        <f t="shared" si="75"/>
        <v>71370</v>
      </c>
      <c r="AR109" s="23">
        <f t="shared" si="76"/>
        <v>69090</v>
      </c>
      <c r="AS109" s="23">
        <f t="shared" si="77"/>
        <v>70515</v>
      </c>
      <c r="AT109" s="23">
        <f t="shared" si="78"/>
        <v>69945</v>
      </c>
      <c r="AU109" s="23">
        <f t="shared" si="79"/>
        <v>72510</v>
      </c>
      <c r="AV109" s="23">
        <f t="shared" si="80"/>
        <v>67950</v>
      </c>
      <c r="AW109" s="23">
        <f t="shared" si="81"/>
        <v>70420</v>
      </c>
      <c r="AX109" s="23">
        <f t="shared" si="82"/>
        <v>70040</v>
      </c>
      <c r="AY109" s="23">
        <f t="shared" si="83"/>
        <v>73650</v>
      </c>
      <c r="AZ109" s="23">
        <f t="shared" si="84"/>
        <v>66810</v>
      </c>
      <c r="BA109" s="23">
        <f t="shared" ref="BA109:BA116" si="92">(AO108+AM108)/(1+1)</f>
        <v>69367.25</v>
      </c>
      <c r="BB109" s="43"/>
      <c r="BC109" s="51">
        <f t="shared" si="65"/>
        <v>70230</v>
      </c>
      <c r="BD109" s="52">
        <f t="shared" si="69"/>
        <v>69367.25</v>
      </c>
      <c r="BE109" s="37">
        <f t="shared" si="88"/>
        <v>862.75</v>
      </c>
      <c r="BF109">
        <f t="shared" si="89"/>
        <v>862.75</v>
      </c>
      <c r="BG109">
        <f t="shared" si="90"/>
        <v>1.228463619535811E-2</v>
      </c>
    </row>
    <row r="110" spans="1:59">
      <c r="A110" s="1" t="s">
        <v>111</v>
      </c>
      <c r="B110" s="1">
        <v>66110</v>
      </c>
      <c r="Q110">
        <v>107</v>
      </c>
      <c r="R110" s="27" t="str">
        <f t="shared" si="66"/>
        <v>16/12/2023</v>
      </c>
      <c r="S110" s="27">
        <f t="shared" si="66"/>
        <v>69080</v>
      </c>
      <c r="T110" s="4" t="str">
        <f t="shared" si="67"/>
        <v>A5</v>
      </c>
      <c r="V110">
        <v>107</v>
      </c>
      <c r="W110" s="28" t="str">
        <f t="shared" si="64"/>
        <v>16/12/2023</v>
      </c>
      <c r="X110" s="28">
        <f t="shared" si="64"/>
        <v>69080</v>
      </c>
      <c r="Y110" s="28" t="str">
        <f t="shared" si="64"/>
        <v>A5</v>
      </c>
      <c r="Z110" s="5" t="str">
        <f t="shared" si="70"/>
        <v>A5</v>
      </c>
      <c r="AA110" s="5" t="str">
        <f t="shared" si="68"/>
        <v>A5</v>
      </c>
      <c r="AG110" s="49" t="str">
        <f t="shared" si="63"/>
        <v>16/12/2023</v>
      </c>
      <c r="AH110" s="46">
        <f t="shared" si="63"/>
        <v>69080</v>
      </c>
      <c r="AI110" s="49" t="str">
        <f t="shared" si="63"/>
        <v>A5</v>
      </c>
      <c r="AJ110" s="49" t="str">
        <f t="shared" si="71"/>
        <v>A5</v>
      </c>
      <c r="AK110" s="50">
        <f t="shared" si="72"/>
        <v>67829.5</v>
      </c>
      <c r="AL110" s="49" t="str">
        <f t="shared" si="85"/>
        <v>A5</v>
      </c>
      <c r="AM110" s="50">
        <f t="shared" si="73"/>
        <v>67829.5</v>
      </c>
      <c r="AN110" s="56">
        <f t="shared" si="86"/>
        <v>470</v>
      </c>
      <c r="AO110" s="57">
        <f t="shared" si="87"/>
        <v>69315</v>
      </c>
      <c r="AP110" s="23">
        <f t="shared" si="74"/>
        <v>68845</v>
      </c>
      <c r="AQ110" s="23">
        <f t="shared" si="75"/>
        <v>69550</v>
      </c>
      <c r="AR110" s="23">
        <f t="shared" si="76"/>
        <v>68610</v>
      </c>
      <c r="AS110" s="23">
        <f t="shared" si="77"/>
        <v>69197.5</v>
      </c>
      <c r="AT110" s="23">
        <f t="shared" si="78"/>
        <v>68962.5</v>
      </c>
      <c r="AU110" s="23">
        <f t="shared" si="79"/>
        <v>70020</v>
      </c>
      <c r="AV110" s="23">
        <f t="shared" si="80"/>
        <v>68140</v>
      </c>
      <c r="AW110" s="23">
        <f t="shared" si="81"/>
        <v>69158.333333333328</v>
      </c>
      <c r="AX110" s="23">
        <f t="shared" si="82"/>
        <v>69001.666666666672</v>
      </c>
      <c r="AY110" s="23">
        <f t="shared" si="83"/>
        <v>70490</v>
      </c>
      <c r="AZ110" s="23">
        <f t="shared" si="84"/>
        <v>67670</v>
      </c>
      <c r="BA110" s="23">
        <f t="shared" si="92"/>
        <v>69314.75</v>
      </c>
      <c r="BB110" s="43"/>
      <c r="BC110" s="51">
        <f t="shared" si="65"/>
        <v>69080</v>
      </c>
      <c r="BD110" s="52">
        <f t="shared" si="69"/>
        <v>69314.75</v>
      </c>
      <c r="BE110" s="37">
        <f t="shared" si="88"/>
        <v>-234.75</v>
      </c>
      <c r="BF110">
        <f t="shared" si="89"/>
        <v>234.75</v>
      </c>
      <c r="BG110">
        <f t="shared" si="90"/>
        <v>3.3982339316734221E-3</v>
      </c>
    </row>
    <row r="111" spans="1:59">
      <c r="A111" s="1" t="s">
        <v>112</v>
      </c>
      <c r="B111" s="1">
        <v>65150</v>
      </c>
      <c r="Q111">
        <v>108</v>
      </c>
      <c r="R111" s="27" t="str">
        <f t="shared" si="66"/>
        <v>17/12/2023</v>
      </c>
      <c r="S111" s="27">
        <f t="shared" si="66"/>
        <v>67830</v>
      </c>
      <c r="T111" s="4" t="str">
        <f t="shared" si="67"/>
        <v>A5</v>
      </c>
      <c r="V111">
        <v>108</v>
      </c>
      <c r="W111" s="28" t="str">
        <f t="shared" si="64"/>
        <v>17/12/2023</v>
      </c>
      <c r="X111" s="28">
        <f t="shared" si="64"/>
        <v>67830</v>
      </c>
      <c r="Y111" s="28" t="str">
        <f t="shared" si="64"/>
        <v>A5</v>
      </c>
      <c r="Z111" s="5" t="str">
        <f t="shared" si="70"/>
        <v>A5</v>
      </c>
      <c r="AA111" s="5" t="str">
        <f t="shared" si="68"/>
        <v>A5</v>
      </c>
      <c r="AG111" s="49" t="str">
        <f t="shared" si="63"/>
        <v>17/12/2023</v>
      </c>
      <c r="AH111" s="46">
        <f t="shared" si="63"/>
        <v>67830</v>
      </c>
      <c r="AI111" s="49" t="str">
        <f t="shared" si="63"/>
        <v>A5</v>
      </c>
      <c r="AJ111" s="49" t="str">
        <f t="shared" si="71"/>
        <v>A5</v>
      </c>
      <c r="AK111" s="50">
        <f t="shared" si="72"/>
        <v>67829.5</v>
      </c>
      <c r="AL111" s="49" t="str">
        <f t="shared" si="85"/>
        <v>A5</v>
      </c>
      <c r="AM111" s="50">
        <f t="shared" si="73"/>
        <v>67829.5</v>
      </c>
      <c r="AN111" s="56">
        <f t="shared" si="86"/>
        <v>100</v>
      </c>
      <c r="AO111" s="57">
        <f t="shared" si="87"/>
        <v>67880</v>
      </c>
      <c r="AP111" s="23">
        <f t="shared" si="74"/>
        <v>67780</v>
      </c>
      <c r="AQ111" s="23">
        <f t="shared" si="75"/>
        <v>67930</v>
      </c>
      <c r="AR111" s="23">
        <f t="shared" si="76"/>
        <v>67730</v>
      </c>
      <c r="AS111" s="23">
        <f t="shared" si="77"/>
        <v>67855</v>
      </c>
      <c r="AT111" s="23">
        <f t="shared" si="78"/>
        <v>67805</v>
      </c>
      <c r="AU111" s="23">
        <f t="shared" si="79"/>
        <v>68030</v>
      </c>
      <c r="AV111" s="23">
        <f t="shared" si="80"/>
        <v>67630</v>
      </c>
      <c r="AW111" s="23">
        <f t="shared" si="81"/>
        <v>67846.666666666672</v>
      </c>
      <c r="AX111" s="23">
        <f t="shared" si="82"/>
        <v>67813.333333333328</v>
      </c>
      <c r="AY111" s="23">
        <f t="shared" si="83"/>
        <v>68130</v>
      </c>
      <c r="AZ111" s="23">
        <f t="shared" si="84"/>
        <v>67530</v>
      </c>
      <c r="BA111" s="23">
        <f t="shared" si="92"/>
        <v>68572.25</v>
      </c>
      <c r="BB111" s="43"/>
      <c r="BC111" s="51">
        <f t="shared" si="65"/>
        <v>67830</v>
      </c>
      <c r="BD111" s="52">
        <f t="shared" si="69"/>
        <v>68572.25</v>
      </c>
      <c r="BE111" s="37">
        <f t="shared" si="88"/>
        <v>-742.25</v>
      </c>
      <c r="BF111">
        <f t="shared" si="89"/>
        <v>742.25</v>
      </c>
      <c r="BG111">
        <f t="shared" si="90"/>
        <v>1.094279817190034E-2</v>
      </c>
    </row>
    <row r="112" spans="1:59">
      <c r="A112" s="1" t="s">
        <v>113</v>
      </c>
      <c r="B112" s="1">
        <v>66660</v>
      </c>
      <c r="Q112">
        <v>109</v>
      </c>
      <c r="R112" s="27" t="str">
        <f t="shared" si="66"/>
        <v>18/12/2023</v>
      </c>
      <c r="S112" s="27">
        <f t="shared" si="66"/>
        <v>66110</v>
      </c>
      <c r="T112" s="4" t="str">
        <f t="shared" si="67"/>
        <v>A5</v>
      </c>
      <c r="V112">
        <v>109</v>
      </c>
      <c r="W112" s="28" t="str">
        <f t="shared" si="64"/>
        <v>18/12/2023</v>
      </c>
      <c r="X112" s="28">
        <f t="shared" si="64"/>
        <v>66110</v>
      </c>
      <c r="Y112" s="28" t="str">
        <f t="shared" si="64"/>
        <v>A5</v>
      </c>
      <c r="Z112" s="5" t="str">
        <f t="shared" si="70"/>
        <v>A5</v>
      </c>
      <c r="AA112" s="5" t="str">
        <f t="shared" si="68"/>
        <v>A5</v>
      </c>
      <c r="AG112" s="49" t="str">
        <f t="shared" si="63"/>
        <v>18/12/2023</v>
      </c>
      <c r="AH112" s="46">
        <f t="shared" si="63"/>
        <v>66110</v>
      </c>
      <c r="AI112" s="49" t="str">
        <f t="shared" si="63"/>
        <v>A5</v>
      </c>
      <c r="AJ112" s="49" t="str">
        <f t="shared" si="71"/>
        <v>A5</v>
      </c>
      <c r="AK112" s="50">
        <f t="shared" si="72"/>
        <v>67829.5</v>
      </c>
      <c r="AL112" s="49" t="str">
        <f t="shared" si="85"/>
        <v>A5</v>
      </c>
      <c r="AM112" s="50">
        <f t="shared" si="73"/>
        <v>67829.5</v>
      </c>
      <c r="AN112" s="56">
        <f t="shared" si="86"/>
        <v>470</v>
      </c>
      <c r="AO112" s="57">
        <f t="shared" si="87"/>
        <v>66345</v>
      </c>
      <c r="AP112" s="23">
        <f t="shared" si="74"/>
        <v>65875</v>
      </c>
      <c r="AQ112" s="23">
        <f t="shared" si="75"/>
        <v>66580</v>
      </c>
      <c r="AR112" s="23">
        <f t="shared" si="76"/>
        <v>65640</v>
      </c>
      <c r="AS112" s="23">
        <f t="shared" si="77"/>
        <v>66227.5</v>
      </c>
      <c r="AT112" s="23">
        <f t="shared" si="78"/>
        <v>65992.5</v>
      </c>
      <c r="AU112" s="23">
        <f t="shared" si="79"/>
        <v>67050</v>
      </c>
      <c r="AV112" s="23">
        <f t="shared" si="80"/>
        <v>65170</v>
      </c>
      <c r="AW112" s="23">
        <f t="shared" si="81"/>
        <v>66188.333333333328</v>
      </c>
      <c r="AX112" s="23">
        <f t="shared" si="82"/>
        <v>66031.666666666672</v>
      </c>
      <c r="AY112" s="23">
        <f t="shared" si="83"/>
        <v>67520</v>
      </c>
      <c r="AZ112" s="23">
        <f t="shared" si="84"/>
        <v>64700</v>
      </c>
      <c r="BA112" s="23">
        <f t="shared" si="92"/>
        <v>67854.75</v>
      </c>
      <c r="BB112" s="43"/>
      <c r="BC112" s="51">
        <f t="shared" si="65"/>
        <v>66110</v>
      </c>
      <c r="BD112" s="52">
        <f t="shared" si="69"/>
        <v>67854.75</v>
      </c>
      <c r="BE112" s="37">
        <f t="shared" si="88"/>
        <v>-1744.75</v>
      </c>
      <c r="BF112">
        <f t="shared" si="89"/>
        <v>1744.75</v>
      </c>
      <c r="BG112">
        <f t="shared" si="90"/>
        <v>2.639162002722735E-2</v>
      </c>
    </row>
    <row r="113" spans="1:59">
      <c r="A113" s="1" t="s">
        <v>114</v>
      </c>
      <c r="B113" s="1">
        <v>63750</v>
      </c>
      <c r="Q113">
        <v>110</v>
      </c>
      <c r="R113" s="27" t="str">
        <f t="shared" si="66"/>
        <v>19/12/2023</v>
      </c>
      <c r="S113" s="27">
        <f t="shared" si="66"/>
        <v>65150</v>
      </c>
      <c r="T113" s="4" t="str">
        <f t="shared" si="67"/>
        <v>A5</v>
      </c>
      <c r="V113">
        <v>110</v>
      </c>
      <c r="W113" s="28" t="str">
        <f t="shared" si="64"/>
        <v>19/12/2023</v>
      </c>
      <c r="X113" s="28">
        <f t="shared" si="64"/>
        <v>65150</v>
      </c>
      <c r="Y113" s="28" t="str">
        <f t="shared" si="64"/>
        <v>A5</v>
      </c>
      <c r="Z113" s="5" t="str">
        <f t="shared" si="70"/>
        <v>A5</v>
      </c>
      <c r="AA113" s="5" t="str">
        <f t="shared" si="68"/>
        <v>A5</v>
      </c>
      <c r="AG113" s="49" t="str">
        <f t="shared" si="63"/>
        <v>19/12/2023</v>
      </c>
      <c r="AH113" s="46">
        <f t="shared" si="63"/>
        <v>65150</v>
      </c>
      <c r="AI113" s="49" t="str">
        <f t="shared" si="63"/>
        <v>A5</v>
      </c>
      <c r="AJ113" s="49" t="str">
        <f t="shared" si="71"/>
        <v>A5</v>
      </c>
      <c r="AK113" s="50">
        <f t="shared" si="72"/>
        <v>67829.5</v>
      </c>
      <c r="AL113" s="49" t="str">
        <f t="shared" si="85"/>
        <v>A5</v>
      </c>
      <c r="AM113" s="50">
        <f t="shared" si="73"/>
        <v>67829.5</v>
      </c>
      <c r="AN113" s="56">
        <f t="shared" si="86"/>
        <v>760</v>
      </c>
      <c r="AO113" s="57">
        <f t="shared" si="87"/>
        <v>65530</v>
      </c>
      <c r="AP113" s="23">
        <f t="shared" si="74"/>
        <v>64770</v>
      </c>
      <c r="AQ113" s="23">
        <f t="shared" si="75"/>
        <v>65910</v>
      </c>
      <c r="AR113" s="23">
        <f t="shared" si="76"/>
        <v>64390</v>
      </c>
      <c r="AS113" s="23">
        <f t="shared" si="77"/>
        <v>65340</v>
      </c>
      <c r="AT113" s="23">
        <f t="shared" si="78"/>
        <v>64960</v>
      </c>
      <c r="AU113" s="23">
        <f t="shared" si="79"/>
        <v>66670</v>
      </c>
      <c r="AV113" s="23">
        <f t="shared" si="80"/>
        <v>63630</v>
      </c>
      <c r="AW113" s="23">
        <f t="shared" si="81"/>
        <v>65276.666666666664</v>
      </c>
      <c r="AX113" s="23">
        <f t="shared" si="82"/>
        <v>65023.333333333336</v>
      </c>
      <c r="AY113" s="23">
        <f t="shared" si="83"/>
        <v>67430</v>
      </c>
      <c r="AZ113" s="23">
        <f t="shared" si="84"/>
        <v>62870</v>
      </c>
      <c r="BA113" s="23">
        <f t="shared" si="92"/>
        <v>67087.25</v>
      </c>
      <c r="BB113" s="43"/>
      <c r="BC113" s="51">
        <f t="shared" si="65"/>
        <v>65150</v>
      </c>
      <c r="BD113" s="52">
        <f t="shared" si="69"/>
        <v>67087.25</v>
      </c>
      <c r="BE113" s="37">
        <f t="shared" si="88"/>
        <v>-1937.25</v>
      </c>
      <c r="BF113">
        <f t="shared" si="89"/>
        <v>1937.25</v>
      </c>
      <c r="BG113">
        <f t="shared" si="90"/>
        <v>2.9735226400613969E-2</v>
      </c>
    </row>
    <row r="114" spans="1:59">
      <c r="A114" s="1" t="s">
        <v>115</v>
      </c>
      <c r="B114" s="1">
        <v>62890</v>
      </c>
      <c r="Q114">
        <v>111</v>
      </c>
      <c r="R114" s="27" t="str">
        <f t="shared" si="66"/>
        <v>20/12/2023</v>
      </c>
      <c r="S114" s="27">
        <f t="shared" si="66"/>
        <v>66660</v>
      </c>
      <c r="T114" s="4" t="str">
        <f t="shared" si="67"/>
        <v>A5</v>
      </c>
      <c r="V114">
        <v>111</v>
      </c>
      <c r="W114" s="28" t="str">
        <f t="shared" si="64"/>
        <v>20/12/2023</v>
      </c>
      <c r="X114" s="28">
        <f t="shared" si="64"/>
        <v>66660</v>
      </c>
      <c r="Y114" s="28" t="str">
        <f t="shared" si="64"/>
        <v>A5</v>
      </c>
      <c r="Z114" s="5" t="str">
        <f t="shared" si="70"/>
        <v>A5</v>
      </c>
      <c r="AA114" s="5" t="str">
        <f t="shared" si="68"/>
        <v>A5</v>
      </c>
      <c r="AG114" s="49" t="str">
        <f t="shared" si="63"/>
        <v>20/12/2023</v>
      </c>
      <c r="AH114" s="46">
        <f t="shared" si="63"/>
        <v>66660</v>
      </c>
      <c r="AI114" s="49" t="str">
        <f t="shared" si="63"/>
        <v>A5</v>
      </c>
      <c r="AJ114" s="49" t="str">
        <f t="shared" si="71"/>
        <v>A5</v>
      </c>
      <c r="AK114" s="50">
        <f t="shared" si="72"/>
        <v>67829.5</v>
      </c>
      <c r="AL114" s="49" t="str">
        <f t="shared" si="85"/>
        <v>A5</v>
      </c>
      <c r="AM114" s="50">
        <f t="shared" si="73"/>
        <v>67829.5</v>
      </c>
      <c r="AN114" s="56">
        <f t="shared" si="86"/>
        <v>550</v>
      </c>
      <c r="AO114" s="57">
        <f t="shared" si="87"/>
        <v>66935</v>
      </c>
      <c r="AP114" s="23">
        <f t="shared" si="74"/>
        <v>66385</v>
      </c>
      <c r="AQ114" s="23">
        <f t="shared" si="75"/>
        <v>67210</v>
      </c>
      <c r="AR114" s="23">
        <f t="shared" si="76"/>
        <v>66110</v>
      </c>
      <c r="AS114" s="23">
        <f t="shared" si="77"/>
        <v>66797.5</v>
      </c>
      <c r="AT114" s="23">
        <f t="shared" si="78"/>
        <v>66522.5</v>
      </c>
      <c r="AU114" s="23">
        <f t="shared" si="79"/>
        <v>67760</v>
      </c>
      <c r="AV114" s="23">
        <f t="shared" si="80"/>
        <v>65560</v>
      </c>
      <c r="AW114" s="23">
        <f t="shared" si="81"/>
        <v>66751.666666666672</v>
      </c>
      <c r="AX114" s="23">
        <f t="shared" si="82"/>
        <v>66568.333333333328</v>
      </c>
      <c r="AY114" s="23">
        <f t="shared" si="83"/>
        <v>68310</v>
      </c>
      <c r="AZ114" s="23">
        <f t="shared" si="84"/>
        <v>65010</v>
      </c>
      <c r="BA114" s="23">
        <f t="shared" si="92"/>
        <v>66679.75</v>
      </c>
      <c r="BB114" s="43"/>
      <c r="BC114" s="51">
        <f t="shared" si="65"/>
        <v>66660</v>
      </c>
      <c r="BD114" s="52">
        <f t="shared" si="69"/>
        <v>66679.75</v>
      </c>
      <c r="BE114" s="37">
        <f t="shared" si="88"/>
        <v>-19.75</v>
      </c>
      <c r="BF114">
        <f t="shared" si="89"/>
        <v>19.75</v>
      </c>
      <c r="BG114">
        <f t="shared" si="90"/>
        <v>2.9627962796279628E-4</v>
      </c>
    </row>
    <row r="115" spans="1:59">
      <c r="A115" s="1" t="s">
        <v>116</v>
      </c>
      <c r="B115" s="1">
        <v>58530</v>
      </c>
      <c r="Q115">
        <v>112</v>
      </c>
      <c r="R115" s="27" t="str">
        <f t="shared" si="66"/>
        <v>21/12/2023</v>
      </c>
      <c r="S115" s="27">
        <f t="shared" si="66"/>
        <v>63750</v>
      </c>
      <c r="T115" s="4" t="str">
        <f t="shared" si="67"/>
        <v>A4</v>
      </c>
      <c r="V115">
        <v>112</v>
      </c>
      <c r="W115" s="28" t="str">
        <f t="shared" si="64"/>
        <v>21/12/2023</v>
      </c>
      <c r="X115" s="28">
        <f t="shared" si="64"/>
        <v>63750</v>
      </c>
      <c r="Y115" s="28" t="str">
        <f t="shared" si="64"/>
        <v>A4</v>
      </c>
      <c r="Z115" s="5" t="str">
        <f t="shared" si="70"/>
        <v>A5</v>
      </c>
      <c r="AA115" s="5" t="str">
        <f t="shared" si="68"/>
        <v>A4</v>
      </c>
      <c r="AG115" s="49" t="str">
        <f t="shared" si="63"/>
        <v>21/12/2023</v>
      </c>
      <c r="AH115" s="46">
        <f t="shared" si="63"/>
        <v>63750</v>
      </c>
      <c r="AI115" s="49" t="str">
        <f t="shared" si="63"/>
        <v>A4</v>
      </c>
      <c r="AJ115" s="49" t="str">
        <f t="shared" si="71"/>
        <v>A5</v>
      </c>
      <c r="AK115" s="50">
        <f t="shared" si="72"/>
        <v>67829.5</v>
      </c>
      <c r="AL115" s="49" t="str">
        <f t="shared" si="85"/>
        <v>A4</v>
      </c>
      <c r="AM115" s="50">
        <f t="shared" si="73"/>
        <v>61798.5</v>
      </c>
      <c r="AN115" s="56">
        <f t="shared" si="86"/>
        <v>1400</v>
      </c>
      <c r="AO115" s="57">
        <f t="shared" si="87"/>
        <v>64450</v>
      </c>
      <c r="AP115" s="23">
        <f t="shared" si="74"/>
        <v>63050</v>
      </c>
      <c r="AQ115" s="23">
        <f t="shared" si="75"/>
        <v>65150</v>
      </c>
      <c r="AR115" s="23">
        <f t="shared" si="76"/>
        <v>62350</v>
      </c>
      <c r="AS115" s="23">
        <f t="shared" si="77"/>
        <v>64100</v>
      </c>
      <c r="AT115" s="23">
        <f t="shared" si="78"/>
        <v>63400</v>
      </c>
      <c r="AU115" s="23">
        <f t="shared" si="79"/>
        <v>66550</v>
      </c>
      <c r="AV115" s="23">
        <f t="shared" si="80"/>
        <v>60950</v>
      </c>
      <c r="AW115" s="23">
        <f t="shared" si="81"/>
        <v>63983.333333333336</v>
      </c>
      <c r="AX115" s="23">
        <f t="shared" si="82"/>
        <v>63516.666666666664</v>
      </c>
      <c r="AY115" s="23">
        <f t="shared" si="83"/>
        <v>67950</v>
      </c>
      <c r="AZ115" s="23">
        <f t="shared" si="84"/>
        <v>59550</v>
      </c>
      <c r="BA115" s="23">
        <f t="shared" si="92"/>
        <v>67382.25</v>
      </c>
      <c r="BB115" s="43"/>
      <c r="BC115" s="51">
        <f t="shared" si="65"/>
        <v>63750</v>
      </c>
      <c r="BD115" s="52">
        <f t="shared" si="69"/>
        <v>67382.25</v>
      </c>
      <c r="BE115" s="37">
        <f t="shared" si="88"/>
        <v>-3632.25</v>
      </c>
      <c r="BF115">
        <f t="shared" si="89"/>
        <v>3632.25</v>
      </c>
      <c r="BG115">
        <f t="shared" si="90"/>
        <v>5.6976470588235295E-2</v>
      </c>
    </row>
    <row r="116" spans="1:59">
      <c r="A116" s="1" t="s">
        <v>117</v>
      </c>
      <c r="B116" s="1">
        <v>59070</v>
      </c>
      <c r="Q116">
        <v>113</v>
      </c>
      <c r="R116" s="27" t="str">
        <f t="shared" si="66"/>
        <v>22/12/2023</v>
      </c>
      <c r="S116" s="27">
        <f t="shared" si="66"/>
        <v>62890</v>
      </c>
      <c r="T116" s="4" t="str">
        <f t="shared" si="67"/>
        <v>A4</v>
      </c>
      <c r="V116">
        <v>113</v>
      </c>
      <c r="W116" s="28" t="str">
        <f t="shared" si="64"/>
        <v>22/12/2023</v>
      </c>
      <c r="X116" s="28">
        <f t="shared" si="64"/>
        <v>62890</v>
      </c>
      <c r="Y116" s="28" t="str">
        <f t="shared" si="64"/>
        <v>A4</v>
      </c>
      <c r="Z116" s="5" t="str">
        <f t="shared" si="70"/>
        <v>A4</v>
      </c>
      <c r="AA116" s="5" t="str">
        <f t="shared" si="68"/>
        <v>A4</v>
      </c>
      <c r="AG116" s="49" t="str">
        <f t="shared" si="63"/>
        <v>22/12/2023</v>
      </c>
      <c r="AH116" s="46">
        <f t="shared" si="63"/>
        <v>62890</v>
      </c>
      <c r="AI116" s="49" t="str">
        <f t="shared" si="63"/>
        <v>A4</v>
      </c>
      <c r="AJ116" s="49" t="str">
        <f t="shared" si="71"/>
        <v>A4</v>
      </c>
      <c r="AK116" s="50">
        <f t="shared" si="72"/>
        <v>61798.5</v>
      </c>
      <c r="AL116" s="49" t="str">
        <f t="shared" si="85"/>
        <v>A4</v>
      </c>
      <c r="AM116" s="50">
        <f t="shared" si="73"/>
        <v>61798.5</v>
      </c>
      <c r="AN116" s="56">
        <f t="shared" si="86"/>
        <v>2050</v>
      </c>
      <c r="AO116" s="23">
        <f t="shared" si="87"/>
        <v>63915</v>
      </c>
      <c r="AP116" s="57">
        <f t="shared" si="74"/>
        <v>61865</v>
      </c>
      <c r="AQ116" s="23">
        <f t="shared" si="75"/>
        <v>64940</v>
      </c>
      <c r="AR116" s="23">
        <f t="shared" si="76"/>
        <v>60840</v>
      </c>
      <c r="AS116" s="23">
        <f t="shared" si="77"/>
        <v>63402.5</v>
      </c>
      <c r="AT116" s="23">
        <f t="shared" si="78"/>
        <v>62377.5</v>
      </c>
      <c r="AU116" s="23">
        <f t="shared" si="79"/>
        <v>66990</v>
      </c>
      <c r="AV116" s="23">
        <f t="shared" si="80"/>
        <v>58790</v>
      </c>
      <c r="AW116" s="23">
        <f t="shared" si="81"/>
        <v>63231.666666666664</v>
      </c>
      <c r="AX116" s="23">
        <f t="shared" si="82"/>
        <v>62548.333333333336</v>
      </c>
      <c r="AY116" s="23">
        <f t="shared" si="83"/>
        <v>69040</v>
      </c>
      <c r="AZ116" s="23">
        <f t="shared" si="84"/>
        <v>56740</v>
      </c>
      <c r="BA116" s="23">
        <f t="shared" si="92"/>
        <v>63124.25</v>
      </c>
      <c r="BB116" s="43"/>
      <c r="BC116" s="51">
        <f t="shared" si="65"/>
        <v>62890</v>
      </c>
      <c r="BD116" s="52">
        <f t="shared" si="69"/>
        <v>63124.25</v>
      </c>
      <c r="BE116" s="37">
        <f t="shared" si="88"/>
        <v>-234.25</v>
      </c>
      <c r="BF116">
        <f t="shared" si="89"/>
        <v>234.25</v>
      </c>
      <c r="BG116">
        <f t="shared" si="90"/>
        <v>3.7247575131181426E-3</v>
      </c>
    </row>
    <row r="117" spans="1:59">
      <c r="A117" s="1" t="s">
        <v>118</v>
      </c>
      <c r="B117" s="1">
        <v>59810</v>
      </c>
      <c r="Q117">
        <v>114</v>
      </c>
      <c r="R117" s="27" t="str">
        <f t="shared" si="66"/>
        <v>23/12/2023</v>
      </c>
      <c r="S117" s="27">
        <f t="shared" si="66"/>
        <v>58530</v>
      </c>
      <c r="T117" s="4" t="str">
        <f t="shared" si="67"/>
        <v>A3</v>
      </c>
      <c r="V117">
        <v>114</v>
      </c>
      <c r="W117" s="28" t="str">
        <f t="shared" si="64"/>
        <v>23/12/2023</v>
      </c>
      <c r="X117" s="28">
        <f t="shared" si="64"/>
        <v>58530</v>
      </c>
      <c r="Y117" s="28" t="str">
        <f t="shared" si="64"/>
        <v>A3</v>
      </c>
      <c r="Z117" s="5" t="str">
        <f t="shared" si="70"/>
        <v>A4</v>
      </c>
      <c r="AA117" s="5" t="str">
        <f t="shared" si="68"/>
        <v>A3</v>
      </c>
      <c r="AG117" s="49" t="str">
        <f t="shared" si="63"/>
        <v>23/12/2023</v>
      </c>
      <c r="AH117" s="46">
        <f t="shared" si="63"/>
        <v>58530</v>
      </c>
      <c r="AI117" s="49" t="str">
        <f t="shared" si="63"/>
        <v>A3</v>
      </c>
      <c r="AJ117" s="49" t="str">
        <f t="shared" si="71"/>
        <v>A4</v>
      </c>
      <c r="AK117" s="50">
        <f t="shared" si="72"/>
        <v>61798.5</v>
      </c>
      <c r="AL117" s="49" t="str">
        <f t="shared" si="85"/>
        <v>A3</v>
      </c>
      <c r="AM117" s="50">
        <f t="shared" si="73"/>
        <v>55767.5</v>
      </c>
      <c r="AN117" s="56">
        <f t="shared" si="86"/>
        <v>3500</v>
      </c>
      <c r="AO117" s="57">
        <f t="shared" si="87"/>
        <v>60280</v>
      </c>
      <c r="AP117" s="23">
        <f t="shared" si="74"/>
        <v>56780</v>
      </c>
      <c r="AQ117" s="23">
        <f t="shared" si="75"/>
        <v>62030</v>
      </c>
      <c r="AR117" s="23">
        <f t="shared" si="76"/>
        <v>55030</v>
      </c>
      <c r="AS117" s="23">
        <f t="shared" si="77"/>
        <v>59405</v>
      </c>
      <c r="AT117" s="23">
        <f t="shared" si="78"/>
        <v>57655</v>
      </c>
      <c r="AU117" s="23">
        <f t="shared" si="79"/>
        <v>65530</v>
      </c>
      <c r="AV117" s="23">
        <f t="shared" si="80"/>
        <v>51530</v>
      </c>
      <c r="AW117" s="23">
        <f t="shared" si="81"/>
        <v>59113.333333333336</v>
      </c>
      <c r="AX117" s="23">
        <f t="shared" si="82"/>
        <v>57946.666666666664</v>
      </c>
      <c r="AY117" s="23">
        <f t="shared" si="83"/>
        <v>69030</v>
      </c>
      <c r="AZ117" s="23">
        <f t="shared" si="84"/>
        <v>48030</v>
      </c>
      <c r="BA117" s="23">
        <f>(AP116+AM116)/(1+1)</f>
        <v>61831.75</v>
      </c>
      <c r="BB117" s="43"/>
      <c r="BC117" s="51">
        <f t="shared" si="65"/>
        <v>58530</v>
      </c>
      <c r="BD117" s="52">
        <f t="shared" si="69"/>
        <v>61831.75</v>
      </c>
      <c r="BE117" s="37">
        <f t="shared" si="88"/>
        <v>-3301.75</v>
      </c>
      <c r="BF117">
        <f t="shared" si="89"/>
        <v>3301.75</v>
      </c>
      <c r="BG117">
        <f t="shared" si="90"/>
        <v>5.6411242098069365E-2</v>
      </c>
    </row>
    <row r="118" spans="1:59">
      <c r="A118" s="1" t="s">
        <v>119</v>
      </c>
      <c r="B118" s="1">
        <v>61730</v>
      </c>
      <c r="Q118">
        <v>115</v>
      </c>
      <c r="R118" s="27" t="str">
        <f t="shared" si="66"/>
        <v>24/12/2023</v>
      </c>
      <c r="S118" s="27">
        <f t="shared" si="66"/>
        <v>59070</v>
      </c>
      <c r="T118" s="4" t="str">
        <f t="shared" si="67"/>
        <v>A4</v>
      </c>
      <c r="V118">
        <v>115</v>
      </c>
      <c r="W118" s="28" t="str">
        <f t="shared" si="64"/>
        <v>24/12/2023</v>
      </c>
      <c r="X118" s="28">
        <f t="shared" si="64"/>
        <v>59070</v>
      </c>
      <c r="Y118" s="28" t="str">
        <f t="shared" si="64"/>
        <v>A4</v>
      </c>
      <c r="Z118" s="5" t="str">
        <f t="shared" si="70"/>
        <v>A3</v>
      </c>
      <c r="AA118" s="5" t="str">
        <f t="shared" si="68"/>
        <v>A4</v>
      </c>
      <c r="AG118" s="49" t="str">
        <f t="shared" si="63"/>
        <v>24/12/2023</v>
      </c>
      <c r="AH118" s="46">
        <f t="shared" si="63"/>
        <v>59070</v>
      </c>
      <c r="AI118" s="49" t="str">
        <f t="shared" si="63"/>
        <v>A4</v>
      </c>
      <c r="AJ118" s="49" t="str">
        <f t="shared" si="71"/>
        <v>A3</v>
      </c>
      <c r="AK118" s="50">
        <f t="shared" si="72"/>
        <v>55767.5</v>
      </c>
      <c r="AL118" s="49" t="str">
        <f t="shared" si="85"/>
        <v>A4</v>
      </c>
      <c r="AM118" s="50">
        <f t="shared" si="73"/>
        <v>61798.5</v>
      </c>
      <c r="AN118" s="56">
        <f t="shared" si="86"/>
        <v>3820</v>
      </c>
      <c r="AO118" s="57">
        <f t="shared" si="87"/>
        <v>60980</v>
      </c>
      <c r="AP118" s="23">
        <f t="shared" si="74"/>
        <v>57160</v>
      </c>
      <c r="AQ118" s="23">
        <f t="shared" si="75"/>
        <v>62890</v>
      </c>
      <c r="AR118" s="23">
        <f t="shared" si="76"/>
        <v>55250</v>
      </c>
      <c r="AS118" s="23">
        <f t="shared" si="77"/>
        <v>60025</v>
      </c>
      <c r="AT118" s="23">
        <f t="shared" si="78"/>
        <v>58115</v>
      </c>
      <c r="AU118" s="23">
        <f t="shared" si="79"/>
        <v>66710</v>
      </c>
      <c r="AV118" s="23">
        <f t="shared" si="80"/>
        <v>51430</v>
      </c>
      <c r="AW118" s="23">
        <f t="shared" si="81"/>
        <v>59706.666666666664</v>
      </c>
      <c r="AX118" s="23">
        <f t="shared" si="82"/>
        <v>58433.333333333336</v>
      </c>
      <c r="AY118" s="23">
        <f t="shared" si="83"/>
        <v>70530</v>
      </c>
      <c r="AZ118" s="23">
        <f t="shared" si="84"/>
        <v>47610</v>
      </c>
      <c r="BA118" s="23">
        <f t="shared" ref="BA118:BA126" si="93">(AO117+AM117)/(1+1)</f>
        <v>58023.75</v>
      </c>
      <c r="BB118" s="43"/>
      <c r="BC118" s="51">
        <f t="shared" si="65"/>
        <v>59070</v>
      </c>
      <c r="BD118" s="52">
        <f t="shared" si="69"/>
        <v>58023.75</v>
      </c>
      <c r="BE118" s="37">
        <f t="shared" si="88"/>
        <v>1046.25</v>
      </c>
      <c r="BF118">
        <f t="shared" si="89"/>
        <v>1046.25</v>
      </c>
      <c r="BG118">
        <f t="shared" si="90"/>
        <v>1.7712036566785171E-2</v>
      </c>
    </row>
    <row r="119" spans="1:59">
      <c r="A119" s="1" t="s">
        <v>120</v>
      </c>
      <c r="B119" s="1">
        <v>61530</v>
      </c>
      <c r="Q119">
        <v>116</v>
      </c>
      <c r="R119" s="27" t="str">
        <f t="shared" si="66"/>
        <v>25/12/2023</v>
      </c>
      <c r="S119" s="27">
        <f t="shared" si="66"/>
        <v>59810</v>
      </c>
      <c r="T119" s="4" t="str">
        <f t="shared" si="67"/>
        <v>A4</v>
      </c>
      <c r="V119">
        <v>116</v>
      </c>
      <c r="W119" s="28" t="str">
        <f t="shared" si="64"/>
        <v>25/12/2023</v>
      </c>
      <c r="X119" s="28">
        <f t="shared" si="64"/>
        <v>59810</v>
      </c>
      <c r="Y119" s="28" t="str">
        <f t="shared" si="64"/>
        <v>A4</v>
      </c>
      <c r="Z119" s="5" t="str">
        <f t="shared" si="70"/>
        <v>A4</v>
      </c>
      <c r="AA119" s="5" t="str">
        <f t="shared" si="68"/>
        <v>A4</v>
      </c>
      <c r="AG119" s="49" t="str">
        <f t="shared" si="63"/>
        <v>25/12/2023</v>
      </c>
      <c r="AH119" s="46">
        <f t="shared" si="63"/>
        <v>59810</v>
      </c>
      <c r="AI119" s="49" t="str">
        <f t="shared" si="63"/>
        <v>A4</v>
      </c>
      <c r="AJ119" s="49" t="str">
        <f t="shared" si="71"/>
        <v>A4</v>
      </c>
      <c r="AK119" s="50">
        <f t="shared" si="72"/>
        <v>61798.5</v>
      </c>
      <c r="AL119" s="49" t="str">
        <f t="shared" si="85"/>
        <v>A4</v>
      </c>
      <c r="AM119" s="50">
        <f t="shared" si="73"/>
        <v>61798.5</v>
      </c>
      <c r="AN119" s="56">
        <f t="shared" si="86"/>
        <v>200</v>
      </c>
      <c r="AO119" s="57">
        <f t="shared" si="87"/>
        <v>59910</v>
      </c>
      <c r="AP119" s="23">
        <f t="shared" si="74"/>
        <v>59710</v>
      </c>
      <c r="AQ119" s="23">
        <f t="shared" si="75"/>
        <v>60010</v>
      </c>
      <c r="AR119" s="23">
        <f t="shared" si="76"/>
        <v>59610</v>
      </c>
      <c r="AS119" s="23">
        <f t="shared" si="77"/>
        <v>59860</v>
      </c>
      <c r="AT119" s="23">
        <f t="shared" si="78"/>
        <v>59760</v>
      </c>
      <c r="AU119" s="23">
        <f t="shared" si="79"/>
        <v>60210</v>
      </c>
      <c r="AV119" s="23">
        <f t="shared" si="80"/>
        <v>59410</v>
      </c>
      <c r="AW119" s="23">
        <f t="shared" si="81"/>
        <v>59843.333333333336</v>
      </c>
      <c r="AX119" s="23">
        <f t="shared" si="82"/>
        <v>59776.666666666664</v>
      </c>
      <c r="AY119" s="23">
        <f t="shared" si="83"/>
        <v>60410</v>
      </c>
      <c r="AZ119" s="23">
        <f t="shared" si="84"/>
        <v>59210</v>
      </c>
      <c r="BA119" s="23">
        <f t="shared" si="93"/>
        <v>61389.25</v>
      </c>
      <c r="BB119" s="43"/>
      <c r="BC119" s="51">
        <f t="shared" si="65"/>
        <v>59810</v>
      </c>
      <c r="BD119" s="52">
        <f t="shared" si="69"/>
        <v>61389.25</v>
      </c>
      <c r="BE119" s="37">
        <f t="shared" si="88"/>
        <v>-1579.25</v>
      </c>
      <c r="BF119">
        <f t="shared" si="89"/>
        <v>1579.25</v>
      </c>
      <c r="BG119">
        <f t="shared" si="90"/>
        <v>2.640444741681993E-2</v>
      </c>
    </row>
    <row r="120" spans="1:59">
      <c r="A120" s="1" t="s">
        <v>121</v>
      </c>
      <c r="B120" s="1">
        <v>59510</v>
      </c>
      <c r="Q120">
        <v>117</v>
      </c>
      <c r="R120" s="27" t="str">
        <f t="shared" si="66"/>
        <v>26/12/2023</v>
      </c>
      <c r="S120" s="27">
        <f t="shared" si="66"/>
        <v>61730</v>
      </c>
      <c r="T120" s="4" t="str">
        <f t="shared" si="67"/>
        <v>A4</v>
      </c>
      <c r="V120">
        <v>117</v>
      </c>
      <c r="W120" s="28" t="str">
        <f t="shared" si="64"/>
        <v>26/12/2023</v>
      </c>
      <c r="X120" s="28">
        <f t="shared" si="64"/>
        <v>61730</v>
      </c>
      <c r="Y120" s="28" t="str">
        <f t="shared" si="64"/>
        <v>A4</v>
      </c>
      <c r="Z120" s="5" t="str">
        <f t="shared" si="70"/>
        <v>A4</v>
      </c>
      <c r="AA120" s="5" t="str">
        <f t="shared" si="68"/>
        <v>A4</v>
      </c>
      <c r="AG120" s="49" t="str">
        <f t="shared" si="63"/>
        <v>26/12/2023</v>
      </c>
      <c r="AH120" s="46">
        <f t="shared" si="63"/>
        <v>61730</v>
      </c>
      <c r="AI120" s="49" t="str">
        <f t="shared" si="63"/>
        <v>A4</v>
      </c>
      <c r="AJ120" s="49" t="str">
        <f t="shared" si="71"/>
        <v>A4</v>
      </c>
      <c r="AK120" s="50">
        <f t="shared" si="72"/>
        <v>61798.5</v>
      </c>
      <c r="AL120" s="49" t="str">
        <f t="shared" si="85"/>
        <v>A4</v>
      </c>
      <c r="AM120" s="50">
        <f t="shared" si="73"/>
        <v>61798.5</v>
      </c>
      <c r="AN120" s="56">
        <f t="shared" si="86"/>
        <v>1180</v>
      </c>
      <c r="AO120" s="57">
        <f t="shared" si="87"/>
        <v>62320</v>
      </c>
      <c r="AP120" s="23">
        <f t="shared" si="74"/>
        <v>61140</v>
      </c>
      <c r="AQ120" s="23">
        <f t="shared" si="75"/>
        <v>62910</v>
      </c>
      <c r="AR120" s="23">
        <f t="shared" si="76"/>
        <v>60550</v>
      </c>
      <c r="AS120" s="23">
        <f t="shared" si="77"/>
        <v>62025</v>
      </c>
      <c r="AT120" s="23">
        <f t="shared" si="78"/>
        <v>61435</v>
      </c>
      <c r="AU120" s="23">
        <f t="shared" si="79"/>
        <v>64090</v>
      </c>
      <c r="AV120" s="23">
        <f t="shared" si="80"/>
        <v>59370</v>
      </c>
      <c r="AW120" s="23">
        <f t="shared" si="81"/>
        <v>61926.666666666664</v>
      </c>
      <c r="AX120" s="23">
        <f t="shared" si="82"/>
        <v>61533.333333333336</v>
      </c>
      <c r="AY120" s="23">
        <f t="shared" si="83"/>
        <v>65270</v>
      </c>
      <c r="AZ120" s="23">
        <f t="shared" si="84"/>
        <v>58190</v>
      </c>
      <c r="BA120" s="23">
        <f t="shared" si="93"/>
        <v>60854.25</v>
      </c>
      <c r="BB120" s="43"/>
      <c r="BC120" s="51">
        <f t="shared" si="65"/>
        <v>61730</v>
      </c>
      <c r="BD120" s="52">
        <f t="shared" si="69"/>
        <v>60854.25</v>
      </c>
      <c r="BE120" s="37">
        <f t="shared" si="88"/>
        <v>875.75</v>
      </c>
      <c r="BF120">
        <f t="shared" si="89"/>
        <v>875.75</v>
      </c>
      <c r="BG120">
        <f t="shared" si="90"/>
        <v>1.4186781143690264E-2</v>
      </c>
    </row>
    <row r="121" spans="1:59">
      <c r="A121" s="1" t="s">
        <v>122</v>
      </c>
      <c r="B121" s="1">
        <v>59530</v>
      </c>
      <c r="Q121">
        <v>118</v>
      </c>
      <c r="R121" s="27" t="str">
        <f t="shared" si="66"/>
        <v>27/12/2023</v>
      </c>
      <c r="S121" s="27">
        <f t="shared" si="66"/>
        <v>61530</v>
      </c>
      <c r="T121" s="4" t="str">
        <f t="shared" si="67"/>
        <v>A4</v>
      </c>
      <c r="V121">
        <v>118</v>
      </c>
      <c r="W121" s="28" t="str">
        <f t="shared" si="64"/>
        <v>27/12/2023</v>
      </c>
      <c r="X121" s="28">
        <f t="shared" si="64"/>
        <v>61530</v>
      </c>
      <c r="Y121" s="28" t="str">
        <f t="shared" si="64"/>
        <v>A4</v>
      </c>
      <c r="Z121" s="5" t="str">
        <f t="shared" si="70"/>
        <v>A4</v>
      </c>
      <c r="AA121" s="5" t="str">
        <f t="shared" si="68"/>
        <v>A4</v>
      </c>
      <c r="AG121" s="49" t="str">
        <f t="shared" si="63"/>
        <v>27/12/2023</v>
      </c>
      <c r="AH121" s="46">
        <f t="shared" si="63"/>
        <v>61530</v>
      </c>
      <c r="AI121" s="49" t="str">
        <f t="shared" si="63"/>
        <v>A4</v>
      </c>
      <c r="AJ121" s="49" t="str">
        <f t="shared" si="71"/>
        <v>A4</v>
      </c>
      <c r="AK121" s="50">
        <f t="shared" si="72"/>
        <v>61798.5</v>
      </c>
      <c r="AL121" s="49" t="str">
        <f t="shared" si="85"/>
        <v>A4</v>
      </c>
      <c r="AM121" s="50">
        <f t="shared" si="73"/>
        <v>61798.5</v>
      </c>
      <c r="AN121" s="56">
        <f t="shared" si="86"/>
        <v>1720</v>
      </c>
      <c r="AO121" s="57">
        <f t="shared" si="87"/>
        <v>62390</v>
      </c>
      <c r="AP121" s="23">
        <f t="shared" si="74"/>
        <v>60670</v>
      </c>
      <c r="AQ121" s="23">
        <f t="shared" si="75"/>
        <v>63250</v>
      </c>
      <c r="AR121" s="23">
        <f t="shared" si="76"/>
        <v>59810</v>
      </c>
      <c r="AS121" s="23">
        <f t="shared" si="77"/>
        <v>61960</v>
      </c>
      <c r="AT121" s="23">
        <f t="shared" si="78"/>
        <v>61100</v>
      </c>
      <c r="AU121" s="23">
        <f t="shared" si="79"/>
        <v>64970</v>
      </c>
      <c r="AV121" s="23">
        <f t="shared" si="80"/>
        <v>58090</v>
      </c>
      <c r="AW121" s="23">
        <f t="shared" si="81"/>
        <v>61816.666666666664</v>
      </c>
      <c r="AX121" s="23">
        <f t="shared" si="82"/>
        <v>61243.333333333336</v>
      </c>
      <c r="AY121" s="23">
        <f t="shared" si="83"/>
        <v>66690</v>
      </c>
      <c r="AZ121" s="23">
        <f t="shared" si="84"/>
        <v>56370</v>
      </c>
      <c r="BA121" s="23">
        <f t="shared" si="93"/>
        <v>62059.25</v>
      </c>
      <c r="BB121" s="43"/>
      <c r="BC121" s="51">
        <f t="shared" si="65"/>
        <v>61530</v>
      </c>
      <c r="BD121" s="52">
        <f t="shared" si="69"/>
        <v>62059.25</v>
      </c>
      <c r="BE121" s="37">
        <f t="shared" si="88"/>
        <v>-529.25</v>
      </c>
      <c r="BF121">
        <f t="shared" si="89"/>
        <v>529.25</v>
      </c>
      <c r="BG121">
        <f t="shared" si="90"/>
        <v>8.601495205590769E-3</v>
      </c>
    </row>
    <row r="122" spans="1:59">
      <c r="A122" s="1" t="s">
        <v>123</v>
      </c>
      <c r="B122" s="1">
        <v>60580</v>
      </c>
      <c r="Q122">
        <v>119</v>
      </c>
      <c r="R122" s="27" t="str">
        <f t="shared" si="66"/>
        <v>28/12/2023</v>
      </c>
      <c r="S122" s="27">
        <f t="shared" si="66"/>
        <v>59510</v>
      </c>
      <c r="T122" s="4" t="str">
        <f t="shared" si="67"/>
        <v>A4</v>
      </c>
      <c r="V122">
        <v>119</v>
      </c>
      <c r="W122" s="28" t="str">
        <f t="shared" si="64"/>
        <v>28/12/2023</v>
      </c>
      <c r="X122" s="28">
        <f t="shared" si="64"/>
        <v>59510</v>
      </c>
      <c r="Y122" s="28" t="str">
        <f t="shared" si="64"/>
        <v>A4</v>
      </c>
      <c r="Z122" s="5" t="str">
        <f t="shared" si="70"/>
        <v>A4</v>
      </c>
      <c r="AA122" s="5" t="str">
        <f t="shared" si="68"/>
        <v>A4</v>
      </c>
      <c r="AG122" s="49" t="str">
        <f t="shared" si="63"/>
        <v>28/12/2023</v>
      </c>
      <c r="AH122" s="46">
        <f t="shared" si="63"/>
        <v>59510</v>
      </c>
      <c r="AI122" s="49" t="str">
        <f t="shared" si="63"/>
        <v>A4</v>
      </c>
      <c r="AJ122" s="49" t="str">
        <f t="shared" si="71"/>
        <v>A4</v>
      </c>
      <c r="AK122" s="50">
        <f t="shared" si="72"/>
        <v>61798.5</v>
      </c>
      <c r="AL122" s="49" t="str">
        <f t="shared" si="85"/>
        <v>A4</v>
      </c>
      <c r="AM122" s="50">
        <f t="shared" si="73"/>
        <v>61798.5</v>
      </c>
      <c r="AN122" s="56">
        <f t="shared" si="86"/>
        <v>1820</v>
      </c>
      <c r="AO122" s="57">
        <f t="shared" si="87"/>
        <v>60420</v>
      </c>
      <c r="AP122" s="23">
        <f t="shared" si="74"/>
        <v>58600</v>
      </c>
      <c r="AQ122" s="23">
        <f t="shared" si="75"/>
        <v>61330</v>
      </c>
      <c r="AR122" s="23">
        <f t="shared" si="76"/>
        <v>57690</v>
      </c>
      <c r="AS122" s="23">
        <f t="shared" si="77"/>
        <v>59965</v>
      </c>
      <c r="AT122" s="23">
        <f t="shared" si="78"/>
        <v>59055</v>
      </c>
      <c r="AU122" s="23">
        <f t="shared" si="79"/>
        <v>63150</v>
      </c>
      <c r="AV122" s="23">
        <f t="shared" si="80"/>
        <v>55870</v>
      </c>
      <c r="AW122" s="23">
        <f t="shared" si="81"/>
        <v>59813.333333333336</v>
      </c>
      <c r="AX122" s="23">
        <f t="shared" si="82"/>
        <v>59206.666666666664</v>
      </c>
      <c r="AY122" s="23">
        <f t="shared" si="83"/>
        <v>64970</v>
      </c>
      <c r="AZ122" s="23">
        <f t="shared" si="84"/>
        <v>54050</v>
      </c>
      <c r="BA122" s="23">
        <f t="shared" si="93"/>
        <v>62094.25</v>
      </c>
      <c r="BB122" s="43"/>
      <c r="BC122" s="51">
        <f t="shared" si="65"/>
        <v>59510</v>
      </c>
      <c r="BD122" s="52">
        <f t="shared" si="69"/>
        <v>62094.25</v>
      </c>
      <c r="BE122" s="37">
        <f t="shared" si="88"/>
        <v>-2584.25</v>
      </c>
      <c r="BF122">
        <f t="shared" si="89"/>
        <v>2584.25</v>
      </c>
      <c r="BG122">
        <f t="shared" si="90"/>
        <v>4.342547471013275E-2</v>
      </c>
    </row>
    <row r="123" spans="1:59">
      <c r="A123" s="1" t="s">
        <v>124</v>
      </c>
      <c r="B123" s="1">
        <v>54950</v>
      </c>
      <c r="Q123">
        <v>120</v>
      </c>
      <c r="R123" s="27" t="str">
        <f t="shared" si="66"/>
        <v>29/12/2023</v>
      </c>
      <c r="S123" s="27">
        <f t="shared" si="66"/>
        <v>59530</v>
      </c>
      <c r="T123" s="4" t="str">
        <f t="shared" si="67"/>
        <v>A4</v>
      </c>
      <c r="V123">
        <v>120</v>
      </c>
      <c r="W123" s="28" t="str">
        <f t="shared" si="64"/>
        <v>29/12/2023</v>
      </c>
      <c r="X123" s="28">
        <f t="shared" si="64"/>
        <v>59530</v>
      </c>
      <c r="Y123" s="28" t="str">
        <f t="shared" si="64"/>
        <v>A4</v>
      </c>
      <c r="Z123" s="5" t="str">
        <f t="shared" si="70"/>
        <v>A4</v>
      </c>
      <c r="AA123" s="5" t="str">
        <f t="shared" si="68"/>
        <v>A4</v>
      </c>
      <c r="AG123" s="49" t="str">
        <f t="shared" si="63"/>
        <v>29/12/2023</v>
      </c>
      <c r="AH123" s="46">
        <f t="shared" si="63"/>
        <v>59530</v>
      </c>
      <c r="AI123" s="49" t="str">
        <f t="shared" si="63"/>
        <v>A4</v>
      </c>
      <c r="AJ123" s="49" t="str">
        <f t="shared" si="71"/>
        <v>A4</v>
      </c>
      <c r="AK123" s="50">
        <f t="shared" si="72"/>
        <v>61798.5</v>
      </c>
      <c r="AL123" s="49" t="str">
        <f t="shared" si="85"/>
        <v>A4</v>
      </c>
      <c r="AM123" s="50">
        <f t="shared" si="73"/>
        <v>61798.5</v>
      </c>
      <c r="AN123" s="56">
        <f t="shared" si="86"/>
        <v>2000</v>
      </c>
      <c r="AO123" s="57">
        <f t="shared" si="87"/>
        <v>60530</v>
      </c>
      <c r="AP123" s="23">
        <f t="shared" si="74"/>
        <v>58530</v>
      </c>
      <c r="AQ123" s="23">
        <f t="shared" si="75"/>
        <v>61530</v>
      </c>
      <c r="AR123" s="23">
        <f t="shared" si="76"/>
        <v>57530</v>
      </c>
      <c r="AS123" s="23">
        <f t="shared" si="77"/>
        <v>60030</v>
      </c>
      <c r="AT123" s="23">
        <f t="shared" si="78"/>
        <v>59030</v>
      </c>
      <c r="AU123" s="23">
        <f t="shared" si="79"/>
        <v>63530</v>
      </c>
      <c r="AV123" s="23">
        <f t="shared" si="80"/>
        <v>55530</v>
      </c>
      <c r="AW123" s="23">
        <f t="shared" si="81"/>
        <v>59863.333333333336</v>
      </c>
      <c r="AX123" s="23">
        <f t="shared" si="82"/>
        <v>59196.666666666664</v>
      </c>
      <c r="AY123" s="23">
        <f t="shared" si="83"/>
        <v>65530</v>
      </c>
      <c r="AZ123" s="23">
        <f t="shared" si="84"/>
        <v>53530</v>
      </c>
      <c r="BA123" s="23">
        <f t="shared" si="93"/>
        <v>61109.25</v>
      </c>
      <c r="BB123" s="43"/>
      <c r="BC123" s="51">
        <f t="shared" si="65"/>
        <v>59530</v>
      </c>
      <c r="BD123" s="52">
        <f t="shared" si="69"/>
        <v>61109.25</v>
      </c>
      <c r="BE123" s="37">
        <f t="shared" si="88"/>
        <v>-1579.25</v>
      </c>
      <c r="BF123">
        <f t="shared" si="89"/>
        <v>1579.25</v>
      </c>
      <c r="BG123">
        <f t="shared" si="90"/>
        <v>2.6528641021333781E-2</v>
      </c>
    </row>
    <row r="124" spans="1:59">
      <c r="A124" s="1" t="s">
        <v>125</v>
      </c>
      <c r="B124" s="1">
        <v>62750</v>
      </c>
      <c r="Q124">
        <v>121</v>
      </c>
      <c r="R124" s="27" t="str">
        <f t="shared" si="66"/>
        <v>30/12/2023</v>
      </c>
      <c r="S124" s="27">
        <f t="shared" si="66"/>
        <v>60580</v>
      </c>
      <c r="T124" s="4" t="str">
        <f t="shared" si="67"/>
        <v>A4</v>
      </c>
      <c r="V124">
        <v>121</v>
      </c>
      <c r="W124" s="28" t="str">
        <f t="shared" si="64"/>
        <v>30/12/2023</v>
      </c>
      <c r="X124" s="28">
        <f t="shared" si="64"/>
        <v>60580</v>
      </c>
      <c r="Y124" s="28" t="str">
        <f t="shared" si="64"/>
        <v>A4</v>
      </c>
      <c r="Z124" s="5" t="str">
        <f t="shared" si="70"/>
        <v>A4</v>
      </c>
      <c r="AA124" s="5" t="str">
        <f t="shared" si="68"/>
        <v>A4</v>
      </c>
      <c r="AG124" s="49" t="str">
        <f t="shared" si="63"/>
        <v>30/12/2023</v>
      </c>
      <c r="AH124" s="46">
        <f t="shared" si="63"/>
        <v>60580</v>
      </c>
      <c r="AI124" s="49" t="str">
        <f t="shared" si="63"/>
        <v>A4</v>
      </c>
      <c r="AJ124" s="49" t="str">
        <f t="shared" si="71"/>
        <v>A4</v>
      </c>
      <c r="AK124" s="50">
        <f t="shared" si="72"/>
        <v>61798.5</v>
      </c>
      <c r="AL124" s="49" t="str">
        <f t="shared" si="85"/>
        <v>A4</v>
      </c>
      <c r="AM124" s="50">
        <f t="shared" si="73"/>
        <v>61798.5</v>
      </c>
      <c r="AN124" s="56">
        <f t="shared" si="86"/>
        <v>1030</v>
      </c>
      <c r="AO124" s="57">
        <f t="shared" si="87"/>
        <v>61095</v>
      </c>
      <c r="AP124" s="23">
        <f t="shared" si="74"/>
        <v>60065</v>
      </c>
      <c r="AQ124" s="23">
        <f t="shared" si="75"/>
        <v>61610</v>
      </c>
      <c r="AR124" s="23">
        <f t="shared" si="76"/>
        <v>59550</v>
      </c>
      <c r="AS124" s="23">
        <f t="shared" si="77"/>
        <v>60837.5</v>
      </c>
      <c r="AT124" s="23">
        <f t="shared" si="78"/>
        <v>60322.5</v>
      </c>
      <c r="AU124" s="23">
        <f t="shared" si="79"/>
        <v>62640</v>
      </c>
      <c r="AV124" s="23">
        <f t="shared" si="80"/>
        <v>58520</v>
      </c>
      <c r="AW124" s="23">
        <f t="shared" si="81"/>
        <v>60751.666666666664</v>
      </c>
      <c r="AX124" s="23">
        <f t="shared" si="82"/>
        <v>60408.333333333336</v>
      </c>
      <c r="AY124" s="23">
        <f t="shared" si="83"/>
        <v>63670</v>
      </c>
      <c r="AZ124" s="23">
        <f t="shared" si="84"/>
        <v>57490</v>
      </c>
      <c r="BA124" s="23">
        <f t="shared" si="93"/>
        <v>61164.25</v>
      </c>
      <c r="BB124" s="43"/>
      <c r="BC124" s="51">
        <f t="shared" si="65"/>
        <v>60580</v>
      </c>
      <c r="BD124" s="52">
        <f t="shared" si="69"/>
        <v>61164.25</v>
      </c>
      <c r="BE124" s="37">
        <f t="shared" si="88"/>
        <v>-584.25</v>
      </c>
      <c r="BF124">
        <f t="shared" si="89"/>
        <v>584.25</v>
      </c>
      <c r="BG124">
        <f t="shared" si="90"/>
        <v>9.6442720369759004E-3</v>
      </c>
    </row>
    <row r="125" spans="1:59">
      <c r="A125" s="1" t="s">
        <v>126</v>
      </c>
      <c r="B125" s="1">
        <v>57010</v>
      </c>
      <c r="Q125">
        <v>122</v>
      </c>
      <c r="R125" s="27" t="str">
        <f t="shared" si="66"/>
        <v>31/12/2023</v>
      </c>
      <c r="S125" s="27">
        <f t="shared" si="66"/>
        <v>54950</v>
      </c>
      <c r="T125" s="4" t="str">
        <f t="shared" si="67"/>
        <v>A3</v>
      </c>
      <c r="V125">
        <v>122</v>
      </c>
      <c r="W125" s="28" t="str">
        <f t="shared" si="64"/>
        <v>31/12/2023</v>
      </c>
      <c r="X125" s="28">
        <f t="shared" si="64"/>
        <v>54950</v>
      </c>
      <c r="Y125" s="28" t="str">
        <f t="shared" si="64"/>
        <v>A3</v>
      </c>
      <c r="Z125" s="5" t="str">
        <f t="shared" si="70"/>
        <v>A4</v>
      </c>
      <c r="AA125" s="5" t="str">
        <f t="shared" si="68"/>
        <v>A3</v>
      </c>
      <c r="AG125" s="49" t="str">
        <f t="shared" si="63"/>
        <v>31/12/2023</v>
      </c>
      <c r="AH125" s="46">
        <f t="shared" si="63"/>
        <v>54950</v>
      </c>
      <c r="AI125" s="49" t="str">
        <f t="shared" si="63"/>
        <v>A3</v>
      </c>
      <c r="AJ125" s="49" t="str">
        <f t="shared" si="71"/>
        <v>A4</v>
      </c>
      <c r="AK125" s="50">
        <f t="shared" si="72"/>
        <v>61798.5</v>
      </c>
      <c r="AL125" s="49" t="str">
        <f t="shared" si="85"/>
        <v>A3</v>
      </c>
      <c r="AM125" s="50">
        <f t="shared" si="73"/>
        <v>55767.5</v>
      </c>
      <c r="AN125" s="56">
        <f t="shared" si="86"/>
        <v>4580</v>
      </c>
      <c r="AO125" s="57">
        <f t="shared" si="87"/>
        <v>57240</v>
      </c>
      <c r="AP125" s="23">
        <f t="shared" si="74"/>
        <v>52660</v>
      </c>
      <c r="AQ125" s="23">
        <f t="shared" si="75"/>
        <v>59530</v>
      </c>
      <c r="AR125" s="23">
        <f t="shared" si="76"/>
        <v>50370</v>
      </c>
      <c r="AS125" s="23">
        <f t="shared" si="77"/>
        <v>56095</v>
      </c>
      <c r="AT125" s="23">
        <f t="shared" si="78"/>
        <v>53805</v>
      </c>
      <c r="AU125" s="23">
        <f t="shared" si="79"/>
        <v>64110</v>
      </c>
      <c r="AV125" s="23">
        <f t="shared" si="80"/>
        <v>45790</v>
      </c>
      <c r="AW125" s="23">
        <f t="shared" si="81"/>
        <v>55713.333333333336</v>
      </c>
      <c r="AX125" s="23">
        <f t="shared" si="82"/>
        <v>54186.666666666664</v>
      </c>
      <c r="AY125" s="23">
        <f t="shared" si="83"/>
        <v>68690</v>
      </c>
      <c r="AZ125" s="23">
        <f t="shared" si="84"/>
        <v>41210</v>
      </c>
      <c r="BA125" s="23">
        <f t="shared" si="93"/>
        <v>61446.75</v>
      </c>
      <c r="BB125" s="43"/>
      <c r="BC125" s="51">
        <f t="shared" si="65"/>
        <v>54950</v>
      </c>
      <c r="BD125" s="52">
        <f t="shared" si="69"/>
        <v>61446.75</v>
      </c>
      <c r="BE125" s="37">
        <f t="shared" si="88"/>
        <v>-6496.75</v>
      </c>
      <c r="BF125">
        <f t="shared" si="89"/>
        <v>6496.75</v>
      </c>
      <c r="BG125">
        <f t="shared" si="90"/>
        <v>0.11823020928116469</v>
      </c>
    </row>
    <row r="126" spans="1:59">
      <c r="A126" s="1" t="s">
        <v>127</v>
      </c>
      <c r="B126" s="1">
        <v>57380</v>
      </c>
      <c r="Q126">
        <v>123</v>
      </c>
      <c r="R126" s="27" t="str">
        <f t="shared" si="66"/>
        <v>01/01/2024</v>
      </c>
      <c r="S126" s="27">
        <f t="shared" si="66"/>
        <v>62750</v>
      </c>
      <c r="T126" s="4" t="str">
        <f t="shared" si="67"/>
        <v>A4</v>
      </c>
      <c r="V126">
        <v>123</v>
      </c>
      <c r="W126" s="28" t="str">
        <f t="shared" si="64"/>
        <v>01/01/2024</v>
      </c>
      <c r="X126" s="28">
        <f t="shared" si="64"/>
        <v>62750</v>
      </c>
      <c r="Y126" s="28" t="str">
        <f t="shared" si="64"/>
        <v>A4</v>
      </c>
      <c r="Z126" s="5" t="str">
        <f t="shared" si="70"/>
        <v>A3</v>
      </c>
      <c r="AA126" s="5" t="str">
        <f t="shared" si="68"/>
        <v>A4</v>
      </c>
      <c r="AG126" s="49" t="str">
        <f t="shared" si="63"/>
        <v>01/01/2024</v>
      </c>
      <c r="AH126" s="46">
        <f t="shared" si="63"/>
        <v>62750</v>
      </c>
      <c r="AI126" s="49" t="str">
        <f t="shared" si="63"/>
        <v>A4</v>
      </c>
      <c r="AJ126" s="49" t="str">
        <f t="shared" si="71"/>
        <v>A3</v>
      </c>
      <c r="AK126" s="50">
        <f t="shared" si="72"/>
        <v>55767.5</v>
      </c>
      <c r="AL126" s="49" t="str">
        <f t="shared" si="85"/>
        <v>A4</v>
      </c>
      <c r="AM126" s="50">
        <f t="shared" si="73"/>
        <v>61798.5</v>
      </c>
      <c r="AN126" s="56">
        <f t="shared" si="86"/>
        <v>2170</v>
      </c>
      <c r="AO126" s="23">
        <f t="shared" si="87"/>
        <v>63835</v>
      </c>
      <c r="AP126" s="57">
        <f t="shared" si="74"/>
        <v>61665</v>
      </c>
      <c r="AQ126" s="23">
        <f t="shared" si="75"/>
        <v>64920</v>
      </c>
      <c r="AR126" s="23">
        <f t="shared" si="76"/>
        <v>60580</v>
      </c>
      <c r="AS126" s="23">
        <f t="shared" si="77"/>
        <v>63292.5</v>
      </c>
      <c r="AT126" s="23">
        <f t="shared" si="78"/>
        <v>62207.5</v>
      </c>
      <c r="AU126" s="23">
        <f t="shared" si="79"/>
        <v>67090</v>
      </c>
      <c r="AV126" s="23">
        <f t="shared" si="80"/>
        <v>58410</v>
      </c>
      <c r="AW126" s="23">
        <f t="shared" si="81"/>
        <v>63111.666666666664</v>
      </c>
      <c r="AX126" s="23">
        <f t="shared" si="82"/>
        <v>62388.333333333336</v>
      </c>
      <c r="AY126" s="23">
        <f t="shared" si="83"/>
        <v>69260</v>
      </c>
      <c r="AZ126" s="23">
        <f t="shared" si="84"/>
        <v>56240</v>
      </c>
      <c r="BA126" s="23">
        <f t="shared" si="93"/>
        <v>56503.75</v>
      </c>
      <c r="BB126" s="43"/>
      <c r="BC126" s="51">
        <f t="shared" si="65"/>
        <v>62750</v>
      </c>
      <c r="BD126" s="52">
        <f t="shared" si="69"/>
        <v>56503.75</v>
      </c>
      <c r="BE126" s="37">
        <f t="shared" si="88"/>
        <v>6246.25</v>
      </c>
      <c r="BF126">
        <f t="shared" si="89"/>
        <v>6246.25</v>
      </c>
      <c r="BG126">
        <f t="shared" si="90"/>
        <v>9.9541832669322705E-2</v>
      </c>
    </row>
    <row r="127" spans="1:59">
      <c r="A127" s="1" t="s">
        <v>128</v>
      </c>
      <c r="B127" s="1">
        <v>53210</v>
      </c>
      <c r="Q127">
        <v>124</v>
      </c>
      <c r="R127" s="27" t="str">
        <f t="shared" si="66"/>
        <v>02/01/2024</v>
      </c>
      <c r="S127" s="27">
        <f t="shared" si="66"/>
        <v>57010</v>
      </c>
      <c r="T127" s="4" t="str">
        <f t="shared" si="67"/>
        <v>A3</v>
      </c>
      <c r="V127">
        <v>124</v>
      </c>
      <c r="W127" s="28" t="str">
        <f t="shared" si="64"/>
        <v>02/01/2024</v>
      </c>
      <c r="X127" s="28">
        <f t="shared" si="64"/>
        <v>57010</v>
      </c>
      <c r="Y127" s="28" t="str">
        <f t="shared" si="64"/>
        <v>A3</v>
      </c>
      <c r="Z127" s="5" t="str">
        <f t="shared" si="70"/>
        <v>A4</v>
      </c>
      <c r="AA127" s="5" t="str">
        <f t="shared" si="68"/>
        <v>A3</v>
      </c>
      <c r="AG127" s="49" t="str">
        <f t="shared" si="63"/>
        <v>02/01/2024</v>
      </c>
      <c r="AH127" s="46">
        <f t="shared" si="63"/>
        <v>57010</v>
      </c>
      <c r="AI127" s="49" t="str">
        <f t="shared" si="63"/>
        <v>A3</v>
      </c>
      <c r="AJ127" s="49" t="str">
        <f t="shared" si="71"/>
        <v>A4</v>
      </c>
      <c r="AK127" s="50">
        <f t="shared" si="72"/>
        <v>61798.5</v>
      </c>
      <c r="AL127" s="49" t="str">
        <f t="shared" si="85"/>
        <v>A3</v>
      </c>
      <c r="AM127" s="50">
        <f t="shared" si="73"/>
        <v>55767.5</v>
      </c>
      <c r="AN127" s="56">
        <f t="shared" si="86"/>
        <v>2060</v>
      </c>
      <c r="AO127" s="23">
        <f t="shared" si="87"/>
        <v>58040</v>
      </c>
      <c r="AP127" s="57">
        <f t="shared" si="74"/>
        <v>55980</v>
      </c>
      <c r="AQ127" s="23">
        <f t="shared" si="75"/>
        <v>59070</v>
      </c>
      <c r="AR127" s="23">
        <f t="shared" si="76"/>
        <v>54950</v>
      </c>
      <c r="AS127" s="23">
        <f t="shared" si="77"/>
        <v>57525</v>
      </c>
      <c r="AT127" s="23">
        <f t="shared" si="78"/>
        <v>56495</v>
      </c>
      <c r="AU127" s="23">
        <f t="shared" si="79"/>
        <v>61130</v>
      </c>
      <c r="AV127" s="23">
        <f t="shared" si="80"/>
        <v>52890</v>
      </c>
      <c r="AW127" s="23">
        <f t="shared" si="81"/>
        <v>57353.333333333336</v>
      </c>
      <c r="AX127" s="23">
        <f t="shared" si="82"/>
        <v>56666.666666666664</v>
      </c>
      <c r="AY127" s="23">
        <f t="shared" si="83"/>
        <v>63190</v>
      </c>
      <c r="AZ127" s="23">
        <f t="shared" si="84"/>
        <v>50830</v>
      </c>
      <c r="BA127" s="23">
        <f>(AP126+AM126)/(1+1)</f>
        <v>61731.75</v>
      </c>
      <c r="BB127" s="43"/>
      <c r="BC127" s="51">
        <f t="shared" si="65"/>
        <v>57010</v>
      </c>
      <c r="BD127" s="52">
        <f t="shared" si="69"/>
        <v>61731.75</v>
      </c>
      <c r="BE127" s="37">
        <f t="shared" si="88"/>
        <v>-4721.75</v>
      </c>
      <c r="BF127">
        <f t="shared" si="89"/>
        <v>4721.75</v>
      </c>
      <c r="BG127">
        <f t="shared" si="90"/>
        <v>8.2823188914225576E-2</v>
      </c>
    </row>
    <row r="128" spans="1:59">
      <c r="A128" s="1" t="s">
        <v>129</v>
      </c>
      <c r="B128" s="1">
        <v>51760</v>
      </c>
      <c r="Q128">
        <v>125</v>
      </c>
      <c r="R128" s="27" t="str">
        <f t="shared" si="66"/>
        <v>03/01/2024</v>
      </c>
      <c r="S128" s="27">
        <f t="shared" si="66"/>
        <v>57380</v>
      </c>
      <c r="T128" s="4" t="str">
        <f t="shared" si="67"/>
        <v>A3</v>
      </c>
      <c r="V128">
        <v>125</v>
      </c>
      <c r="W128" s="28" t="str">
        <f t="shared" si="64"/>
        <v>03/01/2024</v>
      </c>
      <c r="X128" s="28">
        <f t="shared" si="64"/>
        <v>57380</v>
      </c>
      <c r="Y128" s="28" t="str">
        <f t="shared" si="64"/>
        <v>A3</v>
      </c>
      <c r="Z128" s="5" t="str">
        <f t="shared" si="70"/>
        <v>A3</v>
      </c>
      <c r="AA128" s="5" t="str">
        <f t="shared" si="68"/>
        <v>A3</v>
      </c>
      <c r="AG128" s="49" t="str">
        <f t="shared" ref="AG128:AI191" si="94">W128</f>
        <v>03/01/2024</v>
      </c>
      <c r="AH128" s="46">
        <f t="shared" si="94"/>
        <v>57380</v>
      </c>
      <c r="AI128" s="49" t="str">
        <f t="shared" si="94"/>
        <v>A3</v>
      </c>
      <c r="AJ128" s="49" t="str">
        <f t="shared" si="71"/>
        <v>A3</v>
      </c>
      <c r="AK128" s="50">
        <f t="shared" si="72"/>
        <v>55767.5</v>
      </c>
      <c r="AL128" s="49" t="str">
        <f t="shared" si="85"/>
        <v>A3</v>
      </c>
      <c r="AM128" s="50">
        <f t="shared" si="73"/>
        <v>55767.5</v>
      </c>
      <c r="AN128" s="56">
        <f t="shared" si="86"/>
        <v>5370</v>
      </c>
      <c r="AO128" s="23">
        <f t="shared" si="87"/>
        <v>60065</v>
      </c>
      <c r="AP128" s="57">
        <f t="shared" si="74"/>
        <v>54695</v>
      </c>
      <c r="AQ128" s="23">
        <f t="shared" si="75"/>
        <v>62750</v>
      </c>
      <c r="AR128" s="23">
        <f t="shared" si="76"/>
        <v>52010</v>
      </c>
      <c r="AS128" s="23">
        <f t="shared" si="77"/>
        <v>58722.5</v>
      </c>
      <c r="AT128" s="23">
        <f t="shared" si="78"/>
        <v>56037.5</v>
      </c>
      <c r="AU128" s="23">
        <f t="shared" si="79"/>
        <v>68120</v>
      </c>
      <c r="AV128" s="23">
        <f t="shared" si="80"/>
        <v>46640</v>
      </c>
      <c r="AW128" s="23">
        <f t="shared" si="81"/>
        <v>58275</v>
      </c>
      <c r="AX128" s="23">
        <f t="shared" si="82"/>
        <v>56485</v>
      </c>
      <c r="AY128" s="23">
        <f t="shared" si="83"/>
        <v>73490</v>
      </c>
      <c r="AZ128" s="23">
        <f t="shared" si="84"/>
        <v>41270</v>
      </c>
      <c r="BA128" s="23">
        <f>(AP127+AM127)/(1+1)</f>
        <v>55873.75</v>
      </c>
      <c r="BB128" s="43"/>
      <c r="BC128" s="51">
        <f t="shared" si="65"/>
        <v>57380</v>
      </c>
      <c r="BD128" s="52">
        <f t="shared" si="69"/>
        <v>55873.75</v>
      </c>
      <c r="BE128" s="37">
        <f t="shared" si="88"/>
        <v>1506.25</v>
      </c>
      <c r="BF128">
        <f t="shared" si="89"/>
        <v>1506.25</v>
      </c>
      <c r="BG128">
        <f t="shared" si="90"/>
        <v>2.6250435691878703E-2</v>
      </c>
    </row>
    <row r="129" spans="1:59">
      <c r="A129" s="1" t="s">
        <v>130</v>
      </c>
      <c r="B129" s="1">
        <v>52480</v>
      </c>
      <c r="Q129">
        <v>126</v>
      </c>
      <c r="R129" s="27" t="str">
        <f t="shared" si="66"/>
        <v>04/01/2024</v>
      </c>
      <c r="S129" s="27">
        <f t="shared" si="66"/>
        <v>53210</v>
      </c>
      <c r="T129" s="4" t="str">
        <f t="shared" si="67"/>
        <v>A3</v>
      </c>
      <c r="V129">
        <v>126</v>
      </c>
      <c r="W129" s="28" t="str">
        <f t="shared" si="64"/>
        <v>04/01/2024</v>
      </c>
      <c r="X129" s="28">
        <f t="shared" si="64"/>
        <v>53210</v>
      </c>
      <c r="Y129" s="28" t="str">
        <f t="shared" si="64"/>
        <v>A3</v>
      </c>
      <c r="Z129" s="5" t="str">
        <f t="shared" si="70"/>
        <v>A3</v>
      </c>
      <c r="AA129" s="5" t="str">
        <f t="shared" si="68"/>
        <v>A3</v>
      </c>
      <c r="AG129" s="49" t="str">
        <f t="shared" si="94"/>
        <v>04/01/2024</v>
      </c>
      <c r="AH129" s="46">
        <f t="shared" si="94"/>
        <v>53210</v>
      </c>
      <c r="AI129" s="49" t="str">
        <f t="shared" si="94"/>
        <v>A3</v>
      </c>
      <c r="AJ129" s="49" t="str">
        <f t="shared" si="71"/>
        <v>A3</v>
      </c>
      <c r="AK129" s="50">
        <f t="shared" si="72"/>
        <v>55767.5</v>
      </c>
      <c r="AL129" s="49" t="str">
        <f t="shared" si="85"/>
        <v>A3</v>
      </c>
      <c r="AM129" s="50">
        <f t="shared" si="73"/>
        <v>55767.5</v>
      </c>
      <c r="AN129" s="56">
        <f t="shared" si="86"/>
        <v>3800</v>
      </c>
      <c r="AO129" s="57">
        <f t="shared" si="87"/>
        <v>55110</v>
      </c>
      <c r="AP129" s="23">
        <f t="shared" si="74"/>
        <v>51310</v>
      </c>
      <c r="AQ129" s="23">
        <f t="shared" si="75"/>
        <v>57010</v>
      </c>
      <c r="AR129" s="23">
        <f t="shared" si="76"/>
        <v>49410</v>
      </c>
      <c r="AS129" s="23">
        <f t="shared" si="77"/>
        <v>54160</v>
      </c>
      <c r="AT129" s="23">
        <f t="shared" si="78"/>
        <v>52260</v>
      </c>
      <c r="AU129" s="23">
        <f t="shared" si="79"/>
        <v>60810</v>
      </c>
      <c r="AV129" s="23">
        <f t="shared" si="80"/>
        <v>45610</v>
      </c>
      <c r="AW129" s="23">
        <f t="shared" si="81"/>
        <v>53843.333333333336</v>
      </c>
      <c r="AX129" s="23">
        <f t="shared" si="82"/>
        <v>52576.666666666664</v>
      </c>
      <c r="AY129" s="23">
        <f t="shared" si="83"/>
        <v>64610</v>
      </c>
      <c r="AZ129" s="23">
        <f t="shared" si="84"/>
        <v>41810</v>
      </c>
      <c r="BA129" s="23">
        <f>(AP128+AM128)/(1+1)</f>
        <v>55231.25</v>
      </c>
      <c r="BB129" s="43"/>
      <c r="BC129" s="51">
        <f t="shared" si="65"/>
        <v>53210</v>
      </c>
      <c r="BD129" s="52">
        <f t="shared" si="69"/>
        <v>55231.25</v>
      </c>
      <c r="BE129" s="37">
        <f t="shared" si="88"/>
        <v>-2021.25</v>
      </c>
      <c r="BF129">
        <f t="shared" si="89"/>
        <v>2021.25</v>
      </c>
      <c r="BG129">
        <f t="shared" si="90"/>
        <v>3.7986280774290546E-2</v>
      </c>
    </row>
    <row r="130" spans="1:59">
      <c r="A130" s="1" t="s">
        <v>131</v>
      </c>
      <c r="B130" s="1">
        <v>50460</v>
      </c>
      <c r="Q130">
        <v>127</v>
      </c>
      <c r="R130" s="27" t="str">
        <f t="shared" si="66"/>
        <v>05/01/2024</v>
      </c>
      <c r="S130" s="27">
        <f t="shared" si="66"/>
        <v>51760</v>
      </c>
      <c r="T130" s="4" t="str">
        <f t="shared" si="67"/>
        <v>A2</v>
      </c>
      <c r="V130">
        <v>127</v>
      </c>
      <c r="W130" s="28" t="str">
        <f t="shared" si="64"/>
        <v>05/01/2024</v>
      </c>
      <c r="X130" s="28">
        <f t="shared" si="64"/>
        <v>51760</v>
      </c>
      <c r="Y130" s="28" t="str">
        <f t="shared" si="64"/>
        <v>A2</v>
      </c>
      <c r="Z130" s="5" t="str">
        <f t="shared" si="70"/>
        <v>A3</v>
      </c>
      <c r="AA130" s="5" t="str">
        <f t="shared" si="68"/>
        <v>A2</v>
      </c>
      <c r="AG130" s="49" t="str">
        <f t="shared" si="94"/>
        <v>05/01/2024</v>
      </c>
      <c r="AH130" s="46">
        <f t="shared" si="94"/>
        <v>51760</v>
      </c>
      <c r="AI130" s="49" t="str">
        <f t="shared" si="94"/>
        <v>A2</v>
      </c>
      <c r="AJ130" s="49" t="str">
        <f t="shared" si="71"/>
        <v>A3</v>
      </c>
      <c r="AK130" s="50">
        <f t="shared" si="72"/>
        <v>55767.5</v>
      </c>
      <c r="AL130" s="49" t="str">
        <f t="shared" si="85"/>
        <v>A2</v>
      </c>
      <c r="AM130" s="50">
        <f t="shared" si="73"/>
        <v>49736.5</v>
      </c>
      <c r="AN130" s="56">
        <f t="shared" si="86"/>
        <v>2720</v>
      </c>
      <c r="AO130" s="23">
        <f t="shared" si="87"/>
        <v>53120</v>
      </c>
      <c r="AP130" s="57">
        <f t="shared" si="74"/>
        <v>50400</v>
      </c>
      <c r="AQ130" s="23">
        <f t="shared" si="75"/>
        <v>54480</v>
      </c>
      <c r="AR130" s="23">
        <f t="shared" si="76"/>
        <v>49040</v>
      </c>
      <c r="AS130" s="23">
        <f t="shared" si="77"/>
        <v>52440</v>
      </c>
      <c r="AT130" s="23">
        <f t="shared" si="78"/>
        <v>51080</v>
      </c>
      <c r="AU130" s="23">
        <f t="shared" si="79"/>
        <v>57200</v>
      </c>
      <c r="AV130" s="23">
        <f t="shared" si="80"/>
        <v>46320</v>
      </c>
      <c r="AW130" s="23">
        <f t="shared" si="81"/>
        <v>52213.333333333336</v>
      </c>
      <c r="AX130" s="23">
        <f t="shared" si="82"/>
        <v>51306.666666666664</v>
      </c>
      <c r="AY130" s="23">
        <f t="shared" si="83"/>
        <v>59920</v>
      </c>
      <c r="AZ130" s="23">
        <f t="shared" si="84"/>
        <v>43600</v>
      </c>
      <c r="BA130" s="23">
        <f>(AO129+AM129)/(1+1)</f>
        <v>55438.75</v>
      </c>
      <c r="BB130" s="43"/>
      <c r="BC130" s="51">
        <f t="shared" si="65"/>
        <v>51760</v>
      </c>
      <c r="BD130" s="52">
        <f t="shared" si="69"/>
        <v>55438.75</v>
      </c>
      <c r="BE130" s="37">
        <f t="shared" si="88"/>
        <v>-3678.75</v>
      </c>
      <c r="BF130">
        <f t="shared" si="89"/>
        <v>3678.75</v>
      </c>
      <c r="BG130">
        <f t="shared" si="90"/>
        <v>7.1073222565687794E-2</v>
      </c>
    </row>
    <row r="131" spans="1:59">
      <c r="A131" s="1" t="s">
        <v>132</v>
      </c>
      <c r="B131" s="1">
        <v>52260</v>
      </c>
      <c r="Q131">
        <v>128</v>
      </c>
      <c r="R131" s="27" t="str">
        <f t="shared" si="66"/>
        <v>06/01/2024</v>
      </c>
      <c r="S131" s="27">
        <f t="shared" si="66"/>
        <v>52480</v>
      </c>
      <c r="T131" s="4" t="str">
        <f t="shared" si="67"/>
        <v>A2</v>
      </c>
      <c r="V131">
        <v>128</v>
      </c>
      <c r="W131" s="28" t="str">
        <f t="shared" si="64"/>
        <v>06/01/2024</v>
      </c>
      <c r="X131" s="28">
        <f t="shared" si="64"/>
        <v>52480</v>
      </c>
      <c r="Y131" s="28" t="str">
        <f t="shared" si="64"/>
        <v>A2</v>
      </c>
      <c r="Z131" s="5" t="str">
        <f t="shared" si="70"/>
        <v>A2</v>
      </c>
      <c r="AA131" s="5" t="str">
        <f t="shared" si="68"/>
        <v>A2</v>
      </c>
      <c r="AG131" s="49" t="str">
        <f t="shared" si="94"/>
        <v>06/01/2024</v>
      </c>
      <c r="AH131" s="46">
        <f t="shared" si="94"/>
        <v>52480</v>
      </c>
      <c r="AI131" s="49" t="str">
        <f t="shared" si="94"/>
        <v>A2</v>
      </c>
      <c r="AJ131" s="49" t="str">
        <f t="shared" si="71"/>
        <v>A2</v>
      </c>
      <c r="AK131" s="50">
        <f t="shared" si="72"/>
        <v>49736.5</v>
      </c>
      <c r="AL131" s="49" t="str">
        <f t="shared" si="85"/>
        <v>A2</v>
      </c>
      <c r="AM131" s="50">
        <f t="shared" si="73"/>
        <v>49736.5</v>
      </c>
      <c r="AN131" s="56">
        <f t="shared" si="86"/>
        <v>730</v>
      </c>
      <c r="AO131" s="57">
        <f t="shared" si="87"/>
        <v>52845</v>
      </c>
      <c r="AP131" s="23">
        <f t="shared" si="74"/>
        <v>52115</v>
      </c>
      <c r="AQ131" s="23">
        <f t="shared" si="75"/>
        <v>53210</v>
      </c>
      <c r="AR131" s="23">
        <f t="shared" si="76"/>
        <v>51750</v>
      </c>
      <c r="AS131" s="23">
        <f t="shared" si="77"/>
        <v>52662.5</v>
      </c>
      <c r="AT131" s="23">
        <f t="shared" si="78"/>
        <v>52297.5</v>
      </c>
      <c r="AU131" s="23">
        <f t="shared" si="79"/>
        <v>53940</v>
      </c>
      <c r="AV131" s="23">
        <f t="shared" si="80"/>
        <v>51020</v>
      </c>
      <c r="AW131" s="23">
        <f t="shared" si="81"/>
        <v>52601.666666666664</v>
      </c>
      <c r="AX131" s="23">
        <f t="shared" si="82"/>
        <v>52358.333333333336</v>
      </c>
      <c r="AY131" s="23">
        <f t="shared" si="83"/>
        <v>54670</v>
      </c>
      <c r="AZ131" s="23">
        <f t="shared" si="84"/>
        <v>50290</v>
      </c>
      <c r="BA131" s="23">
        <f>(AP130+AM130)/(1+1)</f>
        <v>50068.25</v>
      </c>
      <c r="BB131" s="43"/>
      <c r="BC131" s="51">
        <f t="shared" si="65"/>
        <v>52480</v>
      </c>
      <c r="BD131" s="52">
        <f t="shared" si="69"/>
        <v>50068.25</v>
      </c>
      <c r="BE131" s="37">
        <f t="shared" si="88"/>
        <v>2411.75</v>
      </c>
      <c r="BF131">
        <f t="shared" si="89"/>
        <v>2411.75</v>
      </c>
      <c r="BG131">
        <f t="shared" si="90"/>
        <v>4.5955602134146338E-2</v>
      </c>
    </row>
    <row r="132" spans="1:59">
      <c r="A132" s="1" t="s">
        <v>133</v>
      </c>
      <c r="B132" s="1">
        <v>50290</v>
      </c>
      <c r="Q132">
        <v>129</v>
      </c>
      <c r="R132" s="27" t="str">
        <f t="shared" si="66"/>
        <v>07/01/2024</v>
      </c>
      <c r="S132" s="27">
        <f t="shared" si="66"/>
        <v>50460</v>
      </c>
      <c r="T132" s="4" t="str">
        <f t="shared" si="67"/>
        <v>A2</v>
      </c>
      <c r="V132">
        <v>129</v>
      </c>
      <c r="W132" s="28" t="str">
        <f t="shared" ref="W132:Y195" si="95">R132</f>
        <v>07/01/2024</v>
      </c>
      <c r="X132" s="28">
        <f t="shared" si="95"/>
        <v>50460</v>
      </c>
      <c r="Y132" s="28" t="str">
        <f t="shared" si="95"/>
        <v>A2</v>
      </c>
      <c r="Z132" s="5" t="str">
        <f t="shared" si="70"/>
        <v>A2</v>
      </c>
      <c r="AA132" s="5" t="str">
        <f t="shared" si="68"/>
        <v>A2</v>
      </c>
      <c r="AG132" s="49" t="str">
        <f t="shared" si="94"/>
        <v>07/01/2024</v>
      </c>
      <c r="AH132" s="46">
        <f t="shared" si="94"/>
        <v>50460</v>
      </c>
      <c r="AI132" s="49" t="str">
        <f t="shared" si="94"/>
        <v>A2</v>
      </c>
      <c r="AJ132" s="49" t="str">
        <f t="shared" si="71"/>
        <v>A2</v>
      </c>
      <c r="AK132" s="50">
        <f t="shared" si="72"/>
        <v>49736.5</v>
      </c>
      <c r="AL132" s="49" t="str">
        <f t="shared" si="85"/>
        <v>A2</v>
      </c>
      <c r="AM132" s="50">
        <f t="shared" si="73"/>
        <v>49736.5</v>
      </c>
      <c r="AN132" s="56">
        <f t="shared" si="86"/>
        <v>1300</v>
      </c>
      <c r="AO132" s="57">
        <f t="shared" si="87"/>
        <v>51110</v>
      </c>
      <c r="AP132" s="23">
        <f t="shared" si="74"/>
        <v>49810</v>
      </c>
      <c r="AQ132" s="23">
        <f t="shared" si="75"/>
        <v>51760</v>
      </c>
      <c r="AR132" s="23">
        <f t="shared" si="76"/>
        <v>49160</v>
      </c>
      <c r="AS132" s="23">
        <f t="shared" si="77"/>
        <v>50785</v>
      </c>
      <c r="AT132" s="23">
        <f t="shared" si="78"/>
        <v>50135</v>
      </c>
      <c r="AU132" s="23">
        <f t="shared" si="79"/>
        <v>53060</v>
      </c>
      <c r="AV132" s="23">
        <f t="shared" si="80"/>
        <v>47860</v>
      </c>
      <c r="AW132" s="23">
        <f t="shared" si="81"/>
        <v>50676.666666666664</v>
      </c>
      <c r="AX132" s="23">
        <f t="shared" si="82"/>
        <v>50243.333333333336</v>
      </c>
      <c r="AY132" s="23">
        <f t="shared" si="83"/>
        <v>54360</v>
      </c>
      <c r="AZ132" s="23">
        <f t="shared" si="84"/>
        <v>46560</v>
      </c>
      <c r="BA132" s="23">
        <f t="shared" ref="BA132:BA154" si="96">(AO131+AM131)/(1+1)</f>
        <v>51290.75</v>
      </c>
      <c r="BB132" s="43"/>
      <c r="BC132" s="51">
        <f t="shared" ref="BC132:BC195" si="97">AH132</f>
        <v>50460</v>
      </c>
      <c r="BD132" s="52">
        <f t="shared" si="69"/>
        <v>51290.75</v>
      </c>
      <c r="BE132" s="37">
        <f t="shared" si="88"/>
        <v>-830.75</v>
      </c>
      <c r="BF132">
        <f t="shared" si="89"/>
        <v>830.75</v>
      </c>
      <c r="BG132">
        <f t="shared" si="90"/>
        <v>1.6463535473642488E-2</v>
      </c>
    </row>
    <row r="133" spans="1:59">
      <c r="A133" s="1" t="s">
        <v>134</v>
      </c>
      <c r="B133" s="1">
        <v>50020</v>
      </c>
      <c r="Q133">
        <v>130</v>
      </c>
      <c r="R133" s="27" t="str">
        <f t="shared" ref="R133:S196" si="98">A131</f>
        <v>08/01/2024</v>
      </c>
      <c r="S133" s="27">
        <f t="shared" si="98"/>
        <v>52260</v>
      </c>
      <c r="T133" s="4" t="str">
        <f t="shared" ref="T133:T196" si="99">VLOOKUP(S133,$N$5:$O$14,2,TRUE)</f>
        <v>A2</v>
      </c>
      <c r="V133">
        <v>130</v>
      </c>
      <c r="W133" s="28" t="str">
        <f t="shared" si="95"/>
        <v>08/01/2024</v>
      </c>
      <c r="X133" s="28">
        <f t="shared" si="95"/>
        <v>52260</v>
      </c>
      <c r="Y133" s="28" t="str">
        <f t="shared" si="95"/>
        <v>A2</v>
      </c>
      <c r="Z133" s="5" t="str">
        <f t="shared" si="70"/>
        <v>A2</v>
      </c>
      <c r="AA133" s="5" t="str">
        <f t="shared" ref="AA133:AA196" si="100">Y133</f>
        <v>A2</v>
      </c>
      <c r="AG133" s="49" t="str">
        <f t="shared" si="94"/>
        <v>08/01/2024</v>
      </c>
      <c r="AH133" s="46">
        <f t="shared" si="94"/>
        <v>52260</v>
      </c>
      <c r="AI133" s="49" t="str">
        <f t="shared" si="94"/>
        <v>A2</v>
      </c>
      <c r="AJ133" s="49" t="str">
        <f t="shared" si="71"/>
        <v>A2</v>
      </c>
      <c r="AK133" s="50">
        <f t="shared" si="72"/>
        <v>49736.5</v>
      </c>
      <c r="AL133" s="49" t="str">
        <f t="shared" si="85"/>
        <v>A2</v>
      </c>
      <c r="AM133" s="50">
        <f t="shared" si="73"/>
        <v>49736.5</v>
      </c>
      <c r="AN133" s="56">
        <f t="shared" si="86"/>
        <v>220</v>
      </c>
      <c r="AO133" s="57">
        <f t="shared" si="87"/>
        <v>52370</v>
      </c>
      <c r="AP133" s="23">
        <f t="shared" si="74"/>
        <v>52150</v>
      </c>
      <c r="AQ133" s="23">
        <f t="shared" si="75"/>
        <v>52480</v>
      </c>
      <c r="AR133" s="23">
        <f t="shared" si="76"/>
        <v>52040</v>
      </c>
      <c r="AS133" s="23">
        <f t="shared" si="77"/>
        <v>52315</v>
      </c>
      <c r="AT133" s="23">
        <f t="shared" si="78"/>
        <v>52205</v>
      </c>
      <c r="AU133" s="23">
        <f t="shared" si="79"/>
        <v>52700</v>
      </c>
      <c r="AV133" s="23">
        <f t="shared" si="80"/>
        <v>51820</v>
      </c>
      <c r="AW133" s="23">
        <f t="shared" si="81"/>
        <v>52296.666666666664</v>
      </c>
      <c r="AX133" s="23">
        <f t="shared" si="82"/>
        <v>52223.333333333336</v>
      </c>
      <c r="AY133" s="23">
        <f t="shared" si="83"/>
        <v>52920</v>
      </c>
      <c r="AZ133" s="23">
        <f t="shared" si="84"/>
        <v>51600</v>
      </c>
      <c r="BA133" s="23">
        <f t="shared" si="96"/>
        <v>50423.25</v>
      </c>
      <c r="BB133" s="43"/>
      <c r="BC133" s="51">
        <f t="shared" si="97"/>
        <v>52260</v>
      </c>
      <c r="BD133" s="52">
        <f t="shared" ref="BD133:BD196" si="101">BA133</f>
        <v>50423.25</v>
      </c>
      <c r="BE133" s="37">
        <f t="shared" si="88"/>
        <v>1836.75</v>
      </c>
      <c r="BF133">
        <f t="shared" si="89"/>
        <v>1836.75</v>
      </c>
      <c r="BG133">
        <f t="shared" si="90"/>
        <v>3.514638346727899E-2</v>
      </c>
    </row>
    <row r="134" spans="1:59">
      <c r="A134" s="1" t="s">
        <v>135</v>
      </c>
      <c r="B134" s="1">
        <v>48820</v>
      </c>
      <c r="Q134">
        <v>131</v>
      </c>
      <c r="R134" s="27" t="str">
        <f t="shared" si="98"/>
        <v>09/01/2024</v>
      </c>
      <c r="S134" s="27">
        <f t="shared" si="98"/>
        <v>50290</v>
      </c>
      <c r="T134" s="4" t="str">
        <f t="shared" si="99"/>
        <v>A2</v>
      </c>
      <c r="V134">
        <v>131</v>
      </c>
      <c r="W134" s="28" t="str">
        <f t="shared" si="95"/>
        <v>09/01/2024</v>
      </c>
      <c r="X134" s="28">
        <f t="shared" si="95"/>
        <v>50290</v>
      </c>
      <c r="Y134" s="28" t="str">
        <f t="shared" si="95"/>
        <v>A2</v>
      </c>
      <c r="Z134" s="5" t="str">
        <f t="shared" ref="Z134:Z197" si="102">Y133</f>
        <v>A2</v>
      </c>
      <c r="AA134" s="5" t="str">
        <f t="shared" si="100"/>
        <v>A2</v>
      </c>
      <c r="AG134" s="49" t="str">
        <f t="shared" si="94"/>
        <v>09/01/2024</v>
      </c>
      <c r="AH134" s="46">
        <f t="shared" si="94"/>
        <v>50290</v>
      </c>
      <c r="AI134" s="49" t="str">
        <f t="shared" si="94"/>
        <v>A2</v>
      </c>
      <c r="AJ134" s="49" t="str">
        <f t="shared" ref="AJ134:AJ197" si="103">AI133</f>
        <v>A2</v>
      </c>
      <c r="AK134" s="50">
        <f t="shared" ref="AK134:AK177" si="104">VLOOKUP(AJ134,$AC$18:$AD$27,2,FALSE)</f>
        <v>49736.5</v>
      </c>
      <c r="AL134" s="49" t="str">
        <f t="shared" si="85"/>
        <v>A2</v>
      </c>
      <c r="AM134" s="50">
        <f t="shared" ref="AM134:AM197" si="105">VLOOKUP(AL134,$AC$18:$AD$27,2,FALSE)</f>
        <v>49736.5</v>
      </c>
      <c r="AN134" s="56">
        <f t="shared" si="86"/>
        <v>170</v>
      </c>
      <c r="AO134" s="57">
        <f t="shared" si="87"/>
        <v>50375</v>
      </c>
      <c r="AP134" s="23">
        <f t="shared" ref="AP134:AP197" si="106">AH134-AN134/2</f>
        <v>50205</v>
      </c>
      <c r="AQ134" s="23">
        <f t="shared" ref="AQ134:AQ197" si="107">AH134+AN134</f>
        <v>50460</v>
      </c>
      <c r="AR134" s="23">
        <f t="shared" ref="AR134:AR197" si="108">AH134-AN134</f>
        <v>50120</v>
      </c>
      <c r="AS134" s="23">
        <f t="shared" ref="AS134:AS197" si="109">AH134+AN134/4</f>
        <v>50332.5</v>
      </c>
      <c r="AT134" s="23">
        <f t="shared" ref="AT134:AT197" si="110">AH134-AN134/4</f>
        <v>50247.5</v>
      </c>
      <c r="AU134" s="23">
        <f t="shared" ref="AU134:AU197" si="111">AH134+2*AN134</f>
        <v>50630</v>
      </c>
      <c r="AV134" s="23">
        <f t="shared" ref="AV134:AV197" si="112">AH134-2*AN134</f>
        <v>49950</v>
      </c>
      <c r="AW134" s="23">
        <f t="shared" ref="AW134:AW197" si="113">AH134+AN134/6</f>
        <v>50318.333333333336</v>
      </c>
      <c r="AX134" s="23">
        <f t="shared" ref="AX134:AX197" si="114">AH134-AN134/6</f>
        <v>50261.666666666664</v>
      </c>
      <c r="AY134" s="23">
        <f t="shared" ref="AY134:AY197" si="115">AH134+3*AN134</f>
        <v>50800</v>
      </c>
      <c r="AZ134" s="23">
        <f t="shared" ref="AZ134:AZ197" si="116">AH134-3*AN134</f>
        <v>49780</v>
      </c>
      <c r="BA134" s="23">
        <f t="shared" si="96"/>
        <v>51053.25</v>
      </c>
      <c r="BB134" s="43"/>
      <c r="BC134" s="51">
        <f t="shared" si="97"/>
        <v>50290</v>
      </c>
      <c r="BD134" s="52">
        <f t="shared" si="101"/>
        <v>51053.25</v>
      </c>
      <c r="BE134" s="37">
        <f t="shared" si="88"/>
        <v>-763.25</v>
      </c>
      <c r="BF134">
        <f t="shared" si="89"/>
        <v>763.25</v>
      </c>
      <c r="BG134">
        <f t="shared" si="90"/>
        <v>1.5176973553390337E-2</v>
      </c>
    </row>
    <row r="135" spans="1:59">
      <c r="A135" s="1" t="s">
        <v>136</v>
      </c>
      <c r="B135" s="1">
        <v>49970</v>
      </c>
      <c r="Q135">
        <v>132</v>
      </c>
      <c r="R135" s="27" t="str">
        <f t="shared" si="98"/>
        <v>10/01/2024</v>
      </c>
      <c r="S135" s="27">
        <f t="shared" si="98"/>
        <v>50020</v>
      </c>
      <c r="T135" s="4" t="str">
        <f t="shared" si="99"/>
        <v>A2</v>
      </c>
      <c r="V135">
        <v>132</v>
      </c>
      <c r="W135" s="28" t="str">
        <f t="shared" si="95"/>
        <v>10/01/2024</v>
      </c>
      <c r="X135" s="28">
        <f t="shared" si="95"/>
        <v>50020</v>
      </c>
      <c r="Y135" s="28" t="str">
        <f t="shared" si="95"/>
        <v>A2</v>
      </c>
      <c r="Z135" s="5" t="str">
        <f t="shared" si="102"/>
        <v>A2</v>
      </c>
      <c r="AA135" s="5" t="str">
        <f t="shared" si="100"/>
        <v>A2</v>
      </c>
      <c r="AG135" s="49" t="str">
        <f t="shared" si="94"/>
        <v>10/01/2024</v>
      </c>
      <c r="AH135" s="46">
        <f t="shared" si="94"/>
        <v>50020</v>
      </c>
      <c r="AI135" s="49" t="str">
        <f t="shared" si="94"/>
        <v>A2</v>
      </c>
      <c r="AJ135" s="49" t="str">
        <f t="shared" si="103"/>
        <v>A2</v>
      </c>
      <c r="AK135" s="50">
        <f t="shared" si="104"/>
        <v>49736.5</v>
      </c>
      <c r="AL135" s="49" t="str">
        <f t="shared" ref="AL135:AL198" si="117">AI135</f>
        <v>A2</v>
      </c>
      <c r="AM135" s="50">
        <f t="shared" si="105"/>
        <v>49736.5</v>
      </c>
      <c r="AN135" s="56">
        <f t="shared" ref="AN135:AN198" si="118">ABS(ABS(AH135-AH134)-ABS(AH134-AH133))</f>
        <v>1700</v>
      </c>
      <c r="AO135" s="57">
        <f t="shared" ref="AO135:AO198" si="119">AH135+AN135/2</f>
        <v>50870</v>
      </c>
      <c r="AP135" s="23">
        <f t="shared" si="106"/>
        <v>49170</v>
      </c>
      <c r="AQ135" s="23">
        <f t="shared" si="107"/>
        <v>51720</v>
      </c>
      <c r="AR135" s="23">
        <f t="shared" si="108"/>
        <v>48320</v>
      </c>
      <c r="AS135" s="23">
        <f t="shared" si="109"/>
        <v>50445</v>
      </c>
      <c r="AT135" s="23">
        <f t="shared" si="110"/>
        <v>49595</v>
      </c>
      <c r="AU135" s="23">
        <f t="shared" si="111"/>
        <v>53420</v>
      </c>
      <c r="AV135" s="23">
        <f t="shared" si="112"/>
        <v>46620</v>
      </c>
      <c r="AW135" s="23">
        <f t="shared" si="113"/>
        <v>50303.333333333336</v>
      </c>
      <c r="AX135" s="23">
        <f t="shared" si="114"/>
        <v>49736.666666666664</v>
      </c>
      <c r="AY135" s="23">
        <f t="shared" si="115"/>
        <v>55120</v>
      </c>
      <c r="AZ135" s="23">
        <f t="shared" si="116"/>
        <v>44920</v>
      </c>
      <c r="BA135" s="23">
        <f t="shared" si="96"/>
        <v>50055.75</v>
      </c>
      <c r="BB135" s="43"/>
      <c r="BC135" s="51">
        <f t="shared" si="97"/>
        <v>50020</v>
      </c>
      <c r="BD135" s="52">
        <f t="shared" si="101"/>
        <v>50055.75</v>
      </c>
      <c r="BE135" s="37">
        <f t="shared" ref="BE135:BE198" si="120">BC135-BD135</f>
        <v>-35.75</v>
      </c>
      <c r="BF135">
        <f t="shared" ref="BF135:BF198" si="121">ABS(BE135)</f>
        <v>35.75</v>
      </c>
      <c r="BG135">
        <f t="shared" ref="BG135:BG198" si="122">BF135/BC135</f>
        <v>7.1471411435425835E-4</v>
      </c>
    </row>
    <row r="136" spans="1:59">
      <c r="A136" s="1" t="s">
        <v>137</v>
      </c>
      <c r="B136" s="1">
        <v>50880</v>
      </c>
      <c r="Q136">
        <v>133</v>
      </c>
      <c r="R136" s="27" t="str">
        <f t="shared" si="98"/>
        <v>11/01/2024</v>
      </c>
      <c r="S136" s="27">
        <f t="shared" si="98"/>
        <v>48820</v>
      </c>
      <c r="T136" s="4" t="str">
        <f t="shared" si="99"/>
        <v>A2</v>
      </c>
      <c r="V136">
        <v>133</v>
      </c>
      <c r="W136" s="28" t="str">
        <f t="shared" si="95"/>
        <v>11/01/2024</v>
      </c>
      <c r="X136" s="28">
        <f t="shared" si="95"/>
        <v>48820</v>
      </c>
      <c r="Y136" s="28" t="str">
        <f t="shared" si="95"/>
        <v>A2</v>
      </c>
      <c r="Z136" s="5" t="str">
        <f t="shared" si="102"/>
        <v>A2</v>
      </c>
      <c r="AA136" s="5" t="str">
        <f t="shared" si="100"/>
        <v>A2</v>
      </c>
      <c r="AG136" s="49" t="str">
        <f t="shared" si="94"/>
        <v>11/01/2024</v>
      </c>
      <c r="AH136" s="46">
        <f t="shared" si="94"/>
        <v>48820</v>
      </c>
      <c r="AI136" s="49" t="str">
        <f t="shared" si="94"/>
        <v>A2</v>
      </c>
      <c r="AJ136" s="49" t="str">
        <f t="shared" si="103"/>
        <v>A2</v>
      </c>
      <c r="AK136" s="50">
        <f t="shared" si="104"/>
        <v>49736.5</v>
      </c>
      <c r="AL136" s="49" t="str">
        <f t="shared" si="117"/>
        <v>A2</v>
      </c>
      <c r="AM136" s="50">
        <f t="shared" si="105"/>
        <v>49736.5</v>
      </c>
      <c r="AN136" s="56">
        <f t="shared" si="118"/>
        <v>930</v>
      </c>
      <c r="AO136" s="57">
        <f t="shared" si="119"/>
        <v>49285</v>
      </c>
      <c r="AP136" s="23">
        <f t="shared" si="106"/>
        <v>48355</v>
      </c>
      <c r="AQ136" s="23">
        <f t="shared" si="107"/>
        <v>49750</v>
      </c>
      <c r="AR136" s="23">
        <f t="shared" si="108"/>
        <v>47890</v>
      </c>
      <c r="AS136" s="23">
        <f t="shared" si="109"/>
        <v>49052.5</v>
      </c>
      <c r="AT136" s="23">
        <f t="shared" si="110"/>
        <v>48587.5</v>
      </c>
      <c r="AU136" s="23">
        <f t="shared" si="111"/>
        <v>50680</v>
      </c>
      <c r="AV136" s="23">
        <f t="shared" si="112"/>
        <v>46960</v>
      </c>
      <c r="AW136" s="23">
        <f t="shared" si="113"/>
        <v>48975</v>
      </c>
      <c r="AX136" s="23">
        <f t="shared" si="114"/>
        <v>48665</v>
      </c>
      <c r="AY136" s="23">
        <f t="shared" si="115"/>
        <v>51610</v>
      </c>
      <c r="AZ136" s="23">
        <f t="shared" si="116"/>
        <v>46030</v>
      </c>
      <c r="BA136" s="23">
        <f t="shared" si="96"/>
        <v>50303.25</v>
      </c>
      <c r="BB136" s="43"/>
      <c r="BC136" s="51">
        <f t="shared" si="97"/>
        <v>48820</v>
      </c>
      <c r="BD136" s="52">
        <f t="shared" si="101"/>
        <v>50303.25</v>
      </c>
      <c r="BE136" s="37">
        <f t="shared" si="120"/>
        <v>-1483.25</v>
      </c>
      <c r="BF136">
        <f t="shared" si="121"/>
        <v>1483.25</v>
      </c>
      <c r="BG136">
        <f t="shared" si="122"/>
        <v>3.0382015567390414E-2</v>
      </c>
    </row>
    <row r="137" spans="1:59">
      <c r="A137" s="1" t="s">
        <v>138</v>
      </c>
      <c r="B137" s="1">
        <v>50770</v>
      </c>
      <c r="Q137">
        <v>134</v>
      </c>
      <c r="R137" s="27" t="str">
        <f t="shared" si="98"/>
        <v>12/01/2024</v>
      </c>
      <c r="S137" s="27">
        <f t="shared" si="98"/>
        <v>49970</v>
      </c>
      <c r="T137" s="4" t="str">
        <f t="shared" si="99"/>
        <v>A2</v>
      </c>
      <c r="V137">
        <v>134</v>
      </c>
      <c r="W137" s="28" t="str">
        <f t="shared" si="95"/>
        <v>12/01/2024</v>
      </c>
      <c r="X137" s="28">
        <f t="shared" si="95"/>
        <v>49970</v>
      </c>
      <c r="Y137" s="28" t="str">
        <f t="shared" si="95"/>
        <v>A2</v>
      </c>
      <c r="Z137" s="5" t="str">
        <f t="shared" si="102"/>
        <v>A2</v>
      </c>
      <c r="AA137" s="5" t="str">
        <f t="shared" si="100"/>
        <v>A2</v>
      </c>
      <c r="AG137" s="49" t="str">
        <f t="shared" si="94"/>
        <v>12/01/2024</v>
      </c>
      <c r="AH137" s="46">
        <f t="shared" si="94"/>
        <v>49970</v>
      </c>
      <c r="AI137" s="49" t="str">
        <f t="shared" si="94"/>
        <v>A2</v>
      </c>
      <c r="AJ137" s="49" t="str">
        <f t="shared" si="103"/>
        <v>A2</v>
      </c>
      <c r="AK137" s="50">
        <f t="shared" si="104"/>
        <v>49736.5</v>
      </c>
      <c r="AL137" s="49" t="str">
        <f t="shared" si="117"/>
        <v>A2</v>
      </c>
      <c r="AM137" s="50">
        <f t="shared" si="105"/>
        <v>49736.5</v>
      </c>
      <c r="AN137" s="56">
        <f t="shared" si="118"/>
        <v>50</v>
      </c>
      <c r="AO137" s="57">
        <f t="shared" si="119"/>
        <v>49995</v>
      </c>
      <c r="AP137" s="23">
        <f t="shared" si="106"/>
        <v>49945</v>
      </c>
      <c r="AQ137" s="23">
        <f t="shared" si="107"/>
        <v>50020</v>
      </c>
      <c r="AR137" s="23">
        <f t="shared" si="108"/>
        <v>49920</v>
      </c>
      <c r="AS137" s="23">
        <f t="shared" si="109"/>
        <v>49982.5</v>
      </c>
      <c r="AT137" s="23">
        <f t="shared" si="110"/>
        <v>49957.5</v>
      </c>
      <c r="AU137" s="23">
        <f t="shared" si="111"/>
        <v>50070</v>
      </c>
      <c r="AV137" s="23">
        <f t="shared" si="112"/>
        <v>49870</v>
      </c>
      <c r="AW137" s="23">
        <f t="shared" si="113"/>
        <v>49978.333333333336</v>
      </c>
      <c r="AX137" s="23">
        <f t="shared" si="114"/>
        <v>49961.666666666664</v>
      </c>
      <c r="AY137" s="23">
        <f t="shared" si="115"/>
        <v>50120</v>
      </c>
      <c r="AZ137" s="23">
        <f t="shared" si="116"/>
        <v>49820</v>
      </c>
      <c r="BA137" s="23">
        <f t="shared" si="96"/>
        <v>49510.75</v>
      </c>
      <c r="BB137" s="43"/>
      <c r="BC137" s="51">
        <f t="shared" si="97"/>
        <v>49970</v>
      </c>
      <c r="BD137" s="52">
        <f t="shared" si="101"/>
        <v>49510.75</v>
      </c>
      <c r="BE137" s="37">
        <f t="shared" si="120"/>
        <v>459.25</v>
      </c>
      <c r="BF137">
        <f t="shared" si="121"/>
        <v>459.25</v>
      </c>
      <c r="BG137">
        <f t="shared" si="122"/>
        <v>9.1905143085851508E-3</v>
      </c>
    </row>
    <row r="138" spans="1:59">
      <c r="A138" s="1" t="s">
        <v>139</v>
      </c>
      <c r="B138" s="1">
        <v>49520</v>
      </c>
      <c r="Q138">
        <v>135</v>
      </c>
      <c r="R138" s="27" t="str">
        <f t="shared" si="98"/>
        <v>13/01/2024</v>
      </c>
      <c r="S138" s="27">
        <f t="shared" si="98"/>
        <v>50880</v>
      </c>
      <c r="T138" s="4" t="str">
        <f t="shared" si="99"/>
        <v>A2</v>
      </c>
      <c r="V138">
        <v>135</v>
      </c>
      <c r="W138" s="28" t="str">
        <f t="shared" si="95"/>
        <v>13/01/2024</v>
      </c>
      <c r="X138" s="28">
        <f t="shared" si="95"/>
        <v>50880</v>
      </c>
      <c r="Y138" s="28" t="str">
        <f t="shared" si="95"/>
        <v>A2</v>
      </c>
      <c r="Z138" s="5" t="str">
        <f t="shared" si="102"/>
        <v>A2</v>
      </c>
      <c r="AA138" s="5" t="str">
        <f t="shared" si="100"/>
        <v>A2</v>
      </c>
      <c r="AG138" s="49" t="str">
        <f t="shared" si="94"/>
        <v>13/01/2024</v>
      </c>
      <c r="AH138" s="46">
        <f t="shared" si="94"/>
        <v>50880</v>
      </c>
      <c r="AI138" s="49" t="str">
        <f t="shared" si="94"/>
        <v>A2</v>
      </c>
      <c r="AJ138" s="49" t="str">
        <f t="shared" si="103"/>
        <v>A2</v>
      </c>
      <c r="AK138" s="50">
        <f t="shared" si="104"/>
        <v>49736.5</v>
      </c>
      <c r="AL138" s="49" t="str">
        <f t="shared" si="117"/>
        <v>A2</v>
      </c>
      <c r="AM138" s="50">
        <f t="shared" si="105"/>
        <v>49736.5</v>
      </c>
      <c r="AN138" s="56">
        <f t="shared" si="118"/>
        <v>240</v>
      </c>
      <c r="AO138" s="57">
        <f t="shared" si="119"/>
        <v>51000</v>
      </c>
      <c r="AP138" s="23">
        <f t="shared" si="106"/>
        <v>50760</v>
      </c>
      <c r="AQ138" s="23">
        <f t="shared" si="107"/>
        <v>51120</v>
      </c>
      <c r="AR138" s="23">
        <f t="shared" si="108"/>
        <v>50640</v>
      </c>
      <c r="AS138" s="23">
        <f t="shared" si="109"/>
        <v>50940</v>
      </c>
      <c r="AT138" s="23">
        <f t="shared" si="110"/>
        <v>50820</v>
      </c>
      <c r="AU138" s="23">
        <f t="shared" si="111"/>
        <v>51360</v>
      </c>
      <c r="AV138" s="23">
        <f t="shared" si="112"/>
        <v>50400</v>
      </c>
      <c r="AW138" s="23">
        <f t="shared" si="113"/>
        <v>50920</v>
      </c>
      <c r="AX138" s="23">
        <f t="shared" si="114"/>
        <v>50840</v>
      </c>
      <c r="AY138" s="23">
        <f t="shared" si="115"/>
        <v>51600</v>
      </c>
      <c r="AZ138" s="23">
        <f t="shared" si="116"/>
        <v>50160</v>
      </c>
      <c r="BA138" s="23">
        <f t="shared" si="96"/>
        <v>49865.75</v>
      </c>
      <c r="BB138" s="43"/>
      <c r="BC138" s="51">
        <f t="shared" si="97"/>
        <v>50880</v>
      </c>
      <c r="BD138" s="52">
        <f t="shared" si="101"/>
        <v>49865.75</v>
      </c>
      <c r="BE138" s="37">
        <f t="shared" si="120"/>
        <v>1014.25</v>
      </c>
      <c r="BF138">
        <f t="shared" si="121"/>
        <v>1014.25</v>
      </c>
      <c r="BG138">
        <f t="shared" si="122"/>
        <v>1.9934158805031448E-2</v>
      </c>
    </row>
    <row r="139" spans="1:59">
      <c r="A139" s="1" t="s">
        <v>140</v>
      </c>
      <c r="B139" s="1">
        <v>47690</v>
      </c>
      <c r="Q139">
        <v>136</v>
      </c>
      <c r="R139" s="27" t="str">
        <f t="shared" si="98"/>
        <v>14/01/2024</v>
      </c>
      <c r="S139" s="27">
        <f t="shared" si="98"/>
        <v>50770</v>
      </c>
      <c r="T139" s="4" t="str">
        <f t="shared" si="99"/>
        <v>A2</v>
      </c>
      <c r="V139">
        <v>136</v>
      </c>
      <c r="W139" s="28" t="str">
        <f t="shared" si="95"/>
        <v>14/01/2024</v>
      </c>
      <c r="X139" s="28">
        <f t="shared" si="95"/>
        <v>50770</v>
      </c>
      <c r="Y139" s="28" t="str">
        <f t="shared" si="95"/>
        <v>A2</v>
      </c>
      <c r="Z139" s="5" t="str">
        <f t="shared" si="102"/>
        <v>A2</v>
      </c>
      <c r="AA139" s="5" t="str">
        <f t="shared" si="100"/>
        <v>A2</v>
      </c>
      <c r="AG139" s="49" t="str">
        <f t="shared" si="94"/>
        <v>14/01/2024</v>
      </c>
      <c r="AH139" s="46">
        <f t="shared" si="94"/>
        <v>50770</v>
      </c>
      <c r="AI139" s="49" t="str">
        <f t="shared" si="94"/>
        <v>A2</v>
      </c>
      <c r="AJ139" s="49" t="str">
        <f t="shared" si="103"/>
        <v>A2</v>
      </c>
      <c r="AK139" s="50">
        <f t="shared" si="104"/>
        <v>49736.5</v>
      </c>
      <c r="AL139" s="49" t="str">
        <f t="shared" si="117"/>
        <v>A2</v>
      </c>
      <c r="AM139" s="50">
        <f t="shared" si="105"/>
        <v>49736.5</v>
      </c>
      <c r="AN139" s="56">
        <f t="shared" si="118"/>
        <v>800</v>
      </c>
      <c r="AO139" s="57">
        <f t="shared" si="119"/>
        <v>51170</v>
      </c>
      <c r="AP139" s="23">
        <f t="shared" si="106"/>
        <v>50370</v>
      </c>
      <c r="AQ139" s="23">
        <f t="shared" si="107"/>
        <v>51570</v>
      </c>
      <c r="AR139" s="23">
        <f t="shared" si="108"/>
        <v>49970</v>
      </c>
      <c r="AS139" s="23">
        <f t="shared" si="109"/>
        <v>50970</v>
      </c>
      <c r="AT139" s="23">
        <f t="shared" si="110"/>
        <v>50570</v>
      </c>
      <c r="AU139" s="23">
        <f t="shared" si="111"/>
        <v>52370</v>
      </c>
      <c r="AV139" s="23">
        <f t="shared" si="112"/>
        <v>49170</v>
      </c>
      <c r="AW139" s="23">
        <f t="shared" si="113"/>
        <v>50903.333333333336</v>
      </c>
      <c r="AX139" s="23">
        <f t="shared" si="114"/>
        <v>50636.666666666664</v>
      </c>
      <c r="AY139" s="23">
        <f t="shared" si="115"/>
        <v>53170</v>
      </c>
      <c r="AZ139" s="23">
        <f t="shared" si="116"/>
        <v>48370</v>
      </c>
      <c r="BA139" s="23">
        <f t="shared" si="96"/>
        <v>50368.25</v>
      </c>
      <c r="BB139" s="43"/>
      <c r="BC139" s="51">
        <f t="shared" si="97"/>
        <v>50770</v>
      </c>
      <c r="BD139" s="52">
        <f t="shared" si="101"/>
        <v>50368.25</v>
      </c>
      <c r="BE139" s="37">
        <f t="shared" si="120"/>
        <v>401.75</v>
      </c>
      <c r="BF139">
        <f t="shared" si="121"/>
        <v>401.75</v>
      </c>
      <c r="BG139">
        <f t="shared" si="122"/>
        <v>7.9131376797321254E-3</v>
      </c>
    </row>
    <row r="140" spans="1:59">
      <c r="A140" s="1" t="s">
        <v>141</v>
      </c>
      <c r="B140" s="1">
        <v>48050</v>
      </c>
      <c r="Q140">
        <v>137</v>
      </c>
      <c r="R140" s="27" t="str">
        <f t="shared" si="98"/>
        <v>15/01/2024</v>
      </c>
      <c r="S140" s="27">
        <f t="shared" si="98"/>
        <v>49520</v>
      </c>
      <c r="T140" s="4" t="str">
        <f t="shared" si="99"/>
        <v>A2</v>
      </c>
      <c r="V140">
        <v>137</v>
      </c>
      <c r="W140" s="28" t="str">
        <f t="shared" si="95"/>
        <v>15/01/2024</v>
      </c>
      <c r="X140" s="28">
        <f t="shared" si="95"/>
        <v>49520</v>
      </c>
      <c r="Y140" s="28" t="str">
        <f t="shared" si="95"/>
        <v>A2</v>
      </c>
      <c r="Z140" s="5" t="str">
        <f t="shared" si="102"/>
        <v>A2</v>
      </c>
      <c r="AA140" s="5" t="str">
        <f t="shared" si="100"/>
        <v>A2</v>
      </c>
      <c r="AG140" s="49" t="str">
        <f t="shared" si="94"/>
        <v>15/01/2024</v>
      </c>
      <c r="AH140" s="46">
        <f t="shared" si="94"/>
        <v>49520</v>
      </c>
      <c r="AI140" s="49" t="str">
        <f t="shared" si="94"/>
        <v>A2</v>
      </c>
      <c r="AJ140" s="49" t="str">
        <f t="shared" si="103"/>
        <v>A2</v>
      </c>
      <c r="AK140" s="50">
        <f t="shared" si="104"/>
        <v>49736.5</v>
      </c>
      <c r="AL140" s="49" t="str">
        <f t="shared" si="117"/>
        <v>A2</v>
      </c>
      <c r="AM140" s="50">
        <f t="shared" si="105"/>
        <v>49736.5</v>
      </c>
      <c r="AN140" s="56">
        <f t="shared" si="118"/>
        <v>1140</v>
      </c>
      <c r="AO140" s="57">
        <f t="shared" si="119"/>
        <v>50090</v>
      </c>
      <c r="AP140" s="23">
        <f t="shared" si="106"/>
        <v>48950</v>
      </c>
      <c r="AQ140" s="23">
        <f t="shared" si="107"/>
        <v>50660</v>
      </c>
      <c r="AR140" s="23">
        <f t="shared" si="108"/>
        <v>48380</v>
      </c>
      <c r="AS140" s="23">
        <f t="shared" si="109"/>
        <v>49805</v>
      </c>
      <c r="AT140" s="23">
        <f t="shared" si="110"/>
        <v>49235</v>
      </c>
      <c r="AU140" s="23">
        <f t="shared" si="111"/>
        <v>51800</v>
      </c>
      <c r="AV140" s="23">
        <f t="shared" si="112"/>
        <v>47240</v>
      </c>
      <c r="AW140" s="23">
        <f t="shared" si="113"/>
        <v>49710</v>
      </c>
      <c r="AX140" s="23">
        <f t="shared" si="114"/>
        <v>49330</v>
      </c>
      <c r="AY140" s="23">
        <f t="shared" si="115"/>
        <v>52940</v>
      </c>
      <c r="AZ140" s="23">
        <f t="shared" si="116"/>
        <v>46100</v>
      </c>
      <c r="BA140" s="23">
        <f t="shared" si="96"/>
        <v>50453.25</v>
      </c>
      <c r="BB140" s="43"/>
      <c r="BC140" s="51">
        <f t="shared" si="97"/>
        <v>49520</v>
      </c>
      <c r="BD140" s="52">
        <f t="shared" si="101"/>
        <v>50453.25</v>
      </c>
      <c r="BE140" s="37">
        <f t="shared" si="120"/>
        <v>-933.25</v>
      </c>
      <c r="BF140">
        <f t="shared" si="121"/>
        <v>933.25</v>
      </c>
      <c r="BG140">
        <f t="shared" si="122"/>
        <v>1.8845920840064621E-2</v>
      </c>
    </row>
    <row r="141" spans="1:59">
      <c r="A141" s="1" t="s">
        <v>142</v>
      </c>
      <c r="B141" s="1">
        <v>50510</v>
      </c>
      <c r="Q141">
        <v>138</v>
      </c>
      <c r="R141" s="27" t="str">
        <f t="shared" si="98"/>
        <v>16/01/2024</v>
      </c>
      <c r="S141" s="27">
        <f t="shared" si="98"/>
        <v>47690</v>
      </c>
      <c r="T141" s="4" t="str">
        <f t="shared" si="99"/>
        <v>A2</v>
      </c>
      <c r="V141">
        <v>138</v>
      </c>
      <c r="W141" s="28" t="str">
        <f t="shared" si="95"/>
        <v>16/01/2024</v>
      </c>
      <c r="X141" s="28">
        <f t="shared" si="95"/>
        <v>47690</v>
      </c>
      <c r="Y141" s="28" t="str">
        <f t="shared" si="95"/>
        <v>A2</v>
      </c>
      <c r="Z141" s="5" t="str">
        <f t="shared" si="102"/>
        <v>A2</v>
      </c>
      <c r="AA141" s="5" t="str">
        <f t="shared" si="100"/>
        <v>A2</v>
      </c>
      <c r="AG141" s="49" t="str">
        <f t="shared" si="94"/>
        <v>16/01/2024</v>
      </c>
      <c r="AH141" s="46">
        <f t="shared" si="94"/>
        <v>47690</v>
      </c>
      <c r="AI141" s="49" t="str">
        <f t="shared" si="94"/>
        <v>A2</v>
      </c>
      <c r="AJ141" s="49" t="str">
        <f t="shared" si="103"/>
        <v>A2</v>
      </c>
      <c r="AK141" s="50">
        <f t="shared" si="104"/>
        <v>49736.5</v>
      </c>
      <c r="AL141" s="49" t="str">
        <f t="shared" si="117"/>
        <v>A2</v>
      </c>
      <c r="AM141" s="50">
        <f t="shared" si="105"/>
        <v>49736.5</v>
      </c>
      <c r="AN141" s="56">
        <f t="shared" si="118"/>
        <v>580</v>
      </c>
      <c r="AO141" s="57">
        <f t="shared" si="119"/>
        <v>47980</v>
      </c>
      <c r="AP141" s="23">
        <f t="shared" si="106"/>
        <v>47400</v>
      </c>
      <c r="AQ141" s="23">
        <f t="shared" si="107"/>
        <v>48270</v>
      </c>
      <c r="AR141" s="23">
        <f t="shared" si="108"/>
        <v>47110</v>
      </c>
      <c r="AS141" s="23">
        <f t="shared" si="109"/>
        <v>47835</v>
      </c>
      <c r="AT141" s="23">
        <f t="shared" si="110"/>
        <v>47545</v>
      </c>
      <c r="AU141" s="23">
        <f t="shared" si="111"/>
        <v>48850</v>
      </c>
      <c r="AV141" s="23">
        <f t="shared" si="112"/>
        <v>46530</v>
      </c>
      <c r="AW141" s="23">
        <f t="shared" si="113"/>
        <v>47786.666666666664</v>
      </c>
      <c r="AX141" s="23">
        <f t="shared" si="114"/>
        <v>47593.333333333336</v>
      </c>
      <c r="AY141" s="23">
        <f t="shared" si="115"/>
        <v>49430</v>
      </c>
      <c r="AZ141" s="23">
        <f t="shared" si="116"/>
        <v>45950</v>
      </c>
      <c r="BA141" s="23">
        <f t="shared" si="96"/>
        <v>49913.25</v>
      </c>
      <c r="BB141" s="43"/>
      <c r="BC141" s="51">
        <f t="shared" si="97"/>
        <v>47690</v>
      </c>
      <c r="BD141" s="52">
        <f t="shared" si="101"/>
        <v>49913.25</v>
      </c>
      <c r="BE141" s="37">
        <f t="shared" si="120"/>
        <v>-2223.25</v>
      </c>
      <c r="BF141">
        <f t="shared" si="121"/>
        <v>2223.25</v>
      </c>
      <c r="BG141">
        <f t="shared" si="122"/>
        <v>4.6618788005871249E-2</v>
      </c>
    </row>
    <row r="142" spans="1:59">
      <c r="A142" s="1" t="s">
        <v>143</v>
      </c>
      <c r="B142" s="1">
        <v>50330</v>
      </c>
      <c r="Q142">
        <v>139</v>
      </c>
      <c r="R142" s="27" t="str">
        <f t="shared" si="98"/>
        <v>17/01/2024</v>
      </c>
      <c r="S142" s="27">
        <f t="shared" si="98"/>
        <v>48050</v>
      </c>
      <c r="T142" s="4" t="str">
        <f t="shared" si="99"/>
        <v>A2</v>
      </c>
      <c r="V142">
        <v>139</v>
      </c>
      <c r="W142" s="28" t="str">
        <f t="shared" si="95"/>
        <v>17/01/2024</v>
      </c>
      <c r="X142" s="28">
        <f t="shared" si="95"/>
        <v>48050</v>
      </c>
      <c r="Y142" s="28" t="str">
        <f t="shared" si="95"/>
        <v>A2</v>
      </c>
      <c r="Z142" s="5" t="str">
        <f t="shared" si="102"/>
        <v>A2</v>
      </c>
      <c r="AA142" s="5" t="str">
        <f t="shared" si="100"/>
        <v>A2</v>
      </c>
      <c r="AG142" s="49" t="str">
        <f t="shared" si="94"/>
        <v>17/01/2024</v>
      </c>
      <c r="AH142" s="46">
        <f t="shared" si="94"/>
        <v>48050</v>
      </c>
      <c r="AI142" s="49" t="str">
        <f t="shared" si="94"/>
        <v>A2</v>
      </c>
      <c r="AJ142" s="49" t="str">
        <f t="shared" si="103"/>
        <v>A2</v>
      </c>
      <c r="AK142" s="50">
        <f t="shared" si="104"/>
        <v>49736.5</v>
      </c>
      <c r="AL142" s="49" t="str">
        <f t="shared" si="117"/>
        <v>A2</v>
      </c>
      <c r="AM142" s="50">
        <f t="shared" si="105"/>
        <v>49736.5</v>
      </c>
      <c r="AN142" s="56">
        <f t="shared" si="118"/>
        <v>1470</v>
      </c>
      <c r="AO142" s="57">
        <f t="shared" si="119"/>
        <v>48785</v>
      </c>
      <c r="AP142" s="23">
        <f t="shared" si="106"/>
        <v>47315</v>
      </c>
      <c r="AQ142" s="23">
        <f t="shared" si="107"/>
        <v>49520</v>
      </c>
      <c r="AR142" s="23">
        <f t="shared" si="108"/>
        <v>46580</v>
      </c>
      <c r="AS142" s="23">
        <f t="shared" si="109"/>
        <v>48417.5</v>
      </c>
      <c r="AT142" s="23">
        <f t="shared" si="110"/>
        <v>47682.5</v>
      </c>
      <c r="AU142" s="23">
        <f t="shared" si="111"/>
        <v>50990</v>
      </c>
      <c r="AV142" s="23">
        <f t="shared" si="112"/>
        <v>45110</v>
      </c>
      <c r="AW142" s="23">
        <f t="shared" si="113"/>
        <v>48295</v>
      </c>
      <c r="AX142" s="23">
        <f t="shared" si="114"/>
        <v>47805</v>
      </c>
      <c r="AY142" s="23">
        <f t="shared" si="115"/>
        <v>52460</v>
      </c>
      <c r="AZ142" s="23">
        <f t="shared" si="116"/>
        <v>43640</v>
      </c>
      <c r="BA142" s="23">
        <f t="shared" si="96"/>
        <v>48858.25</v>
      </c>
      <c r="BB142" s="43"/>
      <c r="BC142" s="51">
        <f t="shared" si="97"/>
        <v>48050</v>
      </c>
      <c r="BD142" s="52">
        <f t="shared" si="101"/>
        <v>48858.25</v>
      </c>
      <c r="BE142" s="37">
        <f t="shared" si="120"/>
        <v>-808.25</v>
      </c>
      <c r="BF142">
        <f t="shared" si="121"/>
        <v>808.25</v>
      </c>
      <c r="BG142">
        <f t="shared" si="122"/>
        <v>1.68210197710718E-2</v>
      </c>
    </row>
    <row r="143" spans="1:59">
      <c r="A143" s="1" t="s">
        <v>144</v>
      </c>
      <c r="B143" s="1">
        <v>49650</v>
      </c>
      <c r="Q143">
        <v>140</v>
      </c>
      <c r="R143" s="27" t="str">
        <f t="shared" si="98"/>
        <v>18/01/2024</v>
      </c>
      <c r="S143" s="27">
        <f t="shared" si="98"/>
        <v>50510</v>
      </c>
      <c r="T143" s="4" t="str">
        <f t="shared" si="99"/>
        <v>A2</v>
      </c>
      <c r="V143">
        <v>140</v>
      </c>
      <c r="W143" s="28" t="str">
        <f t="shared" si="95"/>
        <v>18/01/2024</v>
      </c>
      <c r="X143" s="28">
        <f t="shared" si="95"/>
        <v>50510</v>
      </c>
      <c r="Y143" s="28" t="str">
        <f t="shared" si="95"/>
        <v>A2</v>
      </c>
      <c r="Z143" s="5" t="str">
        <f t="shared" si="102"/>
        <v>A2</v>
      </c>
      <c r="AA143" s="5" t="str">
        <f t="shared" si="100"/>
        <v>A2</v>
      </c>
      <c r="AG143" s="49" t="str">
        <f t="shared" si="94"/>
        <v>18/01/2024</v>
      </c>
      <c r="AH143" s="46">
        <f t="shared" si="94"/>
        <v>50510</v>
      </c>
      <c r="AI143" s="49" t="str">
        <f t="shared" si="94"/>
        <v>A2</v>
      </c>
      <c r="AJ143" s="49" t="str">
        <f t="shared" si="103"/>
        <v>A2</v>
      </c>
      <c r="AK143" s="50">
        <f t="shared" si="104"/>
        <v>49736.5</v>
      </c>
      <c r="AL143" s="49" t="str">
        <f t="shared" si="117"/>
        <v>A2</v>
      </c>
      <c r="AM143" s="50">
        <f t="shared" si="105"/>
        <v>49736.5</v>
      </c>
      <c r="AN143" s="56">
        <f t="shared" si="118"/>
        <v>2100</v>
      </c>
      <c r="AO143" s="57">
        <f t="shared" si="119"/>
        <v>51560</v>
      </c>
      <c r="AP143" s="23">
        <f t="shared" si="106"/>
        <v>49460</v>
      </c>
      <c r="AQ143" s="23">
        <f t="shared" si="107"/>
        <v>52610</v>
      </c>
      <c r="AR143" s="23">
        <f t="shared" si="108"/>
        <v>48410</v>
      </c>
      <c r="AS143" s="23">
        <f t="shared" si="109"/>
        <v>51035</v>
      </c>
      <c r="AT143" s="23">
        <f t="shared" si="110"/>
        <v>49985</v>
      </c>
      <c r="AU143" s="23">
        <f t="shared" si="111"/>
        <v>54710</v>
      </c>
      <c r="AV143" s="23">
        <f t="shared" si="112"/>
        <v>46310</v>
      </c>
      <c r="AW143" s="23">
        <f t="shared" si="113"/>
        <v>50860</v>
      </c>
      <c r="AX143" s="23">
        <f t="shared" si="114"/>
        <v>50160</v>
      </c>
      <c r="AY143" s="23">
        <f t="shared" si="115"/>
        <v>56810</v>
      </c>
      <c r="AZ143" s="23">
        <f t="shared" si="116"/>
        <v>44210</v>
      </c>
      <c r="BA143" s="23">
        <f t="shared" si="96"/>
        <v>49260.75</v>
      </c>
      <c r="BB143" s="43"/>
      <c r="BC143" s="51">
        <f t="shared" si="97"/>
        <v>50510</v>
      </c>
      <c r="BD143" s="52">
        <f t="shared" si="101"/>
        <v>49260.75</v>
      </c>
      <c r="BE143" s="37">
        <f t="shared" si="120"/>
        <v>1249.25</v>
      </c>
      <c r="BF143">
        <f t="shared" si="121"/>
        <v>1249.25</v>
      </c>
      <c r="BG143">
        <f t="shared" si="122"/>
        <v>2.4732726192833104E-2</v>
      </c>
    </row>
    <row r="144" spans="1:59">
      <c r="A144" s="1" t="s">
        <v>145</v>
      </c>
      <c r="B144" s="1">
        <v>51200</v>
      </c>
      <c r="Q144">
        <v>141</v>
      </c>
      <c r="R144" s="27" t="str">
        <f t="shared" si="98"/>
        <v>19/01/2024</v>
      </c>
      <c r="S144" s="27">
        <f t="shared" si="98"/>
        <v>50330</v>
      </c>
      <c r="T144" s="4" t="str">
        <f t="shared" si="99"/>
        <v>A2</v>
      </c>
      <c r="V144">
        <v>141</v>
      </c>
      <c r="W144" s="28" t="str">
        <f t="shared" si="95"/>
        <v>19/01/2024</v>
      </c>
      <c r="X144" s="28">
        <f t="shared" si="95"/>
        <v>50330</v>
      </c>
      <c r="Y144" s="28" t="str">
        <f t="shared" si="95"/>
        <v>A2</v>
      </c>
      <c r="Z144" s="5" t="str">
        <f t="shared" si="102"/>
        <v>A2</v>
      </c>
      <c r="AA144" s="5" t="str">
        <f t="shared" si="100"/>
        <v>A2</v>
      </c>
      <c r="AG144" s="49" t="str">
        <f t="shared" si="94"/>
        <v>19/01/2024</v>
      </c>
      <c r="AH144" s="46">
        <f t="shared" si="94"/>
        <v>50330</v>
      </c>
      <c r="AI144" s="49" t="str">
        <f t="shared" si="94"/>
        <v>A2</v>
      </c>
      <c r="AJ144" s="49" t="str">
        <f t="shared" si="103"/>
        <v>A2</v>
      </c>
      <c r="AK144" s="50">
        <f t="shared" si="104"/>
        <v>49736.5</v>
      </c>
      <c r="AL144" s="49" t="str">
        <f t="shared" si="117"/>
        <v>A2</v>
      </c>
      <c r="AM144" s="50">
        <f t="shared" si="105"/>
        <v>49736.5</v>
      </c>
      <c r="AN144" s="56">
        <f t="shared" si="118"/>
        <v>2280</v>
      </c>
      <c r="AO144" s="57">
        <f t="shared" si="119"/>
        <v>51470</v>
      </c>
      <c r="AP144" s="23">
        <f t="shared" si="106"/>
        <v>49190</v>
      </c>
      <c r="AQ144" s="23">
        <f t="shared" si="107"/>
        <v>52610</v>
      </c>
      <c r="AR144" s="23">
        <f t="shared" si="108"/>
        <v>48050</v>
      </c>
      <c r="AS144" s="23">
        <f t="shared" si="109"/>
        <v>50900</v>
      </c>
      <c r="AT144" s="23">
        <f t="shared" si="110"/>
        <v>49760</v>
      </c>
      <c r="AU144" s="23">
        <f t="shared" si="111"/>
        <v>54890</v>
      </c>
      <c r="AV144" s="23">
        <f t="shared" si="112"/>
        <v>45770</v>
      </c>
      <c r="AW144" s="23">
        <f t="shared" si="113"/>
        <v>50710</v>
      </c>
      <c r="AX144" s="23">
        <f t="shared" si="114"/>
        <v>49950</v>
      </c>
      <c r="AY144" s="23">
        <f t="shared" si="115"/>
        <v>57170</v>
      </c>
      <c r="AZ144" s="23">
        <f t="shared" si="116"/>
        <v>43490</v>
      </c>
      <c r="BA144" s="23">
        <f t="shared" si="96"/>
        <v>50648.25</v>
      </c>
      <c r="BB144" s="43"/>
      <c r="BC144" s="51">
        <f t="shared" si="97"/>
        <v>50330</v>
      </c>
      <c r="BD144" s="52">
        <f t="shared" si="101"/>
        <v>50648.25</v>
      </c>
      <c r="BE144" s="37">
        <f t="shared" si="120"/>
        <v>-318.25</v>
      </c>
      <c r="BF144">
        <f t="shared" si="121"/>
        <v>318.25</v>
      </c>
      <c r="BG144">
        <f t="shared" si="122"/>
        <v>6.3232664414861915E-3</v>
      </c>
    </row>
    <row r="145" spans="1:59">
      <c r="A145" s="1" t="s">
        <v>146</v>
      </c>
      <c r="B145" s="1">
        <v>53460</v>
      </c>
      <c r="Q145">
        <v>142</v>
      </c>
      <c r="R145" s="27" t="str">
        <f t="shared" si="98"/>
        <v>20/01/2024</v>
      </c>
      <c r="S145" s="27">
        <f t="shared" si="98"/>
        <v>49650</v>
      </c>
      <c r="T145" s="4" t="str">
        <f t="shared" si="99"/>
        <v>A2</v>
      </c>
      <c r="V145">
        <v>142</v>
      </c>
      <c r="W145" s="28" t="str">
        <f t="shared" si="95"/>
        <v>20/01/2024</v>
      </c>
      <c r="X145" s="28">
        <f t="shared" si="95"/>
        <v>49650</v>
      </c>
      <c r="Y145" s="28" t="str">
        <f t="shared" si="95"/>
        <v>A2</v>
      </c>
      <c r="Z145" s="5" t="str">
        <f t="shared" si="102"/>
        <v>A2</v>
      </c>
      <c r="AA145" s="5" t="str">
        <f t="shared" si="100"/>
        <v>A2</v>
      </c>
      <c r="AG145" s="49" t="str">
        <f t="shared" si="94"/>
        <v>20/01/2024</v>
      </c>
      <c r="AH145" s="46">
        <f t="shared" si="94"/>
        <v>49650</v>
      </c>
      <c r="AI145" s="49" t="str">
        <f t="shared" si="94"/>
        <v>A2</v>
      </c>
      <c r="AJ145" s="49" t="str">
        <f t="shared" si="103"/>
        <v>A2</v>
      </c>
      <c r="AK145" s="50">
        <f t="shared" si="104"/>
        <v>49736.5</v>
      </c>
      <c r="AL145" s="49" t="str">
        <f t="shared" si="117"/>
        <v>A2</v>
      </c>
      <c r="AM145" s="50">
        <f t="shared" si="105"/>
        <v>49736.5</v>
      </c>
      <c r="AN145" s="56">
        <f t="shared" si="118"/>
        <v>500</v>
      </c>
      <c r="AO145" s="57">
        <f t="shared" si="119"/>
        <v>49900</v>
      </c>
      <c r="AP145" s="23">
        <f t="shared" si="106"/>
        <v>49400</v>
      </c>
      <c r="AQ145" s="23">
        <f t="shared" si="107"/>
        <v>50150</v>
      </c>
      <c r="AR145" s="23">
        <f t="shared" si="108"/>
        <v>49150</v>
      </c>
      <c r="AS145" s="23">
        <f t="shared" si="109"/>
        <v>49775</v>
      </c>
      <c r="AT145" s="23">
        <f t="shared" si="110"/>
        <v>49525</v>
      </c>
      <c r="AU145" s="23">
        <f t="shared" si="111"/>
        <v>50650</v>
      </c>
      <c r="AV145" s="23">
        <f t="shared" si="112"/>
        <v>48650</v>
      </c>
      <c r="AW145" s="23">
        <f t="shared" si="113"/>
        <v>49733.333333333336</v>
      </c>
      <c r="AX145" s="23">
        <f t="shared" si="114"/>
        <v>49566.666666666664</v>
      </c>
      <c r="AY145" s="23">
        <f t="shared" si="115"/>
        <v>51150</v>
      </c>
      <c r="AZ145" s="23">
        <f t="shared" si="116"/>
        <v>48150</v>
      </c>
      <c r="BA145" s="23">
        <f t="shared" si="96"/>
        <v>50603.25</v>
      </c>
      <c r="BB145" s="43"/>
      <c r="BC145" s="51">
        <f t="shared" si="97"/>
        <v>49650</v>
      </c>
      <c r="BD145" s="52">
        <f t="shared" si="101"/>
        <v>50603.25</v>
      </c>
      <c r="BE145" s="37">
        <f t="shared" si="120"/>
        <v>-953.25</v>
      </c>
      <c r="BF145">
        <f t="shared" si="121"/>
        <v>953.25</v>
      </c>
      <c r="BG145">
        <f t="shared" si="122"/>
        <v>1.9199395770392751E-2</v>
      </c>
    </row>
    <row r="146" spans="1:59">
      <c r="A146" s="1" t="s">
        <v>147</v>
      </c>
      <c r="B146" s="1">
        <v>53520</v>
      </c>
      <c r="Q146">
        <v>143</v>
      </c>
      <c r="R146" s="27" t="str">
        <f t="shared" si="98"/>
        <v>21/01/2024</v>
      </c>
      <c r="S146" s="27">
        <f t="shared" si="98"/>
        <v>51200</v>
      </c>
      <c r="T146" s="4" t="str">
        <f t="shared" si="99"/>
        <v>A2</v>
      </c>
      <c r="V146">
        <v>143</v>
      </c>
      <c r="W146" s="28" t="str">
        <f t="shared" si="95"/>
        <v>21/01/2024</v>
      </c>
      <c r="X146" s="28">
        <f t="shared" si="95"/>
        <v>51200</v>
      </c>
      <c r="Y146" s="28" t="str">
        <f t="shared" si="95"/>
        <v>A2</v>
      </c>
      <c r="Z146" s="5" t="str">
        <f t="shared" si="102"/>
        <v>A2</v>
      </c>
      <c r="AA146" s="5" t="str">
        <f t="shared" si="100"/>
        <v>A2</v>
      </c>
      <c r="AG146" s="49" t="str">
        <f t="shared" si="94"/>
        <v>21/01/2024</v>
      </c>
      <c r="AH146" s="46">
        <f t="shared" si="94"/>
        <v>51200</v>
      </c>
      <c r="AI146" s="49" t="str">
        <f t="shared" si="94"/>
        <v>A2</v>
      </c>
      <c r="AJ146" s="49" t="str">
        <f t="shared" si="103"/>
        <v>A2</v>
      </c>
      <c r="AK146" s="50">
        <f t="shared" si="104"/>
        <v>49736.5</v>
      </c>
      <c r="AL146" s="49" t="str">
        <f t="shared" si="117"/>
        <v>A2</v>
      </c>
      <c r="AM146" s="50">
        <f t="shared" si="105"/>
        <v>49736.5</v>
      </c>
      <c r="AN146" s="56">
        <f t="shared" si="118"/>
        <v>870</v>
      </c>
      <c r="AO146" s="57">
        <f t="shared" si="119"/>
        <v>51635</v>
      </c>
      <c r="AP146" s="23">
        <f t="shared" si="106"/>
        <v>50765</v>
      </c>
      <c r="AQ146" s="23">
        <f t="shared" si="107"/>
        <v>52070</v>
      </c>
      <c r="AR146" s="23">
        <f t="shared" si="108"/>
        <v>50330</v>
      </c>
      <c r="AS146" s="23">
        <f t="shared" si="109"/>
        <v>51417.5</v>
      </c>
      <c r="AT146" s="23">
        <f t="shared" si="110"/>
        <v>50982.5</v>
      </c>
      <c r="AU146" s="23">
        <f t="shared" si="111"/>
        <v>52940</v>
      </c>
      <c r="AV146" s="23">
        <f t="shared" si="112"/>
        <v>49460</v>
      </c>
      <c r="AW146" s="23">
        <f t="shared" si="113"/>
        <v>51345</v>
      </c>
      <c r="AX146" s="23">
        <f t="shared" si="114"/>
        <v>51055</v>
      </c>
      <c r="AY146" s="23">
        <f t="shared" si="115"/>
        <v>53810</v>
      </c>
      <c r="AZ146" s="23">
        <f t="shared" si="116"/>
        <v>48590</v>
      </c>
      <c r="BA146" s="23">
        <f t="shared" si="96"/>
        <v>49818.25</v>
      </c>
      <c r="BB146" s="43"/>
      <c r="BC146" s="51">
        <f t="shared" si="97"/>
        <v>51200</v>
      </c>
      <c r="BD146" s="52">
        <f t="shared" si="101"/>
        <v>49818.25</v>
      </c>
      <c r="BE146" s="37">
        <f t="shared" si="120"/>
        <v>1381.75</v>
      </c>
      <c r="BF146">
        <f t="shared" si="121"/>
        <v>1381.75</v>
      </c>
      <c r="BG146">
        <f t="shared" si="122"/>
        <v>2.6987304687500002E-2</v>
      </c>
    </row>
    <row r="147" spans="1:59">
      <c r="A147" s="1" t="s">
        <v>148</v>
      </c>
      <c r="B147" s="1">
        <v>54710</v>
      </c>
      <c r="Q147">
        <v>144</v>
      </c>
      <c r="R147" s="27" t="str">
        <f t="shared" si="98"/>
        <v>22/01/2024</v>
      </c>
      <c r="S147" s="27">
        <f t="shared" si="98"/>
        <v>53460</v>
      </c>
      <c r="T147" s="4" t="str">
        <f t="shared" si="99"/>
        <v>A3</v>
      </c>
      <c r="V147">
        <v>144</v>
      </c>
      <c r="W147" s="28" t="str">
        <f t="shared" si="95"/>
        <v>22/01/2024</v>
      </c>
      <c r="X147" s="28">
        <f t="shared" si="95"/>
        <v>53460</v>
      </c>
      <c r="Y147" s="28" t="str">
        <f t="shared" si="95"/>
        <v>A3</v>
      </c>
      <c r="Z147" s="5" t="str">
        <f t="shared" si="102"/>
        <v>A2</v>
      </c>
      <c r="AA147" s="5" t="str">
        <f t="shared" si="100"/>
        <v>A3</v>
      </c>
      <c r="AG147" s="49" t="str">
        <f t="shared" si="94"/>
        <v>22/01/2024</v>
      </c>
      <c r="AH147" s="46">
        <f t="shared" si="94"/>
        <v>53460</v>
      </c>
      <c r="AI147" s="49" t="str">
        <f t="shared" si="94"/>
        <v>A3</v>
      </c>
      <c r="AJ147" s="49" t="str">
        <f t="shared" si="103"/>
        <v>A2</v>
      </c>
      <c r="AK147" s="50">
        <f t="shared" si="104"/>
        <v>49736.5</v>
      </c>
      <c r="AL147" s="49" t="str">
        <f t="shared" si="117"/>
        <v>A3</v>
      </c>
      <c r="AM147" s="50">
        <f t="shared" si="105"/>
        <v>55767.5</v>
      </c>
      <c r="AN147" s="56">
        <f t="shared" si="118"/>
        <v>710</v>
      </c>
      <c r="AO147" s="57">
        <f t="shared" si="119"/>
        <v>53815</v>
      </c>
      <c r="AP147" s="23">
        <f t="shared" si="106"/>
        <v>53105</v>
      </c>
      <c r="AQ147" s="23">
        <f t="shared" si="107"/>
        <v>54170</v>
      </c>
      <c r="AR147" s="23">
        <f t="shared" si="108"/>
        <v>52750</v>
      </c>
      <c r="AS147" s="23">
        <f t="shared" si="109"/>
        <v>53637.5</v>
      </c>
      <c r="AT147" s="23">
        <f t="shared" si="110"/>
        <v>53282.5</v>
      </c>
      <c r="AU147" s="23">
        <f t="shared" si="111"/>
        <v>54880</v>
      </c>
      <c r="AV147" s="23">
        <f t="shared" si="112"/>
        <v>52040</v>
      </c>
      <c r="AW147" s="23">
        <f t="shared" si="113"/>
        <v>53578.333333333336</v>
      </c>
      <c r="AX147" s="23">
        <f t="shared" si="114"/>
        <v>53341.666666666664</v>
      </c>
      <c r="AY147" s="23">
        <f t="shared" si="115"/>
        <v>55590</v>
      </c>
      <c r="AZ147" s="23">
        <f t="shared" si="116"/>
        <v>51330</v>
      </c>
      <c r="BA147" s="23">
        <f t="shared" si="96"/>
        <v>50685.75</v>
      </c>
      <c r="BB147" s="43"/>
      <c r="BC147" s="51">
        <f t="shared" si="97"/>
        <v>53460</v>
      </c>
      <c r="BD147" s="52">
        <f t="shared" si="101"/>
        <v>50685.75</v>
      </c>
      <c r="BE147" s="37">
        <f t="shared" si="120"/>
        <v>2774.25</v>
      </c>
      <c r="BF147">
        <f t="shared" si="121"/>
        <v>2774.25</v>
      </c>
      <c r="BG147">
        <f t="shared" si="122"/>
        <v>5.1893939393939395E-2</v>
      </c>
    </row>
    <row r="148" spans="1:59">
      <c r="A148" s="1" t="s">
        <v>149</v>
      </c>
      <c r="B148" s="1">
        <v>56030</v>
      </c>
      <c r="Q148">
        <v>145</v>
      </c>
      <c r="R148" s="27" t="str">
        <f t="shared" si="98"/>
        <v>23/01/2024</v>
      </c>
      <c r="S148" s="27">
        <f t="shared" si="98"/>
        <v>53520</v>
      </c>
      <c r="T148" s="4" t="str">
        <f t="shared" si="99"/>
        <v>A3</v>
      </c>
      <c r="V148">
        <v>145</v>
      </c>
      <c r="W148" s="28" t="str">
        <f t="shared" si="95"/>
        <v>23/01/2024</v>
      </c>
      <c r="X148" s="28">
        <f t="shared" si="95"/>
        <v>53520</v>
      </c>
      <c r="Y148" s="28" t="str">
        <f t="shared" si="95"/>
        <v>A3</v>
      </c>
      <c r="Z148" s="5" t="str">
        <f t="shared" si="102"/>
        <v>A3</v>
      </c>
      <c r="AA148" s="5" t="str">
        <f t="shared" si="100"/>
        <v>A3</v>
      </c>
      <c r="AG148" s="49" t="str">
        <f t="shared" si="94"/>
        <v>23/01/2024</v>
      </c>
      <c r="AH148" s="46">
        <f t="shared" si="94"/>
        <v>53520</v>
      </c>
      <c r="AI148" s="49" t="str">
        <f t="shared" si="94"/>
        <v>A3</v>
      </c>
      <c r="AJ148" s="49" t="str">
        <f t="shared" si="103"/>
        <v>A3</v>
      </c>
      <c r="AK148" s="50">
        <f t="shared" si="104"/>
        <v>55767.5</v>
      </c>
      <c r="AL148" s="49" t="str">
        <f t="shared" si="117"/>
        <v>A3</v>
      </c>
      <c r="AM148" s="50">
        <f t="shared" si="105"/>
        <v>55767.5</v>
      </c>
      <c r="AN148" s="56">
        <f t="shared" si="118"/>
        <v>2200</v>
      </c>
      <c r="AO148" s="57">
        <f t="shared" si="119"/>
        <v>54620</v>
      </c>
      <c r="AP148" s="23">
        <f t="shared" si="106"/>
        <v>52420</v>
      </c>
      <c r="AQ148" s="23">
        <f t="shared" si="107"/>
        <v>55720</v>
      </c>
      <c r="AR148" s="23">
        <f t="shared" si="108"/>
        <v>51320</v>
      </c>
      <c r="AS148" s="23">
        <f t="shared" si="109"/>
        <v>54070</v>
      </c>
      <c r="AT148" s="23">
        <f t="shared" si="110"/>
        <v>52970</v>
      </c>
      <c r="AU148" s="23">
        <f t="shared" si="111"/>
        <v>57920</v>
      </c>
      <c r="AV148" s="23">
        <f t="shared" si="112"/>
        <v>49120</v>
      </c>
      <c r="AW148" s="23">
        <f t="shared" si="113"/>
        <v>53886.666666666664</v>
      </c>
      <c r="AX148" s="23">
        <f t="shared" si="114"/>
        <v>53153.333333333336</v>
      </c>
      <c r="AY148" s="23">
        <f t="shared" si="115"/>
        <v>60120</v>
      </c>
      <c r="AZ148" s="23">
        <f t="shared" si="116"/>
        <v>46920</v>
      </c>
      <c r="BA148" s="23">
        <f t="shared" si="96"/>
        <v>54791.25</v>
      </c>
      <c r="BB148" s="43"/>
      <c r="BC148" s="51">
        <f t="shared" si="97"/>
        <v>53520</v>
      </c>
      <c r="BD148" s="52">
        <f t="shared" si="101"/>
        <v>54791.25</v>
      </c>
      <c r="BE148" s="37">
        <f t="shared" si="120"/>
        <v>-1271.25</v>
      </c>
      <c r="BF148">
        <f t="shared" si="121"/>
        <v>1271.25</v>
      </c>
      <c r="BG148">
        <f t="shared" si="122"/>
        <v>2.3752802690582959E-2</v>
      </c>
    </row>
    <row r="149" spans="1:59">
      <c r="A149" s="1" t="s">
        <v>150</v>
      </c>
      <c r="B149" s="1">
        <v>56040</v>
      </c>
      <c r="Q149">
        <v>146</v>
      </c>
      <c r="R149" s="27" t="str">
        <f t="shared" si="98"/>
        <v>24/01/2024</v>
      </c>
      <c r="S149" s="27">
        <f t="shared" si="98"/>
        <v>54710</v>
      </c>
      <c r="T149" s="4" t="str">
        <f t="shared" si="99"/>
        <v>A3</v>
      </c>
      <c r="V149">
        <v>146</v>
      </c>
      <c r="W149" s="28" t="str">
        <f t="shared" si="95"/>
        <v>24/01/2024</v>
      </c>
      <c r="X149" s="28">
        <f t="shared" si="95"/>
        <v>54710</v>
      </c>
      <c r="Y149" s="28" t="str">
        <f t="shared" si="95"/>
        <v>A3</v>
      </c>
      <c r="Z149" s="5" t="str">
        <f t="shared" si="102"/>
        <v>A3</v>
      </c>
      <c r="AA149" s="5" t="str">
        <f t="shared" si="100"/>
        <v>A3</v>
      </c>
      <c r="AG149" s="49" t="str">
        <f t="shared" si="94"/>
        <v>24/01/2024</v>
      </c>
      <c r="AH149" s="46">
        <f t="shared" si="94"/>
        <v>54710</v>
      </c>
      <c r="AI149" s="49" t="str">
        <f t="shared" si="94"/>
        <v>A3</v>
      </c>
      <c r="AJ149" s="49" t="str">
        <f t="shared" si="103"/>
        <v>A3</v>
      </c>
      <c r="AK149" s="50">
        <f t="shared" si="104"/>
        <v>55767.5</v>
      </c>
      <c r="AL149" s="49" t="str">
        <f t="shared" si="117"/>
        <v>A3</v>
      </c>
      <c r="AM149" s="50">
        <f t="shared" si="105"/>
        <v>55767.5</v>
      </c>
      <c r="AN149" s="56">
        <f t="shared" si="118"/>
        <v>1130</v>
      </c>
      <c r="AO149" s="57">
        <f t="shared" si="119"/>
        <v>55275</v>
      </c>
      <c r="AP149" s="23">
        <f t="shared" si="106"/>
        <v>54145</v>
      </c>
      <c r="AQ149" s="23">
        <f t="shared" si="107"/>
        <v>55840</v>
      </c>
      <c r="AR149" s="23">
        <f t="shared" si="108"/>
        <v>53580</v>
      </c>
      <c r="AS149" s="23">
        <f t="shared" si="109"/>
        <v>54992.5</v>
      </c>
      <c r="AT149" s="23">
        <f t="shared" si="110"/>
        <v>54427.5</v>
      </c>
      <c r="AU149" s="23">
        <f t="shared" si="111"/>
        <v>56970</v>
      </c>
      <c r="AV149" s="23">
        <f t="shared" si="112"/>
        <v>52450</v>
      </c>
      <c r="AW149" s="23">
        <f t="shared" si="113"/>
        <v>54898.333333333336</v>
      </c>
      <c r="AX149" s="23">
        <f t="shared" si="114"/>
        <v>54521.666666666664</v>
      </c>
      <c r="AY149" s="23">
        <f t="shared" si="115"/>
        <v>58100</v>
      </c>
      <c r="AZ149" s="23">
        <f t="shared" si="116"/>
        <v>51320</v>
      </c>
      <c r="BA149" s="23">
        <f t="shared" si="96"/>
        <v>55193.75</v>
      </c>
      <c r="BB149" s="43"/>
      <c r="BC149" s="51">
        <f t="shared" si="97"/>
        <v>54710</v>
      </c>
      <c r="BD149" s="52">
        <f t="shared" si="101"/>
        <v>55193.75</v>
      </c>
      <c r="BE149" s="37">
        <f t="shared" si="120"/>
        <v>-483.75</v>
      </c>
      <c r="BF149">
        <f t="shared" si="121"/>
        <v>483.75</v>
      </c>
      <c r="BG149">
        <f t="shared" si="122"/>
        <v>8.8420764028513989E-3</v>
      </c>
    </row>
    <row r="150" spans="1:59">
      <c r="A150" s="1" t="s">
        <v>151</v>
      </c>
      <c r="B150" s="1">
        <v>57110</v>
      </c>
      <c r="Q150">
        <v>147</v>
      </c>
      <c r="R150" s="27" t="str">
        <f t="shared" si="98"/>
        <v>25/01/2024</v>
      </c>
      <c r="S150" s="27">
        <f t="shared" si="98"/>
        <v>56030</v>
      </c>
      <c r="T150" s="4" t="str">
        <f t="shared" si="99"/>
        <v>A3</v>
      </c>
      <c r="V150">
        <v>147</v>
      </c>
      <c r="W150" s="28" t="str">
        <f t="shared" si="95"/>
        <v>25/01/2024</v>
      </c>
      <c r="X150" s="28">
        <f t="shared" si="95"/>
        <v>56030</v>
      </c>
      <c r="Y150" s="28" t="str">
        <f t="shared" si="95"/>
        <v>A3</v>
      </c>
      <c r="Z150" s="5" t="str">
        <f t="shared" si="102"/>
        <v>A3</v>
      </c>
      <c r="AA150" s="5" t="str">
        <f t="shared" si="100"/>
        <v>A3</v>
      </c>
      <c r="AG150" s="49" t="str">
        <f t="shared" si="94"/>
        <v>25/01/2024</v>
      </c>
      <c r="AH150" s="46">
        <f t="shared" si="94"/>
        <v>56030</v>
      </c>
      <c r="AI150" s="49" t="str">
        <f t="shared" si="94"/>
        <v>A3</v>
      </c>
      <c r="AJ150" s="49" t="str">
        <f t="shared" si="103"/>
        <v>A3</v>
      </c>
      <c r="AK150" s="50">
        <f t="shared" si="104"/>
        <v>55767.5</v>
      </c>
      <c r="AL150" s="49" t="str">
        <f t="shared" si="117"/>
        <v>A3</v>
      </c>
      <c r="AM150" s="50">
        <f t="shared" si="105"/>
        <v>55767.5</v>
      </c>
      <c r="AN150" s="56">
        <f t="shared" si="118"/>
        <v>130</v>
      </c>
      <c r="AO150" s="57">
        <f t="shared" si="119"/>
        <v>56095</v>
      </c>
      <c r="AP150" s="23">
        <f t="shared" si="106"/>
        <v>55965</v>
      </c>
      <c r="AQ150" s="23">
        <f t="shared" si="107"/>
        <v>56160</v>
      </c>
      <c r="AR150" s="23">
        <f t="shared" si="108"/>
        <v>55900</v>
      </c>
      <c r="AS150" s="23">
        <f t="shared" si="109"/>
        <v>56062.5</v>
      </c>
      <c r="AT150" s="23">
        <f t="shared" si="110"/>
        <v>55997.5</v>
      </c>
      <c r="AU150" s="23">
        <f t="shared" si="111"/>
        <v>56290</v>
      </c>
      <c r="AV150" s="23">
        <f t="shared" si="112"/>
        <v>55770</v>
      </c>
      <c r="AW150" s="23">
        <f t="shared" si="113"/>
        <v>56051.666666666664</v>
      </c>
      <c r="AX150" s="23">
        <f t="shared" si="114"/>
        <v>56008.333333333336</v>
      </c>
      <c r="AY150" s="23">
        <f t="shared" si="115"/>
        <v>56420</v>
      </c>
      <c r="AZ150" s="23">
        <f t="shared" si="116"/>
        <v>55640</v>
      </c>
      <c r="BA150" s="23">
        <f t="shared" si="96"/>
        <v>55521.25</v>
      </c>
      <c r="BB150" s="43"/>
      <c r="BC150" s="51">
        <f t="shared" si="97"/>
        <v>56030</v>
      </c>
      <c r="BD150" s="52">
        <f t="shared" si="101"/>
        <v>55521.25</v>
      </c>
      <c r="BE150" s="37">
        <f t="shared" si="120"/>
        <v>508.75</v>
      </c>
      <c r="BF150">
        <f t="shared" si="121"/>
        <v>508.75</v>
      </c>
      <c r="BG150">
        <f t="shared" si="122"/>
        <v>9.0799571658040333E-3</v>
      </c>
    </row>
    <row r="151" spans="1:59">
      <c r="A151" s="1" t="s">
        <v>152</v>
      </c>
      <c r="B151" s="1">
        <v>55730</v>
      </c>
      <c r="Q151">
        <v>148</v>
      </c>
      <c r="R151" s="27" t="str">
        <f t="shared" si="98"/>
        <v>26/01/2024</v>
      </c>
      <c r="S151" s="27">
        <f t="shared" si="98"/>
        <v>56040</v>
      </c>
      <c r="T151" s="4" t="str">
        <f t="shared" si="99"/>
        <v>A3</v>
      </c>
      <c r="V151">
        <v>148</v>
      </c>
      <c r="W151" s="28" t="str">
        <f t="shared" si="95"/>
        <v>26/01/2024</v>
      </c>
      <c r="X151" s="28">
        <f t="shared" si="95"/>
        <v>56040</v>
      </c>
      <c r="Y151" s="28" t="str">
        <f t="shared" si="95"/>
        <v>A3</v>
      </c>
      <c r="Z151" s="5" t="str">
        <f t="shared" si="102"/>
        <v>A3</v>
      </c>
      <c r="AA151" s="5" t="str">
        <f t="shared" si="100"/>
        <v>A3</v>
      </c>
      <c r="AG151" s="49" t="str">
        <f t="shared" si="94"/>
        <v>26/01/2024</v>
      </c>
      <c r="AH151" s="46">
        <f t="shared" si="94"/>
        <v>56040</v>
      </c>
      <c r="AI151" s="49" t="str">
        <f t="shared" si="94"/>
        <v>A3</v>
      </c>
      <c r="AJ151" s="49" t="str">
        <f t="shared" si="103"/>
        <v>A3</v>
      </c>
      <c r="AK151" s="50">
        <f t="shared" si="104"/>
        <v>55767.5</v>
      </c>
      <c r="AL151" s="49" t="str">
        <f t="shared" si="117"/>
        <v>A3</v>
      </c>
      <c r="AM151" s="50">
        <f t="shared" si="105"/>
        <v>55767.5</v>
      </c>
      <c r="AN151" s="56">
        <f t="shared" si="118"/>
        <v>1310</v>
      </c>
      <c r="AO151" s="57">
        <f t="shared" si="119"/>
        <v>56695</v>
      </c>
      <c r="AP151" s="23">
        <f t="shared" si="106"/>
        <v>55385</v>
      </c>
      <c r="AQ151" s="23">
        <f t="shared" si="107"/>
        <v>57350</v>
      </c>
      <c r="AR151" s="23">
        <f t="shared" si="108"/>
        <v>54730</v>
      </c>
      <c r="AS151" s="23">
        <f t="shared" si="109"/>
        <v>56367.5</v>
      </c>
      <c r="AT151" s="23">
        <f t="shared" si="110"/>
        <v>55712.5</v>
      </c>
      <c r="AU151" s="23">
        <f t="shared" si="111"/>
        <v>58660</v>
      </c>
      <c r="AV151" s="23">
        <f t="shared" si="112"/>
        <v>53420</v>
      </c>
      <c r="AW151" s="23">
        <f t="shared" si="113"/>
        <v>56258.333333333336</v>
      </c>
      <c r="AX151" s="23">
        <f t="shared" si="114"/>
        <v>55821.666666666664</v>
      </c>
      <c r="AY151" s="23">
        <f t="shared" si="115"/>
        <v>59970</v>
      </c>
      <c r="AZ151" s="23">
        <f t="shared" si="116"/>
        <v>52110</v>
      </c>
      <c r="BA151" s="23">
        <f t="shared" si="96"/>
        <v>55931.25</v>
      </c>
      <c r="BB151" s="43"/>
      <c r="BC151" s="51">
        <f t="shared" si="97"/>
        <v>56040</v>
      </c>
      <c r="BD151" s="52">
        <f t="shared" si="101"/>
        <v>55931.25</v>
      </c>
      <c r="BE151" s="37">
        <f t="shared" si="120"/>
        <v>108.75</v>
      </c>
      <c r="BF151">
        <f t="shared" si="121"/>
        <v>108.75</v>
      </c>
      <c r="BG151">
        <f t="shared" si="122"/>
        <v>1.940578158458244E-3</v>
      </c>
    </row>
    <row r="152" spans="1:59">
      <c r="A152" s="1" t="s">
        <v>153</v>
      </c>
      <c r="B152" s="1">
        <v>57630</v>
      </c>
      <c r="Q152">
        <v>149</v>
      </c>
      <c r="R152" s="27" t="str">
        <f t="shared" si="98"/>
        <v>27/01/2024</v>
      </c>
      <c r="S152" s="27">
        <f t="shared" si="98"/>
        <v>57110</v>
      </c>
      <c r="T152" s="4" t="str">
        <f t="shared" si="99"/>
        <v>A3</v>
      </c>
      <c r="V152">
        <v>149</v>
      </c>
      <c r="W152" s="28" t="str">
        <f t="shared" si="95"/>
        <v>27/01/2024</v>
      </c>
      <c r="X152" s="28">
        <f t="shared" si="95"/>
        <v>57110</v>
      </c>
      <c r="Y152" s="28" t="str">
        <f t="shared" si="95"/>
        <v>A3</v>
      </c>
      <c r="Z152" s="5" t="str">
        <f t="shared" si="102"/>
        <v>A3</v>
      </c>
      <c r="AA152" s="5" t="str">
        <f t="shared" si="100"/>
        <v>A3</v>
      </c>
      <c r="AG152" s="49" t="str">
        <f t="shared" si="94"/>
        <v>27/01/2024</v>
      </c>
      <c r="AH152" s="46">
        <f t="shared" si="94"/>
        <v>57110</v>
      </c>
      <c r="AI152" s="49" t="str">
        <f t="shared" si="94"/>
        <v>A3</v>
      </c>
      <c r="AJ152" s="49" t="str">
        <f t="shared" si="103"/>
        <v>A3</v>
      </c>
      <c r="AK152" s="50">
        <f t="shared" si="104"/>
        <v>55767.5</v>
      </c>
      <c r="AL152" s="49" t="str">
        <f t="shared" si="117"/>
        <v>A3</v>
      </c>
      <c r="AM152" s="50">
        <f t="shared" si="105"/>
        <v>55767.5</v>
      </c>
      <c r="AN152" s="56">
        <f t="shared" si="118"/>
        <v>1060</v>
      </c>
      <c r="AO152" s="57">
        <f t="shared" si="119"/>
        <v>57640</v>
      </c>
      <c r="AP152" s="23">
        <f t="shared" si="106"/>
        <v>56580</v>
      </c>
      <c r="AQ152" s="23">
        <f t="shared" si="107"/>
        <v>58170</v>
      </c>
      <c r="AR152" s="23">
        <f t="shared" si="108"/>
        <v>56050</v>
      </c>
      <c r="AS152" s="23">
        <f t="shared" si="109"/>
        <v>57375</v>
      </c>
      <c r="AT152" s="23">
        <f t="shared" si="110"/>
        <v>56845</v>
      </c>
      <c r="AU152" s="23">
        <f t="shared" si="111"/>
        <v>59230</v>
      </c>
      <c r="AV152" s="23">
        <f t="shared" si="112"/>
        <v>54990</v>
      </c>
      <c r="AW152" s="23">
        <f t="shared" si="113"/>
        <v>57286.666666666664</v>
      </c>
      <c r="AX152" s="23">
        <f t="shared" si="114"/>
        <v>56933.333333333336</v>
      </c>
      <c r="AY152" s="23">
        <f t="shared" si="115"/>
        <v>60290</v>
      </c>
      <c r="AZ152" s="23">
        <f t="shared" si="116"/>
        <v>53930</v>
      </c>
      <c r="BA152" s="23">
        <f t="shared" si="96"/>
        <v>56231.25</v>
      </c>
      <c r="BB152" s="43"/>
      <c r="BC152" s="51">
        <f t="shared" si="97"/>
        <v>57110</v>
      </c>
      <c r="BD152" s="52">
        <f t="shared" si="101"/>
        <v>56231.25</v>
      </c>
      <c r="BE152" s="37">
        <f t="shared" si="120"/>
        <v>878.75</v>
      </c>
      <c r="BF152">
        <f t="shared" si="121"/>
        <v>878.75</v>
      </c>
      <c r="BG152">
        <f t="shared" si="122"/>
        <v>1.5386972509192786E-2</v>
      </c>
    </row>
    <row r="153" spans="1:59">
      <c r="A153" s="1" t="s">
        <v>154</v>
      </c>
      <c r="B153" s="1">
        <v>58410</v>
      </c>
      <c r="Q153">
        <v>150</v>
      </c>
      <c r="R153" s="27" t="str">
        <f t="shared" si="98"/>
        <v>28/01/2024</v>
      </c>
      <c r="S153" s="27">
        <f t="shared" si="98"/>
        <v>55730</v>
      </c>
      <c r="T153" s="4" t="str">
        <f t="shared" si="99"/>
        <v>A3</v>
      </c>
      <c r="V153">
        <v>150</v>
      </c>
      <c r="W153" s="28" t="str">
        <f t="shared" si="95"/>
        <v>28/01/2024</v>
      </c>
      <c r="X153" s="28">
        <f t="shared" si="95"/>
        <v>55730</v>
      </c>
      <c r="Y153" s="28" t="str">
        <f t="shared" si="95"/>
        <v>A3</v>
      </c>
      <c r="Z153" s="5" t="str">
        <f t="shared" si="102"/>
        <v>A3</v>
      </c>
      <c r="AA153" s="5" t="str">
        <f t="shared" si="100"/>
        <v>A3</v>
      </c>
      <c r="AG153" s="49" t="str">
        <f t="shared" si="94"/>
        <v>28/01/2024</v>
      </c>
      <c r="AH153" s="46">
        <f t="shared" si="94"/>
        <v>55730</v>
      </c>
      <c r="AI153" s="49" t="str">
        <f t="shared" si="94"/>
        <v>A3</v>
      </c>
      <c r="AJ153" s="49" t="str">
        <f t="shared" si="103"/>
        <v>A3</v>
      </c>
      <c r="AK153" s="50">
        <f t="shared" si="104"/>
        <v>55767.5</v>
      </c>
      <c r="AL153" s="49" t="str">
        <f t="shared" si="117"/>
        <v>A3</v>
      </c>
      <c r="AM153" s="50">
        <f t="shared" si="105"/>
        <v>55767.5</v>
      </c>
      <c r="AN153" s="56">
        <f t="shared" si="118"/>
        <v>310</v>
      </c>
      <c r="AO153" s="57">
        <f t="shared" si="119"/>
        <v>55885</v>
      </c>
      <c r="AP153" s="23">
        <f t="shared" si="106"/>
        <v>55575</v>
      </c>
      <c r="AQ153" s="23">
        <f t="shared" si="107"/>
        <v>56040</v>
      </c>
      <c r="AR153" s="23">
        <f t="shared" si="108"/>
        <v>55420</v>
      </c>
      <c r="AS153" s="23">
        <f t="shared" si="109"/>
        <v>55807.5</v>
      </c>
      <c r="AT153" s="23">
        <f t="shared" si="110"/>
        <v>55652.5</v>
      </c>
      <c r="AU153" s="23">
        <f t="shared" si="111"/>
        <v>56350</v>
      </c>
      <c r="AV153" s="23">
        <f t="shared" si="112"/>
        <v>55110</v>
      </c>
      <c r="AW153" s="23">
        <f t="shared" si="113"/>
        <v>55781.666666666664</v>
      </c>
      <c r="AX153" s="23">
        <f t="shared" si="114"/>
        <v>55678.333333333336</v>
      </c>
      <c r="AY153" s="23">
        <f t="shared" si="115"/>
        <v>56660</v>
      </c>
      <c r="AZ153" s="23">
        <f t="shared" si="116"/>
        <v>54800</v>
      </c>
      <c r="BA153" s="23">
        <f t="shared" si="96"/>
        <v>56703.75</v>
      </c>
      <c r="BB153" s="43"/>
      <c r="BC153" s="51">
        <f t="shared" si="97"/>
        <v>55730</v>
      </c>
      <c r="BD153" s="52">
        <f t="shared" si="101"/>
        <v>56703.75</v>
      </c>
      <c r="BE153" s="37">
        <f t="shared" si="120"/>
        <v>-973.75</v>
      </c>
      <c r="BF153">
        <f t="shared" si="121"/>
        <v>973.75</v>
      </c>
      <c r="BG153">
        <f t="shared" si="122"/>
        <v>1.7472635923201148E-2</v>
      </c>
    </row>
    <row r="154" spans="1:59">
      <c r="A154" s="1" t="s">
        <v>155</v>
      </c>
      <c r="B154" s="1">
        <v>57490</v>
      </c>
      <c r="Q154">
        <v>151</v>
      </c>
      <c r="R154" s="27" t="str">
        <f t="shared" si="98"/>
        <v>29/01/2024</v>
      </c>
      <c r="S154" s="27">
        <f t="shared" si="98"/>
        <v>57630</v>
      </c>
      <c r="T154" s="4" t="str">
        <f t="shared" si="99"/>
        <v>A3</v>
      </c>
      <c r="V154">
        <v>151</v>
      </c>
      <c r="W154" s="28" t="str">
        <f t="shared" si="95"/>
        <v>29/01/2024</v>
      </c>
      <c r="X154" s="28">
        <f t="shared" si="95"/>
        <v>57630</v>
      </c>
      <c r="Y154" s="28" t="str">
        <f t="shared" si="95"/>
        <v>A3</v>
      </c>
      <c r="Z154" s="5" t="str">
        <f t="shared" si="102"/>
        <v>A3</v>
      </c>
      <c r="AA154" s="5" t="str">
        <f t="shared" si="100"/>
        <v>A3</v>
      </c>
      <c r="AG154" s="49" t="str">
        <f t="shared" si="94"/>
        <v>29/01/2024</v>
      </c>
      <c r="AH154" s="46">
        <f t="shared" si="94"/>
        <v>57630</v>
      </c>
      <c r="AI154" s="49" t="str">
        <f t="shared" si="94"/>
        <v>A3</v>
      </c>
      <c r="AJ154" s="49" t="str">
        <f t="shared" si="103"/>
        <v>A3</v>
      </c>
      <c r="AK154" s="50">
        <f t="shared" si="104"/>
        <v>55767.5</v>
      </c>
      <c r="AL154" s="49" t="str">
        <f t="shared" si="117"/>
        <v>A3</v>
      </c>
      <c r="AM154" s="50">
        <f t="shared" si="105"/>
        <v>55767.5</v>
      </c>
      <c r="AN154" s="56">
        <f t="shared" si="118"/>
        <v>520</v>
      </c>
      <c r="AO154" s="23">
        <f t="shared" si="119"/>
        <v>57890</v>
      </c>
      <c r="AP154" s="57">
        <f t="shared" si="106"/>
        <v>57370</v>
      </c>
      <c r="AQ154" s="23">
        <f t="shared" si="107"/>
        <v>58150</v>
      </c>
      <c r="AR154" s="23">
        <f t="shared" si="108"/>
        <v>57110</v>
      </c>
      <c r="AS154" s="23">
        <f t="shared" si="109"/>
        <v>57760</v>
      </c>
      <c r="AT154" s="23">
        <f t="shared" si="110"/>
        <v>57500</v>
      </c>
      <c r="AU154" s="23">
        <f t="shared" si="111"/>
        <v>58670</v>
      </c>
      <c r="AV154" s="23">
        <f t="shared" si="112"/>
        <v>56590</v>
      </c>
      <c r="AW154" s="23">
        <f t="shared" si="113"/>
        <v>57716.666666666664</v>
      </c>
      <c r="AX154" s="23">
        <f t="shared" si="114"/>
        <v>57543.333333333336</v>
      </c>
      <c r="AY154" s="23">
        <f t="shared" si="115"/>
        <v>59190</v>
      </c>
      <c r="AZ154" s="23">
        <f t="shared" si="116"/>
        <v>56070</v>
      </c>
      <c r="BA154" s="23">
        <f t="shared" si="96"/>
        <v>55826.25</v>
      </c>
      <c r="BB154" s="43"/>
      <c r="BC154" s="51">
        <f t="shared" si="97"/>
        <v>57630</v>
      </c>
      <c r="BD154" s="52">
        <f t="shared" si="101"/>
        <v>55826.25</v>
      </c>
      <c r="BE154" s="37">
        <f t="shared" si="120"/>
        <v>1803.75</v>
      </c>
      <c r="BF154">
        <f t="shared" si="121"/>
        <v>1803.75</v>
      </c>
      <c r="BG154">
        <f t="shared" si="122"/>
        <v>3.1298802706923479E-2</v>
      </c>
    </row>
    <row r="155" spans="1:59">
      <c r="A155" s="1" t="s">
        <v>156</v>
      </c>
      <c r="B155" s="1">
        <v>58290</v>
      </c>
      <c r="Q155">
        <v>152</v>
      </c>
      <c r="R155" s="27" t="str">
        <f t="shared" si="98"/>
        <v>30/01/2024</v>
      </c>
      <c r="S155" s="27">
        <f t="shared" si="98"/>
        <v>58410</v>
      </c>
      <c r="T155" s="4" t="str">
        <f t="shared" si="99"/>
        <v>A3</v>
      </c>
      <c r="V155">
        <v>152</v>
      </c>
      <c r="W155" s="28" t="str">
        <f t="shared" si="95"/>
        <v>30/01/2024</v>
      </c>
      <c r="X155" s="28">
        <f t="shared" si="95"/>
        <v>58410</v>
      </c>
      <c r="Y155" s="28" t="str">
        <f t="shared" si="95"/>
        <v>A3</v>
      </c>
      <c r="Z155" s="5" t="str">
        <f t="shared" si="102"/>
        <v>A3</v>
      </c>
      <c r="AA155" s="5" t="str">
        <f t="shared" si="100"/>
        <v>A3</v>
      </c>
      <c r="AG155" s="49" t="str">
        <f t="shared" si="94"/>
        <v>30/01/2024</v>
      </c>
      <c r="AH155" s="46">
        <f t="shared" si="94"/>
        <v>58410</v>
      </c>
      <c r="AI155" s="49" t="str">
        <f t="shared" si="94"/>
        <v>A3</v>
      </c>
      <c r="AJ155" s="49" t="str">
        <f t="shared" si="103"/>
        <v>A3</v>
      </c>
      <c r="AK155" s="50">
        <f t="shared" si="104"/>
        <v>55767.5</v>
      </c>
      <c r="AL155" s="49" t="str">
        <f t="shared" si="117"/>
        <v>A3</v>
      </c>
      <c r="AM155" s="50">
        <f t="shared" si="105"/>
        <v>55767.5</v>
      </c>
      <c r="AN155" s="56">
        <f t="shared" si="118"/>
        <v>1120</v>
      </c>
      <c r="AO155" s="57">
        <f t="shared" si="119"/>
        <v>58970</v>
      </c>
      <c r="AP155" s="23">
        <f t="shared" si="106"/>
        <v>57850</v>
      </c>
      <c r="AQ155" s="23">
        <f t="shared" si="107"/>
        <v>59530</v>
      </c>
      <c r="AR155" s="23">
        <f t="shared" si="108"/>
        <v>57290</v>
      </c>
      <c r="AS155" s="23">
        <f t="shared" si="109"/>
        <v>58690</v>
      </c>
      <c r="AT155" s="23">
        <f t="shared" si="110"/>
        <v>58130</v>
      </c>
      <c r="AU155" s="23">
        <f t="shared" si="111"/>
        <v>60650</v>
      </c>
      <c r="AV155" s="23">
        <f t="shared" si="112"/>
        <v>56170</v>
      </c>
      <c r="AW155" s="23">
        <f t="shared" si="113"/>
        <v>58596.666666666664</v>
      </c>
      <c r="AX155" s="23">
        <f t="shared" si="114"/>
        <v>58223.333333333336</v>
      </c>
      <c r="AY155" s="23">
        <f t="shared" si="115"/>
        <v>61770</v>
      </c>
      <c r="AZ155" s="23">
        <f t="shared" si="116"/>
        <v>55050</v>
      </c>
      <c r="BA155" s="23">
        <f>(AP154+AM154)/(1+1)</f>
        <v>56568.75</v>
      </c>
      <c r="BB155" s="43"/>
      <c r="BC155" s="51">
        <f t="shared" si="97"/>
        <v>58410</v>
      </c>
      <c r="BD155" s="52">
        <f t="shared" si="101"/>
        <v>56568.75</v>
      </c>
      <c r="BE155" s="37">
        <f t="shared" si="120"/>
        <v>1841.25</v>
      </c>
      <c r="BF155">
        <f t="shared" si="121"/>
        <v>1841.25</v>
      </c>
      <c r="BG155">
        <f t="shared" si="122"/>
        <v>3.1522855675398045E-2</v>
      </c>
    </row>
    <row r="156" spans="1:59">
      <c r="A156" s="1" t="s">
        <v>157</v>
      </c>
      <c r="B156" s="1">
        <v>58800</v>
      </c>
      <c r="Q156">
        <v>153</v>
      </c>
      <c r="R156" s="27" t="str">
        <f t="shared" si="98"/>
        <v>31/01/2024</v>
      </c>
      <c r="S156" s="27">
        <f t="shared" si="98"/>
        <v>57490</v>
      </c>
      <c r="T156" s="4" t="str">
        <f t="shared" si="99"/>
        <v>A3</v>
      </c>
      <c r="V156">
        <v>153</v>
      </c>
      <c r="W156" s="28" t="str">
        <f t="shared" si="95"/>
        <v>31/01/2024</v>
      </c>
      <c r="X156" s="28">
        <f t="shared" si="95"/>
        <v>57490</v>
      </c>
      <c r="Y156" s="28" t="str">
        <f t="shared" si="95"/>
        <v>A3</v>
      </c>
      <c r="Z156" s="5" t="str">
        <f t="shared" si="102"/>
        <v>A3</v>
      </c>
      <c r="AA156" s="5" t="str">
        <f t="shared" si="100"/>
        <v>A3</v>
      </c>
      <c r="AG156" s="49" t="str">
        <f t="shared" si="94"/>
        <v>31/01/2024</v>
      </c>
      <c r="AH156" s="46">
        <f t="shared" si="94"/>
        <v>57490</v>
      </c>
      <c r="AI156" s="49" t="str">
        <f t="shared" si="94"/>
        <v>A3</v>
      </c>
      <c r="AJ156" s="49" t="str">
        <f t="shared" si="103"/>
        <v>A3</v>
      </c>
      <c r="AK156" s="50">
        <f t="shared" si="104"/>
        <v>55767.5</v>
      </c>
      <c r="AL156" s="49" t="str">
        <f t="shared" si="117"/>
        <v>A3</v>
      </c>
      <c r="AM156" s="50">
        <f t="shared" si="105"/>
        <v>55767.5</v>
      </c>
      <c r="AN156" s="56">
        <f t="shared" si="118"/>
        <v>140</v>
      </c>
      <c r="AO156" s="57">
        <f t="shared" si="119"/>
        <v>57560</v>
      </c>
      <c r="AP156" s="23">
        <f t="shared" si="106"/>
        <v>57420</v>
      </c>
      <c r="AQ156" s="23">
        <f t="shared" si="107"/>
        <v>57630</v>
      </c>
      <c r="AR156" s="23">
        <f t="shared" si="108"/>
        <v>57350</v>
      </c>
      <c r="AS156" s="23">
        <f t="shared" si="109"/>
        <v>57525</v>
      </c>
      <c r="AT156" s="23">
        <f t="shared" si="110"/>
        <v>57455</v>
      </c>
      <c r="AU156" s="23">
        <f t="shared" si="111"/>
        <v>57770</v>
      </c>
      <c r="AV156" s="23">
        <f t="shared" si="112"/>
        <v>57210</v>
      </c>
      <c r="AW156" s="23">
        <f t="shared" si="113"/>
        <v>57513.333333333336</v>
      </c>
      <c r="AX156" s="23">
        <f t="shared" si="114"/>
        <v>57466.666666666664</v>
      </c>
      <c r="AY156" s="23">
        <f t="shared" si="115"/>
        <v>57910</v>
      </c>
      <c r="AZ156" s="23">
        <f t="shared" si="116"/>
        <v>57070</v>
      </c>
      <c r="BA156" s="23">
        <f t="shared" ref="BA156:BA164" si="123">(AO155+AM155)/(1+1)</f>
        <v>57368.75</v>
      </c>
      <c r="BB156" s="43"/>
      <c r="BC156" s="51">
        <f t="shared" si="97"/>
        <v>57490</v>
      </c>
      <c r="BD156" s="52">
        <f t="shared" si="101"/>
        <v>57368.75</v>
      </c>
      <c r="BE156" s="37">
        <f t="shared" si="120"/>
        <v>121.25</v>
      </c>
      <c r="BF156">
        <f t="shared" si="121"/>
        <v>121.25</v>
      </c>
      <c r="BG156">
        <f t="shared" si="122"/>
        <v>2.1090624456427203E-3</v>
      </c>
    </row>
    <row r="157" spans="1:59">
      <c r="A157" s="1" t="s">
        <v>158</v>
      </c>
      <c r="B157" s="1">
        <v>60580</v>
      </c>
      <c r="Q157">
        <v>154</v>
      </c>
      <c r="R157" s="27" t="str">
        <f t="shared" si="98"/>
        <v>01/02/2024</v>
      </c>
      <c r="S157" s="27">
        <f t="shared" si="98"/>
        <v>58290</v>
      </c>
      <c r="T157" s="4" t="str">
        <f t="shared" si="99"/>
        <v>A3</v>
      </c>
      <c r="V157">
        <v>154</v>
      </c>
      <c r="W157" s="28" t="str">
        <f t="shared" si="95"/>
        <v>01/02/2024</v>
      </c>
      <c r="X157" s="28">
        <f t="shared" si="95"/>
        <v>58290</v>
      </c>
      <c r="Y157" s="28" t="str">
        <f t="shared" si="95"/>
        <v>A3</v>
      </c>
      <c r="Z157" s="5" t="str">
        <f t="shared" si="102"/>
        <v>A3</v>
      </c>
      <c r="AA157" s="5" t="str">
        <f t="shared" si="100"/>
        <v>A3</v>
      </c>
      <c r="AG157" s="49" t="str">
        <f t="shared" si="94"/>
        <v>01/02/2024</v>
      </c>
      <c r="AH157" s="46">
        <f t="shared" si="94"/>
        <v>58290</v>
      </c>
      <c r="AI157" s="49" t="str">
        <f t="shared" si="94"/>
        <v>A3</v>
      </c>
      <c r="AJ157" s="49" t="str">
        <f t="shared" si="103"/>
        <v>A3</v>
      </c>
      <c r="AK157" s="50">
        <f t="shared" si="104"/>
        <v>55767.5</v>
      </c>
      <c r="AL157" s="49" t="str">
        <f t="shared" si="117"/>
        <v>A3</v>
      </c>
      <c r="AM157" s="50">
        <f t="shared" si="105"/>
        <v>55767.5</v>
      </c>
      <c r="AN157" s="56">
        <f t="shared" si="118"/>
        <v>120</v>
      </c>
      <c r="AO157" s="57">
        <f t="shared" si="119"/>
        <v>58350</v>
      </c>
      <c r="AP157" s="23">
        <f t="shared" si="106"/>
        <v>58230</v>
      </c>
      <c r="AQ157" s="23">
        <f t="shared" si="107"/>
        <v>58410</v>
      </c>
      <c r="AR157" s="23">
        <f t="shared" si="108"/>
        <v>58170</v>
      </c>
      <c r="AS157" s="23">
        <f t="shared" si="109"/>
        <v>58320</v>
      </c>
      <c r="AT157" s="23">
        <f t="shared" si="110"/>
        <v>58260</v>
      </c>
      <c r="AU157" s="23">
        <f t="shared" si="111"/>
        <v>58530</v>
      </c>
      <c r="AV157" s="23">
        <f t="shared" si="112"/>
        <v>58050</v>
      </c>
      <c r="AW157" s="23">
        <f t="shared" si="113"/>
        <v>58310</v>
      </c>
      <c r="AX157" s="23">
        <f t="shared" si="114"/>
        <v>58270</v>
      </c>
      <c r="AY157" s="23">
        <f t="shared" si="115"/>
        <v>58650</v>
      </c>
      <c r="AZ157" s="23">
        <f t="shared" si="116"/>
        <v>57930</v>
      </c>
      <c r="BA157" s="23">
        <f t="shared" si="123"/>
        <v>56663.75</v>
      </c>
      <c r="BB157" s="43"/>
      <c r="BC157" s="51">
        <f t="shared" si="97"/>
        <v>58290</v>
      </c>
      <c r="BD157" s="52">
        <f t="shared" si="101"/>
        <v>56663.75</v>
      </c>
      <c r="BE157" s="37">
        <f t="shared" si="120"/>
        <v>1626.25</v>
      </c>
      <c r="BF157">
        <f t="shared" si="121"/>
        <v>1626.25</v>
      </c>
      <c r="BG157">
        <f t="shared" si="122"/>
        <v>2.7899296620346542E-2</v>
      </c>
    </row>
    <row r="158" spans="1:59">
      <c r="A158" s="1" t="s">
        <v>159</v>
      </c>
      <c r="B158" s="1">
        <v>61560</v>
      </c>
      <c r="Q158">
        <v>155</v>
      </c>
      <c r="R158" s="27" t="str">
        <f t="shared" si="98"/>
        <v>02/02/2024</v>
      </c>
      <c r="S158" s="27">
        <f t="shared" si="98"/>
        <v>58800</v>
      </c>
      <c r="T158" s="4" t="str">
        <f t="shared" si="99"/>
        <v>A4</v>
      </c>
      <c r="V158">
        <v>155</v>
      </c>
      <c r="W158" s="28" t="str">
        <f t="shared" si="95"/>
        <v>02/02/2024</v>
      </c>
      <c r="X158" s="28">
        <f t="shared" si="95"/>
        <v>58800</v>
      </c>
      <c r="Y158" s="28" t="str">
        <f t="shared" si="95"/>
        <v>A4</v>
      </c>
      <c r="Z158" s="5" t="str">
        <f t="shared" si="102"/>
        <v>A3</v>
      </c>
      <c r="AA158" s="5" t="str">
        <f t="shared" si="100"/>
        <v>A4</v>
      </c>
      <c r="AG158" s="49" t="str">
        <f t="shared" si="94"/>
        <v>02/02/2024</v>
      </c>
      <c r="AH158" s="46">
        <f t="shared" si="94"/>
        <v>58800</v>
      </c>
      <c r="AI158" s="49" t="str">
        <f t="shared" si="94"/>
        <v>A4</v>
      </c>
      <c r="AJ158" s="49" t="str">
        <f t="shared" si="103"/>
        <v>A3</v>
      </c>
      <c r="AK158" s="50">
        <f t="shared" si="104"/>
        <v>55767.5</v>
      </c>
      <c r="AL158" s="49" t="str">
        <f t="shared" si="117"/>
        <v>A4</v>
      </c>
      <c r="AM158" s="50">
        <f t="shared" si="105"/>
        <v>61798.5</v>
      </c>
      <c r="AN158" s="56">
        <f t="shared" si="118"/>
        <v>290</v>
      </c>
      <c r="AO158" s="57">
        <f t="shared" si="119"/>
        <v>58945</v>
      </c>
      <c r="AP158" s="23">
        <f t="shared" si="106"/>
        <v>58655</v>
      </c>
      <c r="AQ158" s="23">
        <f t="shared" si="107"/>
        <v>59090</v>
      </c>
      <c r="AR158" s="23">
        <f t="shared" si="108"/>
        <v>58510</v>
      </c>
      <c r="AS158" s="23">
        <f t="shared" si="109"/>
        <v>58872.5</v>
      </c>
      <c r="AT158" s="23">
        <f t="shared" si="110"/>
        <v>58727.5</v>
      </c>
      <c r="AU158" s="23">
        <f t="shared" si="111"/>
        <v>59380</v>
      </c>
      <c r="AV158" s="23">
        <f t="shared" si="112"/>
        <v>58220</v>
      </c>
      <c r="AW158" s="23">
        <f t="shared" si="113"/>
        <v>58848.333333333336</v>
      </c>
      <c r="AX158" s="23">
        <f t="shared" si="114"/>
        <v>58751.666666666664</v>
      </c>
      <c r="AY158" s="23">
        <f t="shared" si="115"/>
        <v>59670</v>
      </c>
      <c r="AZ158" s="23">
        <f t="shared" si="116"/>
        <v>57930</v>
      </c>
      <c r="BA158" s="23">
        <f t="shared" si="123"/>
        <v>57058.75</v>
      </c>
      <c r="BB158" s="43"/>
      <c r="BC158" s="51">
        <f t="shared" si="97"/>
        <v>58800</v>
      </c>
      <c r="BD158" s="52">
        <f t="shared" si="101"/>
        <v>57058.75</v>
      </c>
      <c r="BE158" s="37">
        <f t="shared" si="120"/>
        <v>1741.25</v>
      </c>
      <c r="BF158">
        <f t="shared" si="121"/>
        <v>1741.25</v>
      </c>
      <c r="BG158">
        <f t="shared" si="122"/>
        <v>2.9613095238095237E-2</v>
      </c>
    </row>
    <row r="159" spans="1:59">
      <c r="A159" s="1" t="s">
        <v>160</v>
      </c>
      <c r="B159" s="1">
        <v>65410</v>
      </c>
      <c r="Q159">
        <v>156</v>
      </c>
      <c r="R159" s="27" t="str">
        <f t="shared" si="98"/>
        <v>03/02/2024</v>
      </c>
      <c r="S159" s="27">
        <f t="shared" si="98"/>
        <v>60580</v>
      </c>
      <c r="T159" s="4" t="str">
        <f t="shared" si="99"/>
        <v>A4</v>
      </c>
      <c r="V159">
        <v>156</v>
      </c>
      <c r="W159" s="28" t="str">
        <f t="shared" si="95"/>
        <v>03/02/2024</v>
      </c>
      <c r="X159" s="28">
        <f t="shared" si="95"/>
        <v>60580</v>
      </c>
      <c r="Y159" s="28" t="str">
        <f t="shared" si="95"/>
        <v>A4</v>
      </c>
      <c r="Z159" s="5" t="str">
        <f t="shared" si="102"/>
        <v>A4</v>
      </c>
      <c r="AA159" s="5" t="str">
        <f t="shared" si="100"/>
        <v>A4</v>
      </c>
      <c r="AG159" s="49" t="str">
        <f t="shared" si="94"/>
        <v>03/02/2024</v>
      </c>
      <c r="AH159" s="46">
        <f t="shared" si="94"/>
        <v>60580</v>
      </c>
      <c r="AI159" s="49" t="str">
        <f t="shared" si="94"/>
        <v>A4</v>
      </c>
      <c r="AJ159" s="49" t="str">
        <f t="shared" si="103"/>
        <v>A4</v>
      </c>
      <c r="AK159" s="50">
        <f t="shared" si="104"/>
        <v>61798.5</v>
      </c>
      <c r="AL159" s="49" t="str">
        <f t="shared" si="117"/>
        <v>A4</v>
      </c>
      <c r="AM159" s="50">
        <f t="shared" si="105"/>
        <v>61798.5</v>
      </c>
      <c r="AN159" s="56">
        <f t="shared" si="118"/>
        <v>1270</v>
      </c>
      <c r="AO159" s="57">
        <f t="shared" si="119"/>
        <v>61215</v>
      </c>
      <c r="AP159" s="23">
        <f t="shared" si="106"/>
        <v>59945</v>
      </c>
      <c r="AQ159" s="23">
        <f t="shared" si="107"/>
        <v>61850</v>
      </c>
      <c r="AR159" s="23">
        <f t="shared" si="108"/>
        <v>59310</v>
      </c>
      <c r="AS159" s="23">
        <f t="shared" si="109"/>
        <v>60897.5</v>
      </c>
      <c r="AT159" s="23">
        <f t="shared" si="110"/>
        <v>60262.5</v>
      </c>
      <c r="AU159" s="23">
        <f t="shared" si="111"/>
        <v>63120</v>
      </c>
      <c r="AV159" s="23">
        <f t="shared" si="112"/>
        <v>58040</v>
      </c>
      <c r="AW159" s="23">
        <f t="shared" si="113"/>
        <v>60791.666666666664</v>
      </c>
      <c r="AX159" s="23">
        <f t="shared" si="114"/>
        <v>60368.333333333336</v>
      </c>
      <c r="AY159" s="23">
        <f t="shared" si="115"/>
        <v>64390</v>
      </c>
      <c r="AZ159" s="23">
        <f t="shared" si="116"/>
        <v>56770</v>
      </c>
      <c r="BA159" s="23">
        <f t="shared" si="123"/>
        <v>60371.75</v>
      </c>
      <c r="BB159" s="43"/>
      <c r="BC159" s="51">
        <f t="shared" si="97"/>
        <v>60580</v>
      </c>
      <c r="BD159" s="52">
        <f t="shared" si="101"/>
        <v>60371.75</v>
      </c>
      <c r="BE159" s="37">
        <f t="shared" si="120"/>
        <v>208.25</v>
      </c>
      <c r="BF159">
        <f t="shared" si="121"/>
        <v>208.25</v>
      </c>
      <c r="BG159">
        <f t="shared" si="122"/>
        <v>3.4376031693628259E-3</v>
      </c>
    </row>
    <row r="160" spans="1:59">
      <c r="A160" s="1" t="s">
        <v>161</v>
      </c>
      <c r="B160" s="1">
        <v>65900</v>
      </c>
      <c r="Q160">
        <v>157</v>
      </c>
      <c r="R160" s="27" t="str">
        <f t="shared" si="98"/>
        <v>04/02/2024</v>
      </c>
      <c r="S160" s="27">
        <f t="shared" si="98"/>
        <v>61560</v>
      </c>
      <c r="T160" s="4" t="str">
        <f t="shared" si="99"/>
        <v>A4</v>
      </c>
      <c r="V160">
        <v>157</v>
      </c>
      <c r="W160" s="28" t="str">
        <f t="shared" si="95"/>
        <v>04/02/2024</v>
      </c>
      <c r="X160" s="28">
        <f t="shared" si="95"/>
        <v>61560</v>
      </c>
      <c r="Y160" s="28" t="str">
        <f t="shared" si="95"/>
        <v>A4</v>
      </c>
      <c r="Z160" s="5" t="str">
        <f t="shared" si="102"/>
        <v>A4</v>
      </c>
      <c r="AA160" s="5" t="str">
        <f t="shared" si="100"/>
        <v>A4</v>
      </c>
      <c r="AG160" s="49" t="str">
        <f t="shared" si="94"/>
        <v>04/02/2024</v>
      </c>
      <c r="AH160" s="46">
        <f t="shared" si="94"/>
        <v>61560</v>
      </c>
      <c r="AI160" s="49" t="str">
        <f t="shared" si="94"/>
        <v>A4</v>
      </c>
      <c r="AJ160" s="49" t="str">
        <f t="shared" si="103"/>
        <v>A4</v>
      </c>
      <c r="AK160" s="50">
        <f t="shared" si="104"/>
        <v>61798.5</v>
      </c>
      <c r="AL160" s="49" t="str">
        <f t="shared" si="117"/>
        <v>A4</v>
      </c>
      <c r="AM160" s="50">
        <f t="shared" si="105"/>
        <v>61798.5</v>
      </c>
      <c r="AN160" s="56">
        <f t="shared" si="118"/>
        <v>800</v>
      </c>
      <c r="AO160" s="57">
        <f t="shared" si="119"/>
        <v>61960</v>
      </c>
      <c r="AP160" s="23">
        <f t="shared" si="106"/>
        <v>61160</v>
      </c>
      <c r="AQ160" s="23">
        <f t="shared" si="107"/>
        <v>62360</v>
      </c>
      <c r="AR160" s="23">
        <f t="shared" si="108"/>
        <v>60760</v>
      </c>
      <c r="AS160" s="23">
        <f t="shared" si="109"/>
        <v>61760</v>
      </c>
      <c r="AT160" s="23">
        <f t="shared" si="110"/>
        <v>61360</v>
      </c>
      <c r="AU160" s="23">
        <f t="shared" si="111"/>
        <v>63160</v>
      </c>
      <c r="AV160" s="23">
        <f t="shared" si="112"/>
        <v>59960</v>
      </c>
      <c r="AW160" s="23">
        <f t="shared" si="113"/>
        <v>61693.333333333336</v>
      </c>
      <c r="AX160" s="23">
        <f t="shared" si="114"/>
        <v>61426.666666666664</v>
      </c>
      <c r="AY160" s="23">
        <f t="shared" si="115"/>
        <v>63960</v>
      </c>
      <c r="AZ160" s="23">
        <f t="shared" si="116"/>
        <v>59160</v>
      </c>
      <c r="BA160" s="23">
        <f t="shared" si="123"/>
        <v>61506.75</v>
      </c>
      <c r="BB160" s="43"/>
      <c r="BC160" s="51">
        <f t="shared" si="97"/>
        <v>61560</v>
      </c>
      <c r="BD160" s="52">
        <f t="shared" si="101"/>
        <v>61506.75</v>
      </c>
      <c r="BE160" s="37">
        <f t="shared" si="120"/>
        <v>53.25</v>
      </c>
      <c r="BF160">
        <f t="shared" si="121"/>
        <v>53.25</v>
      </c>
      <c r="BG160">
        <f t="shared" si="122"/>
        <v>8.65009746588694E-4</v>
      </c>
    </row>
    <row r="161" spans="1:59">
      <c r="A161" s="1" t="s">
        <v>162</v>
      </c>
      <c r="B161" s="1">
        <v>66070</v>
      </c>
      <c r="Q161">
        <v>158</v>
      </c>
      <c r="R161" s="27" t="str">
        <f t="shared" si="98"/>
        <v>05/02/2024</v>
      </c>
      <c r="S161" s="27">
        <f t="shared" si="98"/>
        <v>65410</v>
      </c>
      <c r="T161" s="4" t="str">
        <f t="shared" si="99"/>
        <v>A5</v>
      </c>
      <c r="V161">
        <v>158</v>
      </c>
      <c r="W161" s="28" t="str">
        <f t="shared" si="95"/>
        <v>05/02/2024</v>
      </c>
      <c r="X161" s="28">
        <f t="shared" si="95"/>
        <v>65410</v>
      </c>
      <c r="Y161" s="28" t="str">
        <f t="shared" si="95"/>
        <v>A5</v>
      </c>
      <c r="Z161" s="5" t="str">
        <f t="shared" si="102"/>
        <v>A4</v>
      </c>
      <c r="AA161" s="5" t="str">
        <f t="shared" si="100"/>
        <v>A5</v>
      </c>
      <c r="AG161" s="49" t="str">
        <f t="shared" si="94"/>
        <v>05/02/2024</v>
      </c>
      <c r="AH161" s="46">
        <f t="shared" si="94"/>
        <v>65410</v>
      </c>
      <c r="AI161" s="49" t="str">
        <f t="shared" si="94"/>
        <v>A5</v>
      </c>
      <c r="AJ161" s="49" t="str">
        <f t="shared" si="103"/>
        <v>A4</v>
      </c>
      <c r="AK161" s="50">
        <f t="shared" si="104"/>
        <v>61798.5</v>
      </c>
      <c r="AL161" s="49" t="str">
        <f t="shared" si="117"/>
        <v>A5</v>
      </c>
      <c r="AM161" s="50">
        <f t="shared" si="105"/>
        <v>67829.5</v>
      </c>
      <c r="AN161" s="56">
        <f t="shared" si="118"/>
        <v>2870</v>
      </c>
      <c r="AO161" s="57">
        <f t="shared" si="119"/>
        <v>66845</v>
      </c>
      <c r="AP161" s="23">
        <f t="shared" si="106"/>
        <v>63975</v>
      </c>
      <c r="AQ161" s="23">
        <f t="shared" si="107"/>
        <v>68280</v>
      </c>
      <c r="AR161" s="23">
        <f t="shared" si="108"/>
        <v>62540</v>
      </c>
      <c r="AS161" s="23">
        <f t="shared" si="109"/>
        <v>66127.5</v>
      </c>
      <c r="AT161" s="23">
        <f t="shared" si="110"/>
        <v>64692.5</v>
      </c>
      <c r="AU161" s="23">
        <f t="shared" si="111"/>
        <v>71150</v>
      </c>
      <c r="AV161" s="23">
        <f t="shared" si="112"/>
        <v>59670</v>
      </c>
      <c r="AW161" s="23">
        <f t="shared" si="113"/>
        <v>65888.333333333328</v>
      </c>
      <c r="AX161" s="23">
        <f t="shared" si="114"/>
        <v>64931.666666666664</v>
      </c>
      <c r="AY161" s="23">
        <f t="shared" si="115"/>
        <v>74020</v>
      </c>
      <c r="AZ161" s="23">
        <f t="shared" si="116"/>
        <v>56800</v>
      </c>
      <c r="BA161" s="23">
        <f t="shared" si="123"/>
        <v>61879.25</v>
      </c>
      <c r="BB161" s="43"/>
      <c r="BC161" s="51">
        <f t="shared" si="97"/>
        <v>65410</v>
      </c>
      <c r="BD161" s="52">
        <f t="shared" si="101"/>
        <v>61879.25</v>
      </c>
      <c r="BE161" s="37">
        <f t="shared" si="120"/>
        <v>3530.75</v>
      </c>
      <c r="BF161">
        <f t="shared" si="121"/>
        <v>3530.75</v>
      </c>
      <c r="BG161">
        <f t="shared" si="122"/>
        <v>5.3978749426693166E-2</v>
      </c>
    </row>
    <row r="162" spans="1:59">
      <c r="A162" s="1" t="s">
        <v>163</v>
      </c>
      <c r="B162" s="1">
        <v>68160</v>
      </c>
      <c r="Q162">
        <v>159</v>
      </c>
      <c r="R162" s="27" t="str">
        <f t="shared" si="98"/>
        <v>06/02/2024</v>
      </c>
      <c r="S162" s="27">
        <f t="shared" si="98"/>
        <v>65900</v>
      </c>
      <c r="T162" s="4" t="str">
        <f t="shared" si="99"/>
        <v>A5</v>
      </c>
      <c r="V162">
        <v>159</v>
      </c>
      <c r="W162" s="28" t="str">
        <f t="shared" si="95"/>
        <v>06/02/2024</v>
      </c>
      <c r="X162" s="28">
        <f t="shared" si="95"/>
        <v>65900</v>
      </c>
      <c r="Y162" s="28" t="str">
        <f t="shared" si="95"/>
        <v>A5</v>
      </c>
      <c r="Z162" s="5" t="str">
        <f t="shared" si="102"/>
        <v>A5</v>
      </c>
      <c r="AA162" s="5" t="str">
        <f t="shared" si="100"/>
        <v>A5</v>
      </c>
      <c r="AG162" s="49" t="str">
        <f t="shared" si="94"/>
        <v>06/02/2024</v>
      </c>
      <c r="AH162" s="46">
        <f t="shared" si="94"/>
        <v>65900</v>
      </c>
      <c r="AI162" s="49" t="str">
        <f t="shared" si="94"/>
        <v>A5</v>
      </c>
      <c r="AJ162" s="49" t="str">
        <f t="shared" si="103"/>
        <v>A5</v>
      </c>
      <c r="AK162" s="50">
        <f t="shared" si="104"/>
        <v>67829.5</v>
      </c>
      <c r="AL162" s="49" t="str">
        <f t="shared" si="117"/>
        <v>A5</v>
      </c>
      <c r="AM162" s="50">
        <f t="shared" si="105"/>
        <v>67829.5</v>
      </c>
      <c r="AN162" s="56">
        <f t="shared" si="118"/>
        <v>3360</v>
      </c>
      <c r="AO162" s="57">
        <f t="shared" si="119"/>
        <v>67580</v>
      </c>
      <c r="AP162" s="23">
        <f t="shared" si="106"/>
        <v>64220</v>
      </c>
      <c r="AQ162" s="23">
        <f t="shared" si="107"/>
        <v>69260</v>
      </c>
      <c r="AR162" s="23">
        <f t="shared" si="108"/>
        <v>62540</v>
      </c>
      <c r="AS162" s="23">
        <f t="shared" si="109"/>
        <v>66740</v>
      </c>
      <c r="AT162" s="23">
        <f t="shared" si="110"/>
        <v>65060</v>
      </c>
      <c r="AU162" s="23">
        <f t="shared" si="111"/>
        <v>72620</v>
      </c>
      <c r="AV162" s="23">
        <f t="shared" si="112"/>
        <v>59180</v>
      </c>
      <c r="AW162" s="23">
        <f t="shared" si="113"/>
        <v>66460</v>
      </c>
      <c r="AX162" s="23">
        <f t="shared" si="114"/>
        <v>65340</v>
      </c>
      <c r="AY162" s="23">
        <f t="shared" si="115"/>
        <v>75980</v>
      </c>
      <c r="AZ162" s="23">
        <f t="shared" si="116"/>
        <v>55820</v>
      </c>
      <c r="BA162" s="23">
        <f t="shared" si="123"/>
        <v>67337.25</v>
      </c>
      <c r="BB162" s="43"/>
      <c r="BC162" s="51">
        <f t="shared" si="97"/>
        <v>65900</v>
      </c>
      <c r="BD162" s="52">
        <f t="shared" si="101"/>
        <v>67337.25</v>
      </c>
      <c r="BE162" s="37">
        <f t="shared" si="120"/>
        <v>-1437.25</v>
      </c>
      <c r="BF162">
        <f t="shared" si="121"/>
        <v>1437.25</v>
      </c>
      <c r="BG162">
        <f t="shared" si="122"/>
        <v>2.1809559939301972E-2</v>
      </c>
    </row>
    <row r="163" spans="1:59">
      <c r="A163" s="1" t="s">
        <v>164</v>
      </c>
      <c r="B163" s="1">
        <v>72200</v>
      </c>
      <c r="Q163">
        <v>160</v>
      </c>
      <c r="R163" s="27" t="str">
        <f t="shared" si="98"/>
        <v>07/02/2024</v>
      </c>
      <c r="S163" s="27">
        <f t="shared" si="98"/>
        <v>66070</v>
      </c>
      <c r="T163" s="4" t="str">
        <f t="shared" si="99"/>
        <v>A5</v>
      </c>
      <c r="V163">
        <v>160</v>
      </c>
      <c r="W163" s="28" t="str">
        <f t="shared" si="95"/>
        <v>07/02/2024</v>
      </c>
      <c r="X163" s="28">
        <f t="shared" si="95"/>
        <v>66070</v>
      </c>
      <c r="Y163" s="28" t="str">
        <f t="shared" si="95"/>
        <v>A5</v>
      </c>
      <c r="Z163" s="5" t="str">
        <f t="shared" si="102"/>
        <v>A5</v>
      </c>
      <c r="AA163" s="5" t="str">
        <f t="shared" si="100"/>
        <v>A5</v>
      </c>
      <c r="AG163" s="49" t="str">
        <f t="shared" si="94"/>
        <v>07/02/2024</v>
      </c>
      <c r="AH163" s="46">
        <f t="shared" si="94"/>
        <v>66070</v>
      </c>
      <c r="AI163" s="49" t="str">
        <f t="shared" si="94"/>
        <v>A5</v>
      </c>
      <c r="AJ163" s="49" t="str">
        <f t="shared" si="103"/>
        <v>A5</v>
      </c>
      <c r="AK163" s="50">
        <f t="shared" si="104"/>
        <v>67829.5</v>
      </c>
      <c r="AL163" s="49" t="str">
        <f t="shared" si="117"/>
        <v>A5</v>
      </c>
      <c r="AM163" s="50">
        <f t="shared" si="105"/>
        <v>67829.5</v>
      </c>
      <c r="AN163" s="56">
        <f t="shared" si="118"/>
        <v>320</v>
      </c>
      <c r="AO163" s="57">
        <f t="shared" si="119"/>
        <v>66230</v>
      </c>
      <c r="AP163" s="23">
        <f t="shared" si="106"/>
        <v>65910</v>
      </c>
      <c r="AQ163" s="23">
        <f t="shared" si="107"/>
        <v>66390</v>
      </c>
      <c r="AR163" s="23">
        <f t="shared" si="108"/>
        <v>65750</v>
      </c>
      <c r="AS163" s="23">
        <f t="shared" si="109"/>
        <v>66150</v>
      </c>
      <c r="AT163" s="23">
        <f t="shared" si="110"/>
        <v>65990</v>
      </c>
      <c r="AU163" s="23">
        <f t="shared" si="111"/>
        <v>66710</v>
      </c>
      <c r="AV163" s="23">
        <f t="shared" si="112"/>
        <v>65430</v>
      </c>
      <c r="AW163" s="23">
        <f t="shared" si="113"/>
        <v>66123.333333333328</v>
      </c>
      <c r="AX163" s="23">
        <f t="shared" si="114"/>
        <v>66016.666666666672</v>
      </c>
      <c r="AY163" s="23">
        <f t="shared" si="115"/>
        <v>67030</v>
      </c>
      <c r="AZ163" s="23">
        <f t="shared" si="116"/>
        <v>65110</v>
      </c>
      <c r="BA163" s="23">
        <f t="shared" si="123"/>
        <v>67704.75</v>
      </c>
      <c r="BB163" s="43"/>
      <c r="BC163" s="51">
        <f t="shared" si="97"/>
        <v>66070</v>
      </c>
      <c r="BD163" s="52">
        <f t="shared" si="101"/>
        <v>67704.75</v>
      </c>
      <c r="BE163" s="37">
        <f t="shared" si="120"/>
        <v>-1634.75</v>
      </c>
      <c r="BF163">
        <f t="shared" si="121"/>
        <v>1634.75</v>
      </c>
      <c r="BG163">
        <f t="shared" si="122"/>
        <v>2.4742697139397609E-2</v>
      </c>
    </row>
    <row r="164" spans="1:59">
      <c r="A164" s="1" t="s">
        <v>165</v>
      </c>
      <c r="B164" s="1">
        <v>71770</v>
      </c>
      <c r="Q164">
        <v>161</v>
      </c>
      <c r="R164" s="27" t="str">
        <f t="shared" si="98"/>
        <v>08/02/2024</v>
      </c>
      <c r="S164" s="27">
        <f t="shared" si="98"/>
        <v>68160</v>
      </c>
      <c r="T164" s="4" t="str">
        <f t="shared" si="99"/>
        <v>A5</v>
      </c>
      <c r="V164">
        <v>161</v>
      </c>
      <c r="W164" s="28" t="str">
        <f t="shared" si="95"/>
        <v>08/02/2024</v>
      </c>
      <c r="X164" s="28">
        <f t="shared" si="95"/>
        <v>68160</v>
      </c>
      <c r="Y164" s="28" t="str">
        <f t="shared" si="95"/>
        <v>A5</v>
      </c>
      <c r="Z164" s="5" t="str">
        <f t="shared" si="102"/>
        <v>A5</v>
      </c>
      <c r="AA164" s="5" t="str">
        <f t="shared" si="100"/>
        <v>A5</v>
      </c>
      <c r="AG164" s="49" t="str">
        <f t="shared" si="94"/>
        <v>08/02/2024</v>
      </c>
      <c r="AH164" s="46">
        <f t="shared" si="94"/>
        <v>68160</v>
      </c>
      <c r="AI164" s="49" t="str">
        <f t="shared" si="94"/>
        <v>A5</v>
      </c>
      <c r="AJ164" s="49" t="str">
        <f t="shared" si="103"/>
        <v>A5</v>
      </c>
      <c r="AK164" s="50">
        <f t="shared" si="104"/>
        <v>67829.5</v>
      </c>
      <c r="AL164" s="49" t="str">
        <f t="shared" si="117"/>
        <v>A5</v>
      </c>
      <c r="AM164" s="50">
        <f t="shared" si="105"/>
        <v>67829.5</v>
      </c>
      <c r="AN164" s="56">
        <f t="shared" si="118"/>
        <v>1920</v>
      </c>
      <c r="AO164" s="23">
        <f t="shared" si="119"/>
        <v>69120</v>
      </c>
      <c r="AP164" s="57">
        <f t="shared" si="106"/>
        <v>67200</v>
      </c>
      <c r="AQ164" s="23">
        <f t="shared" si="107"/>
        <v>70080</v>
      </c>
      <c r="AR164" s="23">
        <f t="shared" si="108"/>
        <v>66240</v>
      </c>
      <c r="AS164" s="23">
        <f t="shared" si="109"/>
        <v>68640</v>
      </c>
      <c r="AT164" s="23">
        <f t="shared" si="110"/>
        <v>67680</v>
      </c>
      <c r="AU164" s="23">
        <f t="shared" si="111"/>
        <v>72000</v>
      </c>
      <c r="AV164" s="23">
        <f t="shared" si="112"/>
        <v>64320</v>
      </c>
      <c r="AW164" s="23">
        <f t="shared" si="113"/>
        <v>68480</v>
      </c>
      <c r="AX164" s="23">
        <f t="shared" si="114"/>
        <v>67840</v>
      </c>
      <c r="AY164" s="23">
        <f t="shared" si="115"/>
        <v>73920</v>
      </c>
      <c r="AZ164" s="23">
        <f t="shared" si="116"/>
        <v>62400</v>
      </c>
      <c r="BA164" s="23">
        <f t="shared" si="123"/>
        <v>67029.75</v>
      </c>
      <c r="BB164" s="43"/>
      <c r="BC164" s="51">
        <f t="shared" si="97"/>
        <v>68160</v>
      </c>
      <c r="BD164" s="52">
        <f t="shared" si="101"/>
        <v>67029.75</v>
      </c>
      <c r="BE164" s="37">
        <f t="shared" si="120"/>
        <v>1130.25</v>
      </c>
      <c r="BF164">
        <f t="shared" si="121"/>
        <v>1130.25</v>
      </c>
      <c r="BG164">
        <f t="shared" si="122"/>
        <v>1.6582306338028169E-2</v>
      </c>
    </row>
    <row r="165" spans="1:59">
      <c r="A165" s="1" t="s">
        <v>166</v>
      </c>
      <c r="B165" s="1">
        <v>72720</v>
      </c>
      <c r="Q165">
        <v>162</v>
      </c>
      <c r="R165" s="27" t="str">
        <f t="shared" si="98"/>
        <v>09/02/2024</v>
      </c>
      <c r="S165" s="27">
        <f t="shared" si="98"/>
        <v>72200</v>
      </c>
      <c r="T165" s="4" t="str">
        <f t="shared" si="99"/>
        <v>A6</v>
      </c>
      <c r="V165">
        <v>162</v>
      </c>
      <c r="W165" s="28" t="str">
        <f t="shared" si="95"/>
        <v>09/02/2024</v>
      </c>
      <c r="X165" s="28">
        <f t="shared" si="95"/>
        <v>72200</v>
      </c>
      <c r="Y165" s="28" t="str">
        <f t="shared" si="95"/>
        <v>A6</v>
      </c>
      <c r="Z165" s="5" t="str">
        <f t="shared" si="102"/>
        <v>A5</v>
      </c>
      <c r="AA165" s="5" t="str">
        <f t="shared" si="100"/>
        <v>A6</v>
      </c>
      <c r="AG165" s="49" t="str">
        <f t="shared" si="94"/>
        <v>09/02/2024</v>
      </c>
      <c r="AH165" s="46">
        <f t="shared" si="94"/>
        <v>72200</v>
      </c>
      <c r="AI165" s="49" t="str">
        <f t="shared" si="94"/>
        <v>A6</v>
      </c>
      <c r="AJ165" s="49" t="str">
        <f t="shared" si="103"/>
        <v>A5</v>
      </c>
      <c r="AK165" s="50">
        <f t="shared" si="104"/>
        <v>67829.5</v>
      </c>
      <c r="AL165" s="49" t="str">
        <f t="shared" si="117"/>
        <v>A6</v>
      </c>
      <c r="AM165" s="50">
        <f t="shared" si="105"/>
        <v>73860.5</v>
      </c>
      <c r="AN165" s="56">
        <f t="shared" si="118"/>
        <v>1950</v>
      </c>
      <c r="AO165" s="57">
        <f t="shared" si="119"/>
        <v>73175</v>
      </c>
      <c r="AP165" s="23">
        <f t="shared" si="106"/>
        <v>71225</v>
      </c>
      <c r="AQ165" s="23">
        <f t="shared" si="107"/>
        <v>74150</v>
      </c>
      <c r="AR165" s="23">
        <f t="shared" si="108"/>
        <v>70250</v>
      </c>
      <c r="AS165" s="23">
        <f t="shared" si="109"/>
        <v>72687.5</v>
      </c>
      <c r="AT165" s="23">
        <f t="shared" si="110"/>
        <v>71712.5</v>
      </c>
      <c r="AU165" s="23">
        <f t="shared" si="111"/>
        <v>76100</v>
      </c>
      <c r="AV165" s="23">
        <f t="shared" si="112"/>
        <v>68300</v>
      </c>
      <c r="AW165" s="23">
        <f t="shared" si="113"/>
        <v>72525</v>
      </c>
      <c r="AX165" s="23">
        <f t="shared" si="114"/>
        <v>71875</v>
      </c>
      <c r="AY165" s="23">
        <f t="shared" si="115"/>
        <v>78050</v>
      </c>
      <c r="AZ165" s="23">
        <f t="shared" si="116"/>
        <v>66350</v>
      </c>
      <c r="BA165" s="23">
        <f>(AP164+AM164)/(1+1)</f>
        <v>67514.75</v>
      </c>
      <c r="BB165" s="43"/>
      <c r="BC165" s="51">
        <f t="shared" si="97"/>
        <v>72200</v>
      </c>
      <c r="BD165" s="52">
        <f t="shared" si="101"/>
        <v>67514.75</v>
      </c>
      <c r="BE165" s="37">
        <f t="shared" si="120"/>
        <v>4685.25</v>
      </c>
      <c r="BF165">
        <f t="shared" si="121"/>
        <v>4685.25</v>
      </c>
      <c r="BG165">
        <f t="shared" si="122"/>
        <v>6.48926592797784E-2</v>
      </c>
    </row>
    <row r="166" spans="1:59">
      <c r="A166" s="1" t="s">
        <v>167</v>
      </c>
      <c r="B166" s="1">
        <v>75240</v>
      </c>
      <c r="Q166">
        <v>163</v>
      </c>
      <c r="R166" s="27" t="str">
        <f t="shared" si="98"/>
        <v>10/02/2024</v>
      </c>
      <c r="S166" s="27">
        <f t="shared" si="98"/>
        <v>71770</v>
      </c>
      <c r="T166" s="4" t="str">
        <f t="shared" si="99"/>
        <v>A6</v>
      </c>
      <c r="V166">
        <v>163</v>
      </c>
      <c r="W166" s="28" t="str">
        <f t="shared" si="95"/>
        <v>10/02/2024</v>
      </c>
      <c r="X166" s="28">
        <f t="shared" si="95"/>
        <v>71770</v>
      </c>
      <c r="Y166" s="28" t="str">
        <f t="shared" si="95"/>
        <v>A6</v>
      </c>
      <c r="Z166" s="5" t="str">
        <f t="shared" si="102"/>
        <v>A6</v>
      </c>
      <c r="AA166" s="5" t="str">
        <f t="shared" si="100"/>
        <v>A6</v>
      </c>
      <c r="AG166" s="49" t="str">
        <f t="shared" si="94"/>
        <v>10/02/2024</v>
      </c>
      <c r="AH166" s="46">
        <f t="shared" si="94"/>
        <v>71770</v>
      </c>
      <c r="AI166" s="49" t="str">
        <f t="shared" si="94"/>
        <v>A6</v>
      </c>
      <c r="AJ166" s="49" t="str">
        <f t="shared" si="103"/>
        <v>A6</v>
      </c>
      <c r="AK166" s="50">
        <f t="shared" si="104"/>
        <v>73860.5</v>
      </c>
      <c r="AL166" s="49" t="str">
        <f t="shared" si="117"/>
        <v>A6</v>
      </c>
      <c r="AM166" s="50">
        <f t="shared" si="105"/>
        <v>73860.5</v>
      </c>
      <c r="AN166" s="56">
        <f t="shared" si="118"/>
        <v>3610</v>
      </c>
      <c r="AO166" s="57">
        <f t="shared" si="119"/>
        <v>73575</v>
      </c>
      <c r="AP166" s="23">
        <f t="shared" si="106"/>
        <v>69965</v>
      </c>
      <c r="AQ166" s="23">
        <f t="shared" si="107"/>
        <v>75380</v>
      </c>
      <c r="AR166" s="23">
        <f t="shared" si="108"/>
        <v>68160</v>
      </c>
      <c r="AS166" s="23">
        <f t="shared" si="109"/>
        <v>72672.5</v>
      </c>
      <c r="AT166" s="23">
        <f t="shared" si="110"/>
        <v>70867.5</v>
      </c>
      <c r="AU166" s="23">
        <f t="shared" si="111"/>
        <v>78990</v>
      </c>
      <c r="AV166" s="23">
        <f t="shared" si="112"/>
        <v>64550</v>
      </c>
      <c r="AW166" s="23">
        <f t="shared" si="113"/>
        <v>72371.666666666672</v>
      </c>
      <c r="AX166" s="23">
        <f t="shared" si="114"/>
        <v>71168.333333333328</v>
      </c>
      <c r="AY166" s="23">
        <f t="shared" si="115"/>
        <v>82600</v>
      </c>
      <c r="AZ166" s="23">
        <f t="shared" si="116"/>
        <v>60940</v>
      </c>
      <c r="BA166" s="23">
        <f t="shared" ref="BA166:BA184" si="124">(AO165+AM165)/(1+1)</f>
        <v>73517.75</v>
      </c>
      <c r="BB166" s="43"/>
      <c r="BC166" s="51">
        <f t="shared" si="97"/>
        <v>71770</v>
      </c>
      <c r="BD166" s="52">
        <f t="shared" si="101"/>
        <v>73517.75</v>
      </c>
      <c r="BE166" s="37">
        <f t="shared" si="120"/>
        <v>-1747.75</v>
      </c>
      <c r="BF166">
        <f t="shared" si="121"/>
        <v>1747.75</v>
      </c>
      <c r="BG166">
        <f t="shared" si="122"/>
        <v>2.4352096976452558E-2</v>
      </c>
    </row>
    <row r="167" spans="1:59">
      <c r="A167" s="1" t="s">
        <v>168</v>
      </c>
      <c r="B167" s="1">
        <v>77190</v>
      </c>
      <c r="Q167">
        <v>164</v>
      </c>
      <c r="R167" s="27" t="str">
        <f t="shared" si="98"/>
        <v>11/02/2024</v>
      </c>
      <c r="S167" s="27">
        <f t="shared" si="98"/>
        <v>72720</v>
      </c>
      <c r="T167" s="4" t="str">
        <f t="shared" si="99"/>
        <v>A6</v>
      </c>
      <c r="V167">
        <v>164</v>
      </c>
      <c r="W167" s="28" t="str">
        <f t="shared" si="95"/>
        <v>11/02/2024</v>
      </c>
      <c r="X167" s="28">
        <f t="shared" si="95"/>
        <v>72720</v>
      </c>
      <c r="Y167" s="28" t="str">
        <f t="shared" si="95"/>
        <v>A6</v>
      </c>
      <c r="Z167" s="5" t="str">
        <f t="shared" si="102"/>
        <v>A6</v>
      </c>
      <c r="AA167" s="5" t="str">
        <f t="shared" si="100"/>
        <v>A6</v>
      </c>
      <c r="AG167" s="49" t="str">
        <f t="shared" si="94"/>
        <v>11/02/2024</v>
      </c>
      <c r="AH167" s="46">
        <f t="shared" si="94"/>
        <v>72720</v>
      </c>
      <c r="AI167" s="49" t="str">
        <f t="shared" si="94"/>
        <v>A6</v>
      </c>
      <c r="AJ167" s="49" t="str">
        <f t="shared" si="103"/>
        <v>A6</v>
      </c>
      <c r="AK167" s="50">
        <f t="shared" si="104"/>
        <v>73860.5</v>
      </c>
      <c r="AL167" s="49" t="str">
        <f t="shared" si="117"/>
        <v>A6</v>
      </c>
      <c r="AM167" s="50">
        <f t="shared" si="105"/>
        <v>73860.5</v>
      </c>
      <c r="AN167" s="56">
        <f t="shared" si="118"/>
        <v>520</v>
      </c>
      <c r="AO167" s="57">
        <f t="shared" si="119"/>
        <v>72980</v>
      </c>
      <c r="AP167" s="23">
        <f t="shared" si="106"/>
        <v>72460</v>
      </c>
      <c r="AQ167" s="23">
        <f t="shared" si="107"/>
        <v>73240</v>
      </c>
      <c r="AR167" s="23">
        <f t="shared" si="108"/>
        <v>72200</v>
      </c>
      <c r="AS167" s="23">
        <f t="shared" si="109"/>
        <v>72850</v>
      </c>
      <c r="AT167" s="23">
        <f t="shared" si="110"/>
        <v>72590</v>
      </c>
      <c r="AU167" s="23">
        <f t="shared" si="111"/>
        <v>73760</v>
      </c>
      <c r="AV167" s="23">
        <f t="shared" si="112"/>
        <v>71680</v>
      </c>
      <c r="AW167" s="23">
        <f t="shared" si="113"/>
        <v>72806.666666666672</v>
      </c>
      <c r="AX167" s="23">
        <f t="shared" si="114"/>
        <v>72633.333333333328</v>
      </c>
      <c r="AY167" s="23">
        <f t="shared" si="115"/>
        <v>74280</v>
      </c>
      <c r="AZ167" s="23">
        <f t="shared" si="116"/>
        <v>71160</v>
      </c>
      <c r="BA167" s="23">
        <f t="shared" si="124"/>
        <v>73717.75</v>
      </c>
      <c r="BB167" s="43"/>
      <c r="BC167" s="51">
        <f t="shared" si="97"/>
        <v>72720</v>
      </c>
      <c r="BD167" s="52">
        <f t="shared" si="101"/>
        <v>73717.75</v>
      </c>
      <c r="BE167" s="37">
        <f t="shared" si="120"/>
        <v>-997.75</v>
      </c>
      <c r="BF167">
        <f t="shared" si="121"/>
        <v>997.75</v>
      </c>
      <c r="BG167">
        <f t="shared" si="122"/>
        <v>1.3720434543454346E-2</v>
      </c>
    </row>
    <row r="168" spans="1:59">
      <c r="A168" s="1" t="s">
        <v>169</v>
      </c>
      <c r="B168" s="1">
        <v>79680</v>
      </c>
      <c r="Q168">
        <v>165</v>
      </c>
      <c r="R168" s="27" t="str">
        <f t="shared" si="98"/>
        <v>12/02/2024</v>
      </c>
      <c r="S168" s="27">
        <f t="shared" si="98"/>
        <v>75240</v>
      </c>
      <c r="T168" s="4" t="str">
        <f t="shared" si="99"/>
        <v>A6</v>
      </c>
      <c r="V168">
        <v>165</v>
      </c>
      <c r="W168" s="28" t="str">
        <f t="shared" si="95"/>
        <v>12/02/2024</v>
      </c>
      <c r="X168" s="28">
        <f t="shared" si="95"/>
        <v>75240</v>
      </c>
      <c r="Y168" s="28" t="str">
        <f t="shared" si="95"/>
        <v>A6</v>
      </c>
      <c r="Z168" s="5" t="str">
        <f t="shared" si="102"/>
        <v>A6</v>
      </c>
      <c r="AA168" s="5" t="str">
        <f t="shared" si="100"/>
        <v>A6</v>
      </c>
      <c r="AG168" s="49" t="str">
        <f t="shared" si="94"/>
        <v>12/02/2024</v>
      </c>
      <c r="AH168" s="46">
        <f t="shared" si="94"/>
        <v>75240</v>
      </c>
      <c r="AI168" s="49" t="str">
        <f t="shared" si="94"/>
        <v>A6</v>
      </c>
      <c r="AJ168" s="49" t="str">
        <f t="shared" si="103"/>
        <v>A6</v>
      </c>
      <c r="AK168" s="50">
        <f t="shared" si="104"/>
        <v>73860.5</v>
      </c>
      <c r="AL168" s="49" t="str">
        <f t="shared" si="117"/>
        <v>A6</v>
      </c>
      <c r="AM168" s="50">
        <f t="shared" si="105"/>
        <v>73860.5</v>
      </c>
      <c r="AN168" s="56">
        <f t="shared" si="118"/>
        <v>1570</v>
      </c>
      <c r="AO168" s="57">
        <f t="shared" si="119"/>
        <v>76025</v>
      </c>
      <c r="AP168" s="23">
        <f t="shared" si="106"/>
        <v>74455</v>
      </c>
      <c r="AQ168" s="23">
        <f t="shared" si="107"/>
        <v>76810</v>
      </c>
      <c r="AR168" s="23">
        <f t="shared" si="108"/>
        <v>73670</v>
      </c>
      <c r="AS168" s="23">
        <f t="shared" si="109"/>
        <v>75632.5</v>
      </c>
      <c r="AT168" s="23">
        <f t="shared" si="110"/>
        <v>74847.5</v>
      </c>
      <c r="AU168" s="23">
        <f t="shared" si="111"/>
        <v>78380</v>
      </c>
      <c r="AV168" s="23">
        <f t="shared" si="112"/>
        <v>72100</v>
      </c>
      <c r="AW168" s="23">
        <f t="shared" si="113"/>
        <v>75501.666666666672</v>
      </c>
      <c r="AX168" s="23">
        <f t="shared" si="114"/>
        <v>74978.333333333328</v>
      </c>
      <c r="AY168" s="23">
        <f t="shared" si="115"/>
        <v>79950</v>
      </c>
      <c r="AZ168" s="23">
        <f t="shared" si="116"/>
        <v>70530</v>
      </c>
      <c r="BA168" s="23">
        <f t="shared" si="124"/>
        <v>73420.25</v>
      </c>
      <c r="BB168" s="43"/>
      <c r="BC168" s="51">
        <f t="shared" si="97"/>
        <v>75240</v>
      </c>
      <c r="BD168" s="52">
        <f t="shared" si="101"/>
        <v>73420.25</v>
      </c>
      <c r="BE168" s="37">
        <f t="shared" si="120"/>
        <v>1819.75</v>
      </c>
      <c r="BF168">
        <f t="shared" si="121"/>
        <v>1819.75</v>
      </c>
      <c r="BG168">
        <f t="shared" si="122"/>
        <v>2.4185938330675172E-2</v>
      </c>
    </row>
    <row r="169" spans="1:59">
      <c r="A169" s="1" t="s">
        <v>170</v>
      </c>
      <c r="B169" s="1">
        <v>81720</v>
      </c>
      <c r="Q169">
        <v>166</v>
      </c>
      <c r="R169" s="27" t="str">
        <f t="shared" si="98"/>
        <v>13/02/2024</v>
      </c>
      <c r="S169" s="27">
        <f t="shared" si="98"/>
        <v>77190</v>
      </c>
      <c r="T169" s="4" t="str">
        <f t="shared" si="99"/>
        <v>A7</v>
      </c>
      <c r="V169">
        <v>166</v>
      </c>
      <c r="W169" s="28" t="str">
        <f t="shared" si="95"/>
        <v>13/02/2024</v>
      </c>
      <c r="X169" s="28">
        <f t="shared" si="95"/>
        <v>77190</v>
      </c>
      <c r="Y169" s="28" t="str">
        <f t="shared" si="95"/>
        <v>A7</v>
      </c>
      <c r="Z169" s="5" t="str">
        <f t="shared" si="102"/>
        <v>A6</v>
      </c>
      <c r="AA169" s="5" t="str">
        <f t="shared" si="100"/>
        <v>A7</v>
      </c>
      <c r="AG169" s="49" t="str">
        <f t="shared" si="94"/>
        <v>13/02/2024</v>
      </c>
      <c r="AH169" s="46">
        <f t="shared" si="94"/>
        <v>77190</v>
      </c>
      <c r="AI169" s="49" t="str">
        <f t="shared" si="94"/>
        <v>A7</v>
      </c>
      <c r="AJ169" s="49" t="str">
        <f t="shared" si="103"/>
        <v>A6</v>
      </c>
      <c r="AK169" s="50">
        <f t="shared" si="104"/>
        <v>73860.5</v>
      </c>
      <c r="AL169" s="49" t="str">
        <f t="shared" si="117"/>
        <v>A7</v>
      </c>
      <c r="AM169" s="50">
        <f t="shared" si="105"/>
        <v>79891.5</v>
      </c>
      <c r="AN169" s="56">
        <f t="shared" si="118"/>
        <v>570</v>
      </c>
      <c r="AO169" s="57">
        <f t="shared" si="119"/>
        <v>77475</v>
      </c>
      <c r="AP169" s="23">
        <f t="shared" si="106"/>
        <v>76905</v>
      </c>
      <c r="AQ169" s="23">
        <f t="shared" si="107"/>
        <v>77760</v>
      </c>
      <c r="AR169" s="23">
        <f t="shared" si="108"/>
        <v>76620</v>
      </c>
      <c r="AS169" s="23">
        <f t="shared" si="109"/>
        <v>77332.5</v>
      </c>
      <c r="AT169" s="23">
        <f t="shared" si="110"/>
        <v>77047.5</v>
      </c>
      <c r="AU169" s="23">
        <f t="shared" si="111"/>
        <v>78330</v>
      </c>
      <c r="AV169" s="23">
        <f t="shared" si="112"/>
        <v>76050</v>
      </c>
      <c r="AW169" s="23">
        <f t="shared" si="113"/>
        <v>77285</v>
      </c>
      <c r="AX169" s="23">
        <f t="shared" si="114"/>
        <v>77095</v>
      </c>
      <c r="AY169" s="23">
        <f t="shared" si="115"/>
        <v>78900</v>
      </c>
      <c r="AZ169" s="23">
        <f t="shared" si="116"/>
        <v>75480</v>
      </c>
      <c r="BA169" s="23">
        <f t="shared" si="124"/>
        <v>74942.75</v>
      </c>
      <c r="BB169" s="43"/>
      <c r="BC169" s="51">
        <f t="shared" si="97"/>
        <v>77190</v>
      </c>
      <c r="BD169" s="52">
        <f t="shared" si="101"/>
        <v>74942.75</v>
      </c>
      <c r="BE169" s="37">
        <f t="shared" si="120"/>
        <v>2247.25</v>
      </c>
      <c r="BF169">
        <f t="shared" si="121"/>
        <v>2247.25</v>
      </c>
      <c r="BG169">
        <f t="shared" si="122"/>
        <v>2.9113227101956213E-2</v>
      </c>
    </row>
    <row r="170" spans="1:59">
      <c r="A170" s="1" t="s">
        <v>171</v>
      </c>
      <c r="B170" s="1">
        <v>79710</v>
      </c>
      <c r="Q170">
        <v>167</v>
      </c>
      <c r="R170" s="27" t="str">
        <f t="shared" si="98"/>
        <v>14/02/2024</v>
      </c>
      <c r="S170" s="27">
        <f t="shared" si="98"/>
        <v>79680</v>
      </c>
      <c r="T170" s="4" t="str">
        <f t="shared" si="99"/>
        <v>A7</v>
      </c>
      <c r="V170">
        <v>167</v>
      </c>
      <c r="W170" s="28" t="str">
        <f t="shared" si="95"/>
        <v>14/02/2024</v>
      </c>
      <c r="X170" s="28">
        <f t="shared" si="95"/>
        <v>79680</v>
      </c>
      <c r="Y170" s="28" t="str">
        <f t="shared" si="95"/>
        <v>A7</v>
      </c>
      <c r="Z170" s="5" t="str">
        <f t="shared" si="102"/>
        <v>A7</v>
      </c>
      <c r="AA170" s="5" t="str">
        <f t="shared" si="100"/>
        <v>A7</v>
      </c>
      <c r="AG170" s="49" t="str">
        <f t="shared" si="94"/>
        <v>14/02/2024</v>
      </c>
      <c r="AH170" s="46">
        <f t="shared" si="94"/>
        <v>79680</v>
      </c>
      <c r="AI170" s="49" t="str">
        <f t="shared" si="94"/>
        <v>A7</v>
      </c>
      <c r="AJ170" s="49" t="str">
        <f t="shared" si="103"/>
        <v>A7</v>
      </c>
      <c r="AK170" s="50">
        <f t="shared" si="104"/>
        <v>79891.5</v>
      </c>
      <c r="AL170" s="49" t="str">
        <f t="shared" si="117"/>
        <v>A7</v>
      </c>
      <c r="AM170" s="50">
        <f t="shared" si="105"/>
        <v>79891.5</v>
      </c>
      <c r="AN170" s="56">
        <f t="shared" si="118"/>
        <v>540</v>
      </c>
      <c r="AO170" s="57">
        <f t="shared" si="119"/>
        <v>79950</v>
      </c>
      <c r="AP170" s="23">
        <f t="shared" si="106"/>
        <v>79410</v>
      </c>
      <c r="AQ170" s="23">
        <f t="shared" si="107"/>
        <v>80220</v>
      </c>
      <c r="AR170" s="23">
        <f t="shared" si="108"/>
        <v>79140</v>
      </c>
      <c r="AS170" s="23">
        <f t="shared" si="109"/>
        <v>79815</v>
      </c>
      <c r="AT170" s="23">
        <f t="shared" si="110"/>
        <v>79545</v>
      </c>
      <c r="AU170" s="23">
        <f t="shared" si="111"/>
        <v>80760</v>
      </c>
      <c r="AV170" s="23">
        <f t="shared" si="112"/>
        <v>78600</v>
      </c>
      <c r="AW170" s="23">
        <f t="shared" si="113"/>
        <v>79770</v>
      </c>
      <c r="AX170" s="23">
        <f t="shared" si="114"/>
        <v>79590</v>
      </c>
      <c r="AY170" s="23">
        <f t="shared" si="115"/>
        <v>81300</v>
      </c>
      <c r="AZ170" s="23">
        <f t="shared" si="116"/>
        <v>78060</v>
      </c>
      <c r="BA170" s="23">
        <f t="shared" si="124"/>
        <v>78683.25</v>
      </c>
      <c r="BB170" s="43"/>
      <c r="BC170" s="51">
        <f t="shared" si="97"/>
        <v>79680</v>
      </c>
      <c r="BD170" s="52">
        <f t="shared" si="101"/>
        <v>78683.25</v>
      </c>
      <c r="BE170" s="37">
        <f t="shared" si="120"/>
        <v>996.75</v>
      </c>
      <c r="BF170">
        <f t="shared" si="121"/>
        <v>996.75</v>
      </c>
      <c r="BG170">
        <f t="shared" si="122"/>
        <v>1.250941265060241E-2</v>
      </c>
    </row>
    <row r="171" spans="1:59">
      <c r="A171" s="1" t="s">
        <v>172</v>
      </c>
      <c r="B171" s="1">
        <v>82580</v>
      </c>
      <c r="Q171">
        <v>168</v>
      </c>
      <c r="R171" s="27" t="str">
        <f t="shared" si="98"/>
        <v>15/02/2024</v>
      </c>
      <c r="S171" s="27">
        <f t="shared" si="98"/>
        <v>81720</v>
      </c>
      <c r="T171" s="4" t="str">
        <f t="shared" si="99"/>
        <v>A7</v>
      </c>
      <c r="V171">
        <v>168</v>
      </c>
      <c r="W171" s="28" t="str">
        <f t="shared" si="95"/>
        <v>15/02/2024</v>
      </c>
      <c r="X171" s="28">
        <f t="shared" si="95"/>
        <v>81720</v>
      </c>
      <c r="Y171" s="28" t="str">
        <f t="shared" si="95"/>
        <v>A7</v>
      </c>
      <c r="Z171" s="5" t="str">
        <f t="shared" si="102"/>
        <v>A7</v>
      </c>
      <c r="AA171" s="5" t="str">
        <f t="shared" si="100"/>
        <v>A7</v>
      </c>
      <c r="AG171" s="49" t="str">
        <f t="shared" si="94"/>
        <v>15/02/2024</v>
      </c>
      <c r="AH171" s="46">
        <f t="shared" si="94"/>
        <v>81720</v>
      </c>
      <c r="AI171" s="49" t="str">
        <f t="shared" si="94"/>
        <v>A7</v>
      </c>
      <c r="AJ171" s="49" t="str">
        <f t="shared" si="103"/>
        <v>A7</v>
      </c>
      <c r="AK171" s="50">
        <f t="shared" si="104"/>
        <v>79891.5</v>
      </c>
      <c r="AL171" s="49" t="str">
        <f t="shared" si="117"/>
        <v>A7</v>
      </c>
      <c r="AM171" s="50">
        <f t="shared" si="105"/>
        <v>79891.5</v>
      </c>
      <c r="AN171" s="56">
        <f t="shared" si="118"/>
        <v>450</v>
      </c>
      <c r="AO171" s="57">
        <f t="shared" si="119"/>
        <v>81945</v>
      </c>
      <c r="AP171" s="23">
        <f t="shared" si="106"/>
        <v>81495</v>
      </c>
      <c r="AQ171" s="23">
        <f t="shared" si="107"/>
        <v>82170</v>
      </c>
      <c r="AR171" s="23">
        <f t="shared" si="108"/>
        <v>81270</v>
      </c>
      <c r="AS171" s="23">
        <f t="shared" si="109"/>
        <v>81832.5</v>
      </c>
      <c r="AT171" s="23">
        <f t="shared" si="110"/>
        <v>81607.5</v>
      </c>
      <c r="AU171" s="23">
        <f t="shared" si="111"/>
        <v>82620</v>
      </c>
      <c r="AV171" s="23">
        <f t="shared" si="112"/>
        <v>80820</v>
      </c>
      <c r="AW171" s="23">
        <f t="shared" si="113"/>
        <v>81795</v>
      </c>
      <c r="AX171" s="23">
        <f t="shared" si="114"/>
        <v>81645</v>
      </c>
      <c r="AY171" s="23">
        <f t="shared" si="115"/>
        <v>83070</v>
      </c>
      <c r="AZ171" s="23">
        <f t="shared" si="116"/>
        <v>80370</v>
      </c>
      <c r="BA171" s="23">
        <f t="shared" si="124"/>
        <v>79920.75</v>
      </c>
      <c r="BB171" s="43"/>
      <c r="BC171" s="51">
        <f t="shared" si="97"/>
        <v>81720</v>
      </c>
      <c r="BD171" s="52">
        <f t="shared" si="101"/>
        <v>79920.75</v>
      </c>
      <c r="BE171" s="37">
        <f t="shared" si="120"/>
        <v>1799.25</v>
      </c>
      <c r="BF171">
        <f t="shared" si="121"/>
        <v>1799.25</v>
      </c>
      <c r="BG171">
        <f t="shared" si="122"/>
        <v>2.2017254038179147E-2</v>
      </c>
    </row>
    <row r="172" spans="1:59">
      <c r="A172" s="1" t="s">
        <v>173</v>
      </c>
      <c r="B172" s="1">
        <v>82230</v>
      </c>
      <c r="Q172">
        <v>169</v>
      </c>
      <c r="R172" s="27" t="str">
        <f t="shared" si="98"/>
        <v>16/02/2024</v>
      </c>
      <c r="S172" s="27">
        <f t="shared" si="98"/>
        <v>79710</v>
      </c>
      <c r="T172" s="4" t="str">
        <f t="shared" si="99"/>
        <v>A7</v>
      </c>
      <c r="V172">
        <v>169</v>
      </c>
      <c r="W172" s="28" t="str">
        <f t="shared" si="95"/>
        <v>16/02/2024</v>
      </c>
      <c r="X172" s="28">
        <f t="shared" si="95"/>
        <v>79710</v>
      </c>
      <c r="Y172" s="28" t="str">
        <f t="shared" si="95"/>
        <v>A7</v>
      </c>
      <c r="Z172" s="5" t="str">
        <f t="shared" si="102"/>
        <v>A7</v>
      </c>
      <c r="AA172" s="5" t="str">
        <f t="shared" si="100"/>
        <v>A7</v>
      </c>
      <c r="AG172" s="49" t="str">
        <f t="shared" si="94"/>
        <v>16/02/2024</v>
      </c>
      <c r="AH172" s="46">
        <f t="shared" si="94"/>
        <v>79710</v>
      </c>
      <c r="AI172" s="49" t="str">
        <f t="shared" si="94"/>
        <v>A7</v>
      </c>
      <c r="AJ172" s="49" t="str">
        <f t="shared" si="103"/>
        <v>A7</v>
      </c>
      <c r="AK172" s="50">
        <f t="shared" si="104"/>
        <v>79891.5</v>
      </c>
      <c r="AL172" s="49" t="str">
        <f t="shared" si="117"/>
        <v>A7</v>
      </c>
      <c r="AM172" s="50">
        <f t="shared" si="105"/>
        <v>79891.5</v>
      </c>
      <c r="AN172" s="56">
        <f t="shared" si="118"/>
        <v>30</v>
      </c>
      <c r="AO172" s="57">
        <f t="shared" si="119"/>
        <v>79725</v>
      </c>
      <c r="AP172" s="23">
        <f t="shared" si="106"/>
        <v>79695</v>
      </c>
      <c r="AQ172" s="23">
        <f t="shared" si="107"/>
        <v>79740</v>
      </c>
      <c r="AR172" s="23">
        <f t="shared" si="108"/>
        <v>79680</v>
      </c>
      <c r="AS172" s="23">
        <f t="shared" si="109"/>
        <v>79717.5</v>
      </c>
      <c r="AT172" s="23">
        <f t="shared" si="110"/>
        <v>79702.5</v>
      </c>
      <c r="AU172" s="23">
        <f t="shared" si="111"/>
        <v>79770</v>
      </c>
      <c r="AV172" s="23">
        <f t="shared" si="112"/>
        <v>79650</v>
      </c>
      <c r="AW172" s="23">
        <f t="shared" si="113"/>
        <v>79715</v>
      </c>
      <c r="AX172" s="23">
        <f t="shared" si="114"/>
        <v>79705</v>
      </c>
      <c r="AY172" s="23">
        <f t="shared" si="115"/>
        <v>79800</v>
      </c>
      <c r="AZ172" s="23">
        <f t="shared" si="116"/>
        <v>79620</v>
      </c>
      <c r="BA172" s="23">
        <f t="shared" si="124"/>
        <v>80918.25</v>
      </c>
      <c r="BB172" s="43"/>
      <c r="BC172" s="51">
        <f t="shared" si="97"/>
        <v>79710</v>
      </c>
      <c r="BD172" s="52">
        <f t="shared" si="101"/>
        <v>80918.25</v>
      </c>
      <c r="BE172" s="37">
        <f t="shared" si="120"/>
        <v>-1208.25</v>
      </c>
      <c r="BF172">
        <f t="shared" si="121"/>
        <v>1208.25</v>
      </c>
      <c r="BG172">
        <f t="shared" si="122"/>
        <v>1.5158073014678208E-2</v>
      </c>
    </row>
    <row r="173" spans="1:59">
      <c r="A173" s="1" t="s">
        <v>174</v>
      </c>
      <c r="B173" s="1">
        <v>84830</v>
      </c>
      <c r="Q173">
        <v>170</v>
      </c>
      <c r="R173" s="27" t="str">
        <f t="shared" si="98"/>
        <v>17/02/2024</v>
      </c>
      <c r="S173" s="27">
        <f t="shared" si="98"/>
        <v>82580</v>
      </c>
      <c r="T173" s="4" t="str">
        <f t="shared" si="99"/>
        <v>A7</v>
      </c>
      <c r="V173">
        <v>170</v>
      </c>
      <c r="W173" s="28" t="str">
        <f t="shared" si="95"/>
        <v>17/02/2024</v>
      </c>
      <c r="X173" s="28">
        <f t="shared" si="95"/>
        <v>82580</v>
      </c>
      <c r="Y173" s="28" t="str">
        <f t="shared" si="95"/>
        <v>A7</v>
      </c>
      <c r="Z173" s="5" t="str">
        <f t="shared" si="102"/>
        <v>A7</v>
      </c>
      <c r="AA173" s="5" t="str">
        <f t="shared" si="100"/>
        <v>A7</v>
      </c>
      <c r="AG173" s="49" t="str">
        <f t="shared" si="94"/>
        <v>17/02/2024</v>
      </c>
      <c r="AH173" s="46">
        <f t="shared" si="94"/>
        <v>82580</v>
      </c>
      <c r="AI173" s="49" t="str">
        <f t="shared" si="94"/>
        <v>A7</v>
      </c>
      <c r="AJ173" s="49" t="str">
        <f t="shared" si="103"/>
        <v>A7</v>
      </c>
      <c r="AK173" s="50">
        <f t="shared" si="104"/>
        <v>79891.5</v>
      </c>
      <c r="AL173" s="49" t="str">
        <f t="shared" si="117"/>
        <v>A7</v>
      </c>
      <c r="AM173" s="50">
        <f t="shared" si="105"/>
        <v>79891.5</v>
      </c>
      <c r="AN173" s="56">
        <f t="shared" si="118"/>
        <v>860</v>
      </c>
      <c r="AO173" s="57">
        <f t="shared" si="119"/>
        <v>83010</v>
      </c>
      <c r="AP173" s="23">
        <f t="shared" si="106"/>
        <v>82150</v>
      </c>
      <c r="AQ173" s="23">
        <f t="shared" si="107"/>
        <v>83440</v>
      </c>
      <c r="AR173" s="23">
        <f t="shared" si="108"/>
        <v>81720</v>
      </c>
      <c r="AS173" s="23">
        <f t="shared" si="109"/>
        <v>82795</v>
      </c>
      <c r="AT173" s="23">
        <f t="shared" si="110"/>
        <v>82365</v>
      </c>
      <c r="AU173" s="23">
        <f t="shared" si="111"/>
        <v>84300</v>
      </c>
      <c r="AV173" s="23">
        <f t="shared" si="112"/>
        <v>80860</v>
      </c>
      <c r="AW173" s="23">
        <f t="shared" si="113"/>
        <v>82723.333333333328</v>
      </c>
      <c r="AX173" s="23">
        <f t="shared" si="114"/>
        <v>82436.666666666672</v>
      </c>
      <c r="AY173" s="23">
        <f t="shared" si="115"/>
        <v>85160</v>
      </c>
      <c r="AZ173" s="23">
        <f t="shared" si="116"/>
        <v>80000</v>
      </c>
      <c r="BA173" s="23">
        <f t="shared" si="124"/>
        <v>79808.25</v>
      </c>
      <c r="BB173" s="43"/>
      <c r="BC173" s="51">
        <f t="shared" si="97"/>
        <v>82580</v>
      </c>
      <c r="BD173" s="52">
        <f t="shared" si="101"/>
        <v>79808.25</v>
      </c>
      <c r="BE173" s="37">
        <f t="shared" si="120"/>
        <v>2771.75</v>
      </c>
      <c r="BF173">
        <f t="shared" si="121"/>
        <v>2771.75</v>
      </c>
      <c r="BG173">
        <f t="shared" si="122"/>
        <v>3.3564422378299832E-2</v>
      </c>
    </row>
    <row r="174" spans="1:59">
      <c r="A174" s="1" t="s">
        <v>175</v>
      </c>
      <c r="B174" s="1">
        <v>88560</v>
      </c>
      <c r="Q174">
        <v>171</v>
      </c>
      <c r="R174" s="27" t="str">
        <f t="shared" si="98"/>
        <v>18/02/2024</v>
      </c>
      <c r="S174" s="27">
        <f t="shared" si="98"/>
        <v>82230</v>
      </c>
      <c r="T174" s="4" t="str">
        <f t="shared" si="99"/>
        <v>A7</v>
      </c>
      <c r="V174">
        <v>171</v>
      </c>
      <c r="W174" s="28" t="str">
        <f t="shared" si="95"/>
        <v>18/02/2024</v>
      </c>
      <c r="X174" s="28">
        <f t="shared" si="95"/>
        <v>82230</v>
      </c>
      <c r="Y174" s="28" t="str">
        <f t="shared" si="95"/>
        <v>A7</v>
      </c>
      <c r="Z174" s="5" t="str">
        <f t="shared" si="102"/>
        <v>A7</v>
      </c>
      <c r="AA174" s="5" t="str">
        <f t="shared" si="100"/>
        <v>A7</v>
      </c>
      <c r="AG174" s="49" t="str">
        <f t="shared" si="94"/>
        <v>18/02/2024</v>
      </c>
      <c r="AH174" s="46">
        <f t="shared" si="94"/>
        <v>82230</v>
      </c>
      <c r="AI174" s="49" t="str">
        <f t="shared" si="94"/>
        <v>A7</v>
      </c>
      <c r="AJ174" s="49" t="str">
        <f t="shared" si="103"/>
        <v>A7</v>
      </c>
      <c r="AK174" s="50">
        <f t="shared" si="104"/>
        <v>79891.5</v>
      </c>
      <c r="AL174" s="49" t="str">
        <f t="shared" si="117"/>
        <v>A7</v>
      </c>
      <c r="AM174" s="50">
        <f t="shared" si="105"/>
        <v>79891.5</v>
      </c>
      <c r="AN174" s="56">
        <f t="shared" si="118"/>
        <v>2520</v>
      </c>
      <c r="AO174" s="57">
        <f t="shared" si="119"/>
        <v>83490</v>
      </c>
      <c r="AP174" s="23">
        <f t="shared" si="106"/>
        <v>80970</v>
      </c>
      <c r="AQ174" s="23">
        <f t="shared" si="107"/>
        <v>84750</v>
      </c>
      <c r="AR174" s="23">
        <f t="shared" si="108"/>
        <v>79710</v>
      </c>
      <c r="AS174" s="23">
        <f t="shared" si="109"/>
        <v>82860</v>
      </c>
      <c r="AT174" s="23">
        <f t="shared" si="110"/>
        <v>81600</v>
      </c>
      <c r="AU174" s="23">
        <f t="shared" si="111"/>
        <v>87270</v>
      </c>
      <c r="AV174" s="23">
        <f t="shared" si="112"/>
        <v>77190</v>
      </c>
      <c r="AW174" s="23">
        <f t="shared" si="113"/>
        <v>82650</v>
      </c>
      <c r="AX174" s="23">
        <f t="shared" si="114"/>
        <v>81810</v>
      </c>
      <c r="AY174" s="23">
        <f t="shared" si="115"/>
        <v>89790</v>
      </c>
      <c r="AZ174" s="23">
        <f t="shared" si="116"/>
        <v>74670</v>
      </c>
      <c r="BA174" s="23">
        <f t="shared" si="124"/>
        <v>81450.75</v>
      </c>
      <c r="BB174" s="43"/>
      <c r="BC174" s="51">
        <f t="shared" si="97"/>
        <v>82230</v>
      </c>
      <c r="BD174" s="52">
        <f t="shared" si="101"/>
        <v>81450.75</v>
      </c>
      <c r="BE174" s="37">
        <f t="shared" si="120"/>
        <v>779.25</v>
      </c>
      <c r="BF174">
        <f t="shared" si="121"/>
        <v>779.25</v>
      </c>
      <c r="BG174">
        <f t="shared" si="122"/>
        <v>9.4764684421743892E-3</v>
      </c>
    </row>
    <row r="175" spans="1:59">
      <c r="A175" s="1" t="s">
        <v>176</v>
      </c>
      <c r="B175" s="1">
        <v>92150</v>
      </c>
      <c r="Q175">
        <v>172</v>
      </c>
      <c r="R175" s="27" t="str">
        <f t="shared" si="98"/>
        <v>19/02/2024</v>
      </c>
      <c r="S175" s="27">
        <f t="shared" si="98"/>
        <v>84830</v>
      </c>
      <c r="T175" s="4" t="str">
        <f t="shared" si="99"/>
        <v>A8</v>
      </c>
      <c r="V175">
        <v>172</v>
      </c>
      <c r="W175" s="28" t="str">
        <f t="shared" si="95"/>
        <v>19/02/2024</v>
      </c>
      <c r="X175" s="28">
        <f t="shared" si="95"/>
        <v>84830</v>
      </c>
      <c r="Y175" s="28" t="str">
        <f t="shared" si="95"/>
        <v>A8</v>
      </c>
      <c r="Z175" s="5" t="str">
        <f t="shared" si="102"/>
        <v>A7</v>
      </c>
      <c r="AA175" s="5" t="str">
        <f t="shared" si="100"/>
        <v>A8</v>
      </c>
      <c r="AG175" s="49" t="str">
        <f t="shared" si="94"/>
        <v>19/02/2024</v>
      </c>
      <c r="AH175" s="46">
        <f t="shared" si="94"/>
        <v>84830</v>
      </c>
      <c r="AI175" s="49" t="str">
        <f t="shared" si="94"/>
        <v>A8</v>
      </c>
      <c r="AJ175" s="49" t="str">
        <f t="shared" si="103"/>
        <v>A7</v>
      </c>
      <c r="AK175" s="50">
        <f t="shared" si="104"/>
        <v>79891.5</v>
      </c>
      <c r="AL175" s="49" t="str">
        <f t="shared" si="117"/>
        <v>A8</v>
      </c>
      <c r="AM175" s="50">
        <f t="shared" si="105"/>
        <v>85922.5</v>
      </c>
      <c r="AN175" s="56">
        <f t="shared" si="118"/>
        <v>2250</v>
      </c>
      <c r="AO175" s="57">
        <f t="shared" si="119"/>
        <v>85955</v>
      </c>
      <c r="AP175" s="23">
        <f t="shared" si="106"/>
        <v>83705</v>
      </c>
      <c r="AQ175" s="23">
        <f t="shared" si="107"/>
        <v>87080</v>
      </c>
      <c r="AR175" s="23">
        <f t="shared" si="108"/>
        <v>82580</v>
      </c>
      <c r="AS175" s="23">
        <f t="shared" si="109"/>
        <v>85392.5</v>
      </c>
      <c r="AT175" s="23">
        <f t="shared" si="110"/>
        <v>84267.5</v>
      </c>
      <c r="AU175" s="23">
        <f t="shared" si="111"/>
        <v>89330</v>
      </c>
      <c r="AV175" s="23">
        <f t="shared" si="112"/>
        <v>80330</v>
      </c>
      <c r="AW175" s="23">
        <f t="shared" si="113"/>
        <v>85205</v>
      </c>
      <c r="AX175" s="23">
        <f t="shared" si="114"/>
        <v>84455</v>
      </c>
      <c r="AY175" s="23">
        <f t="shared" si="115"/>
        <v>91580</v>
      </c>
      <c r="AZ175" s="23">
        <f t="shared" si="116"/>
        <v>78080</v>
      </c>
      <c r="BA175" s="23">
        <f t="shared" si="124"/>
        <v>81690.75</v>
      </c>
      <c r="BB175" s="43"/>
      <c r="BC175" s="51">
        <f t="shared" si="97"/>
        <v>84830</v>
      </c>
      <c r="BD175" s="52">
        <f t="shared" si="101"/>
        <v>81690.75</v>
      </c>
      <c r="BE175" s="37">
        <f t="shared" si="120"/>
        <v>3139.25</v>
      </c>
      <c r="BF175">
        <f t="shared" si="121"/>
        <v>3139.25</v>
      </c>
      <c r="BG175">
        <f t="shared" si="122"/>
        <v>3.7006365672521517E-2</v>
      </c>
    </row>
    <row r="176" spans="1:59">
      <c r="A176" s="1" t="s">
        <v>177</v>
      </c>
      <c r="B176" s="1">
        <v>92570</v>
      </c>
      <c r="Q176">
        <v>173</v>
      </c>
      <c r="R176" s="27" t="str">
        <f t="shared" si="98"/>
        <v>20/02/2024</v>
      </c>
      <c r="S176" s="27">
        <f t="shared" si="98"/>
        <v>88560</v>
      </c>
      <c r="T176" s="4" t="str">
        <f t="shared" si="99"/>
        <v>A8</v>
      </c>
      <c r="V176">
        <v>173</v>
      </c>
      <c r="W176" s="28" t="str">
        <f t="shared" si="95"/>
        <v>20/02/2024</v>
      </c>
      <c r="X176" s="28">
        <f t="shared" si="95"/>
        <v>88560</v>
      </c>
      <c r="Y176" s="28" t="str">
        <f t="shared" si="95"/>
        <v>A8</v>
      </c>
      <c r="Z176" s="5" t="str">
        <f t="shared" si="102"/>
        <v>A8</v>
      </c>
      <c r="AA176" s="5" t="str">
        <f t="shared" si="100"/>
        <v>A8</v>
      </c>
      <c r="AG176" s="49" t="str">
        <f t="shared" si="94"/>
        <v>20/02/2024</v>
      </c>
      <c r="AH176" s="46">
        <f t="shared" si="94"/>
        <v>88560</v>
      </c>
      <c r="AI176" s="49" t="str">
        <f t="shared" si="94"/>
        <v>A8</v>
      </c>
      <c r="AJ176" s="49" t="str">
        <f t="shared" si="103"/>
        <v>A8</v>
      </c>
      <c r="AK176" s="50">
        <f t="shared" si="104"/>
        <v>85922.5</v>
      </c>
      <c r="AL176" s="49" t="str">
        <f t="shared" si="117"/>
        <v>A8</v>
      </c>
      <c r="AM176" s="50">
        <f t="shared" si="105"/>
        <v>85922.5</v>
      </c>
      <c r="AN176" s="56">
        <f t="shared" si="118"/>
        <v>1130</v>
      </c>
      <c r="AO176" s="57">
        <f t="shared" si="119"/>
        <v>89125</v>
      </c>
      <c r="AP176" s="23">
        <f t="shared" si="106"/>
        <v>87995</v>
      </c>
      <c r="AQ176" s="23">
        <f t="shared" si="107"/>
        <v>89690</v>
      </c>
      <c r="AR176" s="23">
        <f t="shared" si="108"/>
        <v>87430</v>
      </c>
      <c r="AS176" s="23">
        <f t="shared" si="109"/>
        <v>88842.5</v>
      </c>
      <c r="AT176" s="23">
        <f t="shared" si="110"/>
        <v>88277.5</v>
      </c>
      <c r="AU176" s="23">
        <f t="shared" si="111"/>
        <v>90820</v>
      </c>
      <c r="AV176" s="23">
        <f t="shared" si="112"/>
        <v>86300</v>
      </c>
      <c r="AW176" s="23">
        <f t="shared" si="113"/>
        <v>88748.333333333328</v>
      </c>
      <c r="AX176" s="23">
        <f t="shared" si="114"/>
        <v>88371.666666666672</v>
      </c>
      <c r="AY176" s="23">
        <f t="shared" si="115"/>
        <v>91950</v>
      </c>
      <c r="AZ176" s="23">
        <f t="shared" si="116"/>
        <v>85170</v>
      </c>
      <c r="BA176" s="23">
        <f t="shared" si="124"/>
        <v>85938.75</v>
      </c>
      <c r="BB176" s="43"/>
      <c r="BC176" s="51">
        <f t="shared" si="97"/>
        <v>88560</v>
      </c>
      <c r="BD176" s="52">
        <f t="shared" si="101"/>
        <v>85938.75</v>
      </c>
      <c r="BE176" s="37">
        <f t="shared" si="120"/>
        <v>2621.25</v>
      </c>
      <c r="BF176">
        <f t="shared" si="121"/>
        <v>2621.25</v>
      </c>
      <c r="BG176">
        <f t="shared" si="122"/>
        <v>2.9598577235772357E-2</v>
      </c>
    </row>
    <row r="177" spans="1:59">
      <c r="A177" s="1" t="s">
        <v>178</v>
      </c>
      <c r="B177" s="1">
        <v>92260</v>
      </c>
      <c r="Q177">
        <v>174</v>
      </c>
      <c r="R177" s="27" t="str">
        <f t="shared" si="98"/>
        <v>21/02/2024</v>
      </c>
      <c r="S177" s="27">
        <f t="shared" si="98"/>
        <v>92150</v>
      </c>
      <c r="T177" s="4" t="str">
        <f t="shared" si="99"/>
        <v>A9</v>
      </c>
      <c r="V177">
        <v>174</v>
      </c>
      <c r="W177" s="28" t="str">
        <f t="shared" si="95"/>
        <v>21/02/2024</v>
      </c>
      <c r="X177" s="28">
        <f t="shared" si="95"/>
        <v>92150</v>
      </c>
      <c r="Y177" s="28" t="str">
        <f t="shared" si="95"/>
        <v>A9</v>
      </c>
      <c r="Z177" s="5" t="str">
        <f t="shared" si="102"/>
        <v>A8</v>
      </c>
      <c r="AA177" s="5" t="str">
        <f t="shared" si="100"/>
        <v>A9</v>
      </c>
      <c r="AG177" s="49" t="str">
        <f t="shared" si="94"/>
        <v>21/02/2024</v>
      </c>
      <c r="AH177" s="46">
        <f t="shared" si="94"/>
        <v>92150</v>
      </c>
      <c r="AI177" s="49" t="str">
        <f t="shared" si="94"/>
        <v>A9</v>
      </c>
      <c r="AJ177" s="49" t="str">
        <f t="shared" si="103"/>
        <v>A8</v>
      </c>
      <c r="AK177" s="50">
        <f t="shared" si="104"/>
        <v>85922.5</v>
      </c>
      <c r="AL177" s="49" t="str">
        <f t="shared" si="117"/>
        <v>A9</v>
      </c>
      <c r="AM177" s="50">
        <f t="shared" si="105"/>
        <v>91953.5</v>
      </c>
      <c r="AN177" s="56">
        <f t="shared" si="118"/>
        <v>140</v>
      </c>
      <c r="AO177" s="57">
        <f t="shared" si="119"/>
        <v>92220</v>
      </c>
      <c r="AP177" s="23">
        <f t="shared" si="106"/>
        <v>92080</v>
      </c>
      <c r="AQ177" s="23">
        <f t="shared" si="107"/>
        <v>92290</v>
      </c>
      <c r="AR177" s="23">
        <f t="shared" si="108"/>
        <v>92010</v>
      </c>
      <c r="AS177" s="23">
        <f t="shared" si="109"/>
        <v>92185</v>
      </c>
      <c r="AT177" s="23">
        <f t="shared" si="110"/>
        <v>92115</v>
      </c>
      <c r="AU177" s="23">
        <f t="shared" si="111"/>
        <v>92430</v>
      </c>
      <c r="AV177" s="23">
        <f t="shared" si="112"/>
        <v>91870</v>
      </c>
      <c r="AW177" s="23">
        <f t="shared" si="113"/>
        <v>92173.333333333328</v>
      </c>
      <c r="AX177" s="23">
        <f t="shared" si="114"/>
        <v>92126.666666666672</v>
      </c>
      <c r="AY177" s="23">
        <f t="shared" si="115"/>
        <v>92570</v>
      </c>
      <c r="AZ177" s="23">
        <f t="shared" si="116"/>
        <v>91730</v>
      </c>
      <c r="BA177" s="23">
        <f t="shared" si="124"/>
        <v>87523.75</v>
      </c>
      <c r="BB177" s="43"/>
      <c r="BC177" s="51">
        <f t="shared" si="97"/>
        <v>92150</v>
      </c>
      <c r="BD177" s="52">
        <f t="shared" si="101"/>
        <v>87523.75</v>
      </c>
      <c r="BE177" s="37">
        <f t="shared" si="120"/>
        <v>4626.25</v>
      </c>
      <c r="BF177">
        <f t="shared" si="121"/>
        <v>4626.25</v>
      </c>
      <c r="BG177">
        <f t="shared" si="122"/>
        <v>5.020347259902333E-2</v>
      </c>
    </row>
    <row r="178" spans="1:59">
      <c r="A178" s="1" t="s">
        <v>179</v>
      </c>
      <c r="B178" s="1">
        <v>95070</v>
      </c>
      <c r="Q178">
        <v>175</v>
      </c>
      <c r="R178" s="27" t="str">
        <f t="shared" si="98"/>
        <v>22/02/2024</v>
      </c>
      <c r="S178" s="27">
        <f t="shared" si="98"/>
        <v>92570</v>
      </c>
      <c r="T178" s="4" t="str">
        <f t="shared" si="99"/>
        <v>A9</v>
      </c>
      <c r="V178">
        <v>175</v>
      </c>
      <c r="W178" s="28" t="str">
        <f t="shared" si="95"/>
        <v>22/02/2024</v>
      </c>
      <c r="X178" s="28">
        <f t="shared" si="95"/>
        <v>92570</v>
      </c>
      <c r="Y178" s="28" t="str">
        <f t="shared" si="95"/>
        <v>A9</v>
      </c>
      <c r="Z178" s="5" t="str">
        <f t="shared" si="102"/>
        <v>A9</v>
      </c>
      <c r="AA178" s="5" t="str">
        <f t="shared" si="100"/>
        <v>A9</v>
      </c>
      <c r="AG178" s="49" t="str">
        <f t="shared" si="94"/>
        <v>22/02/2024</v>
      </c>
      <c r="AH178" s="46">
        <f t="shared" si="94"/>
        <v>92570</v>
      </c>
      <c r="AI178" s="49" t="str">
        <f t="shared" si="94"/>
        <v>A9</v>
      </c>
      <c r="AJ178" s="49" t="str">
        <f t="shared" si="103"/>
        <v>A9</v>
      </c>
      <c r="AK178" s="50">
        <f>VLOOKUP(AJ178,$AC$18:$AD$27,2,FALSE)</f>
        <v>91953.5</v>
      </c>
      <c r="AL178" s="49" t="str">
        <f t="shared" si="117"/>
        <v>A9</v>
      </c>
      <c r="AM178" s="50">
        <f t="shared" si="105"/>
        <v>91953.5</v>
      </c>
      <c r="AN178" s="56">
        <f t="shared" si="118"/>
        <v>3170</v>
      </c>
      <c r="AO178" s="57">
        <f t="shared" si="119"/>
        <v>94155</v>
      </c>
      <c r="AP178" s="23">
        <f t="shared" si="106"/>
        <v>90985</v>
      </c>
      <c r="AQ178" s="23">
        <f t="shared" si="107"/>
        <v>95740</v>
      </c>
      <c r="AR178" s="23">
        <f t="shared" si="108"/>
        <v>89400</v>
      </c>
      <c r="AS178" s="23">
        <f t="shared" si="109"/>
        <v>93362.5</v>
      </c>
      <c r="AT178" s="23">
        <f t="shared" si="110"/>
        <v>91777.5</v>
      </c>
      <c r="AU178" s="23">
        <f t="shared" si="111"/>
        <v>98910</v>
      </c>
      <c r="AV178" s="23">
        <f t="shared" si="112"/>
        <v>86230</v>
      </c>
      <c r="AW178" s="23">
        <f t="shared" si="113"/>
        <v>93098.333333333328</v>
      </c>
      <c r="AX178" s="23">
        <f t="shared" si="114"/>
        <v>92041.666666666672</v>
      </c>
      <c r="AY178" s="23">
        <f t="shared" si="115"/>
        <v>102080</v>
      </c>
      <c r="AZ178" s="23">
        <f t="shared" si="116"/>
        <v>83060</v>
      </c>
      <c r="BA178" s="23">
        <f t="shared" si="124"/>
        <v>92086.75</v>
      </c>
      <c r="BB178" s="43"/>
      <c r="BC178" s="51">
        <f t="shared" si="97"/>
        <v>92570</v>
      </c>
      <c r="BD178" s="52">
        <f t="shared" si="101"/>
        <v>92086.75</v>
      </c>
      <c r="BE178" s="37">
        <f t="shared" si="120"/>
        <v>483.25</v>
      </c>
      <c r="BF178">
        <f t="shared" si="121"/>
        <v>483.25</v>
      </c>
      <c r="BG178">
        <f t="shared" si="122"/>
        <v>5.2203737712001727E-3</v>
      </c>
    </row>
    <row r="179" spans="1:59">
      <c r="A179" s="1" t="s">
        <v>180</v>
      </c>
      <c r="B179" s="1">
        <v>92870</v>
      </c>
      <c r="Q179">
        <v>176</v>
      </c>
      <c r="R179" s="27" t="str">
        <f t="shared" si="98"/>
        <v>23/02/2024</v>
      </c>
      <c r="S179" s="27">
        <f t="shared" si="98"/>
        <v>92260</v>
      </c>
      <c r="T179" s="4" t="str">
        <f t="shared" si="99"/>
        <v>A9</v>
      </c>
      <c r="V179">
        <v>176</v>
      </c>
      <c r="W179" s="28" t="str">
        <f t="shared" si="95"/>
        <v>23/02/2024</v>
      </c>
      <c r="X179" s="28">
        <f t="shared" si="95"/>
        <v>92260</v>
      </c>
      <c r="Y179" s="28" t="str">
        <f t="shared" si="95"/>
        <v>A9</v>
      </c>
      <c r="Z179" s="5" t="str">
        <f t="shared" si="102"/>
        <v>A9</v>
      </c>
      <c r="AA179" s="5" t="str">
        <f t="shared" si="100"/>
        <v>A9</v>
      </c>
      <c r="AG179" s="49" t="str">
        <f t="shared" si="94"/>
        <v>23/02/2024</v>
      </c>
      <c r="AH179" s="46">
        <f t="shared" si="94"/>
        <v>92260</v>
      </c>
      <c r="AI179" s="49" t="str">
        <f t="shared" si="94"/>
        <v>A9</v>
      </c>
      <c r="AJ179" s="49" t="str">
        <f t="shared" si="103"/>
        <v>A9</v>
      </c>
      <c r="AK179" s="50">
        <f t="shared" ref="AK179:AK242" si="125">VLOOKUP(AJ179,$AC$18:$AD$27,2,FALSE)</f>
        <v>91953.5</v>
      </c>
      <c r="AL179" s="49" t="str">
        <f t="shared" si="117"/>
        <v>A9</v>
      </c>
      <c r="AM179" s="50">
        <f t="shared" si="105"/>
        <v>91953.5</v>
      </c>
      <c r="AN179" s="56">
        <f t="shared" si="118"/>
        <v>110</v>
      </c>
      <c r="AO179" s="57">
        <f t="shared" si="119"/>
        <v>92315</v>
      </c>
      <c r="AP179" s="23">
        <f t="shared" si="106"/>
        <v>92205</v>
      </c>
      <c r="AQ179" s="23">
        <f t="shared" si="107"/>
        <v>92370</v>
      </c>
      <c r="AR179" s="23">
        <f t="shared" si="108"/>
        <v>92150</v>
      </c>
      <c r="AS179" s="23">
        <f t="shared" si="109"/>
        <v>92287.5</v>
      </c>
      <c r="AT179" s="23">
        <f t="shared" si="110"/>
        <v>92232.5</v>
      </c>
      <c r="AU179" s="23">
        <f t="shared" si="111"/>
        <v>92480</v>
      </c>
      <c r="AV179" s="23">
        <f t="shared" si="112"/>
        <v>92040</v>
      </c>
      <c r="AW179" s="23">
        <f t="shared" si="113"/>
        <v>92278.333333333328</v>
      </c>
      <c r="AX179" s="23">
        <f t="shared" si="114"/>
        <v>92241.666666666672</v>
      </c>
      <c r="AY179" s="23">
        <f t="shared" si="115"/>
        <v>92590</v>
      </c>
      <c r="AZ179" s="23">
        <f t="shared" si="116"/>
        <v>91930</v>
      </c>
      <c r="BA179" s="23">
        <f t="shared" si="124"/>
        <v>93054.25</v>
      </c>
      <c r="BB179" s="43"/>
      <c r="BC179" s="51">
        <f t="shared" si="97"/>
        <v>92260</v>
      </c>
      <c r="BD179" s="52">
        <f t="shared" si="101"/>
        <v>93054.25</v>
      </c>
      <c r="BE179" s="37">
        <f t="shared" si="120"/>
        <v>-794.25</v>
      </c>
      <c r="BF179">
        <f t="shared" si="121"/>
        <v>794.25</v>
      </c>
      <c r="BG179">
        <f t="shared" si="122"/>
        <v>8.6088228918274438E-3</v>
      </c>
    </row>
    <row r="180" spans="1:59">
      <c r="A180" s="1" t="s">
        <v>181</v>
      </c>
      <c r="B180" s="1">
        <v>93460</v>
      </c>
      <c r="Q180">
        <v>177</v>
      </c>
      <c r="R180" s="27" t="str">
        <f t="shared" si="98"/>
        <v>24/02/2024</v>
      </c>
      <c r="S180" s="27">
        <f t="shared" si="98"/>
        <v>95070</v>
      </c>
      <c r="T180" s="4" t="str">
        <f t="shared" si="99"/>
        <v>A10</v>
      </c>
      <c r="V180">
        <v>177</v>
      </c>
      <c r="W180" s="28" t="str">
        <f t="shared" si="95"/>
        <v>24/02/2024</v>
      </c>
      <c r="X180" s="28">
        <f t="shared" si="95"/>
        <v>95070</v>
      </c>
      <c r="Y180" s="28" t="str">
        <f t="shared" si="95"/>
        <v>A10</v>
      </c>
      <c r="Z180" s="5" t="str">
        <f t="shared" si="102"/>
        <v>A9</v>
      </c>
      <c r="AA180" s="5" t="str">
        <f t="shared" si="100"/>
        <v>A10</v>
      </c>
      <c r="AG180" s="49" t="str">
        <f t="shared" si="94"/>
        <v>24/02/2024</v>
      </c>
      <c r="AH180" s="46">
        <f t="shared" si="94"/>
        <v>95070</v>
      </c>
      <c r="AI180" s="49" t="str">
        <f t="shared" si="94"/>
        <v>A10</v>
      </c>
      <c r="AJ180" s="49" t="str">
        <f t="shared" si="103"/>
        <v>A9</v>
      </c>
      <c r="AK180" s="50">
        <f t="shared" si="125"/>
        <v>91953.5</v>
      </c>
      <c r="AL180" s="49" t="str">
        <f t="shared" si="117"/>
        <v>A10</v>
      </c>
      <c r="AM180" s="50">
        <f t="shared" si="105"/>
        <v>97984.5</v>
      </c>
      <c r="AN180" s="56">
        <f t="shared" si="118"/>
        <v>2500</v>
      </c>
      <c r="AO180" s="57">
        <f t="shared" si="119"/>
        <v>96320</v>
      </c>
      <c r="AP180" s="23">
        <f t="shared" si="106"/>
        <v>93820</v>
      </c>
      <c r="AQ180" s="23">
        <f t="shared" si="107"/>
        <v>97570</v>
      </c>
      <c r="AR180" s="23">
        <f t="shared" si="108"/>
        <v>92570</v>
      </c>
      <c r="AS180" s="23">
        <f t="shared" si="109"/>
        <v>95695</v>
      </c>
      <c r="AT180" s="23">
        <f t="shared" si="110"/>
        <v>94445</v>
      </c>
      <c r="AU180" s="23">
        <f t="shared" si="111"/>
        <v>100070</v>
      </c>
      <c r="AV180" s="23">
        <f t="shared" si="112"/>
        <v>90070</v>
      </c>
      <c r="AW180" s="23">
        <f t="shared" si="113"/>
        <v>95486.666666666672</v>
      </c>
      <c r="AX180" s="23">
        <f t="shared" si="114"/>
        <v>94653.333333333328</v>
      </c>
      <c r="AY180" s="23">
        <f t="shared" si="115"/>
        <v>102570</v>
      </c>
      <c r="AZ180" s="23">
        <f t="shared" si="116"/>
        <v>87570</v>
      </c>
      <c r="BA180" s="23">
        <f t="shared" si="124"/>
        <v>92134.25</v>
      </c>
      <c r="BB180" s="43"/>
      <c r="BC180" s="51">
        <f t="shared" si="97"/>
        <v>95070</v>
      </c>
      <c r="BD180" s="52">
        <f t="shared" si="101"/>
        <v>92134.25</v>
      </c>
      <c r="BE180" s="37">
        <f t="shared" si="120"/>
        <v>2935.75</v>
      </c>
      <c r="BF180">
        <f t="shared" si="121"/>
        <v>2935.75</v>
      </c>
      <c r="BG180">
        <f t="shared" si="122"/>
        <v>3.0879877984642895E-2</v>
      </c>
    </row>
    <row r="181" spans="1:59">
      <c r="A181" s="1" t="s">
        <v>182</v>
      </c>
      <c r="B181" s="1">
        <v>93770</v>
      </c>
      <c r="Q181">
        <v>178</v>
      </c>
      <c r="R181" s="27" t="str">
        <f t="shared" si="98"/>
        <v>25/02/2024</v>
      </c>
      <c r="S181" s="27">
        <f t="shared" si="98"/>
        <v>92870</v>
      </c>
      <c r="T181" s="4" t="str">
        <f t="shared" si="99"/>
        <v>A9</v>
      </c>
      <c r="V181">
        <v>178</v>
      </c>
      <c r="W181" s="28" t="str">
        <f t="shared" si="95"/>
        <v>25/02/2024</v>
      </c>
      <c r="X181" s="28">
        <f t="shared" si="95"/>
        <v>92870</v>
      </c>
      <c r="Y181" s="28" t="str">
        <f t="shared" si="95"/>
        <v>A9</v>
      </c>
      <c r="Z181" s="5" t="str">
        <f t="shared" si="102"/>
        <v>A10</v>
      </c>
      <c r="AA181" s="5" t="str">
        <f t="shared" si="100"/>
        <v>A9</v>
      </c>
      <c r="AG181" s="49" t="str">
        <f t="shared" si="94"/>
        <v>25/02/2024</v>
      </c>
      <c r="AH181" s="46">
        <f t="shared" si="94"/>
        <v>92870</v>
      </c>
      <c r="AI181" s="49" t="str">
        <f t="shared" si="94"/>
        <v>A9</v>
      </c>
      <c r="AJ181" s="49" t="str">
        <f t="shared" si="103"/>
        <v>A10</v>
      </c>
      <c r="AK181" s="50">
        <f t="shared" si="125"/>
        <v>97984.5</v>
      </c>
      <c r="AL181" s="49" t="str">
        <f t="shared" si="117"/>
        <v>A9</v>
      </c>
      <c r="AM181" s="50">
        <f t="shared" si="105"/>
        <v>91953.5</v>
      </c>
      <c r="AN181" s="56">
        <f t="shared" si="118"/>
        <v>610</v>
      </c>
      <c r="AO181" s="57">
        <f t="shared" si="119"/>
        <v>93175</v>
      </c>
      <c r="AP181" s="23">
        <f t="shared" si="106"/>
        <v>92565</v>
      </c>
      <c r="AQ181" s="23">
        <f t="shared" si="107"/>
        <v>93480</v>
      </c>
      <c r="AR181" s="23">
        <f t="shared" si="108"/>
        <v>92260</v>
      </c>
      <c r="AS181" s="23">
        <f t="shared" si="109"/>
        <v>93022.5</v>
      </c>
      <c r="AT181" s="23">
        <f t="shared" si="110"/>
        <v>92717.5</v>
      </c>
      <c r="AU181" s="23">
        <f t="shared" si="111"/>
        <v>94090</v>
      </c>
      <c r="AV181" s="23">
        <f t="shared" si="112"/>
        <v>91650</v>
      </c>
      <c r="AW181" s="23">
        <f t="shared" si="113"/>
        <v>92971.666666666672</v>
      </c>
      <c r="AX181" s="23">
        <f t="shared" si="114"/>
        <v>92768.333333333328</v>
      </c>
      <c r="AY181" s="23">
        <f t="shared" si="115"/>
        <v>94700</v>
      </c>
      <c r="AZ181" s="23">
        <f t="shared" si="116"/>
        <v>91040</v>
      </c>
      <c r="BA181" s="23">
        <f t="shared" si="124"/>
        <v>97152.25</v>
      </c>
      <c r="BB181" s="43"/>
      <c r="BC181" s="51">
        <f t="shared" si="97"/>
        <v>92870</v>
      </c>
      <c r="BD181" s="52">
        <f t="shared" si="101"/>
        <v>97152.25</v>
      </c>
      <c r="BE181" s="37">
        <f t="shared" si="120"/>
        <v>-4282.25</v>
      </c>
      <c r="BF181">
        <f t="shared" si="121"/>
        <v>4282.25</v>
      </c>
      <c r="BG181">
        <f t="shared" si="122"/>
        <v>4.6110153978679874E-2</v>
      </c>
    </row>
    <row r="182" spans="1:59">
      <c r="A182" s="1" t="s">
        <v>183</v>
      </c>
      <c r="B182" s="1">
        <v>95170</v>
      </c>
      <c r="Q182">
        <v>179</v>
      </c>
      <c r="R182" s="27" t="str">
        <f t="shared" si="98"/>
        <v>26/02/2024</v>
      </c>
      <c r="S182" s="27">
        <f t="shared" si="98"/>
        <v>93460</v>
      </c>
      <c r="T182" s="4" t="str">
        <f t="shared" si="99"/>
        <v>A9</v>
      </c>
      <c r="V182">
        <v>179</v>
      </c>
      <c r="W182" s="28" t="str">
        <f t="shared" si="95"/>
        <v>26/02/2024</v>
      </c>
      <c r="X182" s="28">
        <f t="shared" si="95"/>
        <v>93460</v>
      </c>
      <c r="Y182" s="28" t="str">
        <f t="shared" si="95"/>
        <v>A9</v>
      </c>
      <c r="Z182" s="5" t="str">
        <f t="shared" si="102"/>
        <v>A9</v>
      </c>
      <c r="AA182" s="5" t="str">
        <f t="shared" si="100"/>
        <v>A9</v>
      </c>
      <c r="AG182" s="49" t="str">
        <f t="shared" si="94"/>
        <v>26/02/2024</v>
      </c>
      <c r="AH182" s="46">
        <f t="shared" si="94"/>
        <v>93460</v>
      </c>
      <c r="AI182" s="49" t="str">
        <f t="shared" si="94"/>
        <v>A9</v>
      </c>
      <c r="AJ182" s="49" t="str">
        <f t="shared" si="103"/>
        <v>A9</v>
      </c>
      <c r="AK182" s="50">
        <f t="shared" si="125"/>
        <v>91953.5</v>
      </c>
      <c r="AL182" s="49" t="str">
        <f t="shared" si="117"/>
        <v>A9</v>
      </c>
      <c r="AM182" s="50">
        <f t="shared" si="105"/>
        <v>91953.5</v>
      </c>
      <c r="AN182" s="56">
        <f t="shared" si="118"/>
        <v>1610</v>
      </c>
      <c r="AO182" s="57">
        <f t="shared" si="119"/>
        <v>94265</v>
      </c>
      <c r="AP182" s="23">
        <f t="shared" si="106"/>
        <v>92655</v>
      </c>
      <c r="AQ182" s="23">
        <f t="shared" si="107"/>
        <v>95070</v>
      </c>
      <c r="AR182" s="23">
        <f t="shared" si="108"/>
        <v>91850</v>
      </c>
      <c r="AS182" s="23">
        <f t="shared" si="109"/>
        <v>93862.5</v>
      </c>
      <c r="AT182" s="23">
        <f t="shared" si="110"/>
        <v>93057.5</v>
      </c>
      <c r="AU182" s="23">
        <f t="shared" si="111"/>
        <v>96680</v>
      </c>
      <c r="AV182" s="23">
        <f t="shared" si="112"/>
        <v>90240</v>
      </c>
      <c r="AW182" s="23">
        <f t="shared" si="113"/>
        <v>93728.333333333328</v>
      </c>
      <c r="AX182" s="23">
        <f t="shared" si="114"/>
        <v>93191.666666666672</v>
      </c>
      <c r="AY182" s="23">
        <f t="shared" si="115"/>
        <v>98290</v>
      </c>
      <c r="AZ182" s="23">
        <f t="shared" si="116"/>
        <v>88630</v>
      </c>
      <c r="BA182" s="23">
        <f t="shared" si="124"/>
        <v>92564.25</v>
      </c>
      <c r="BB182" s="43"/>
      <c r="BC182" s="51">
        <f t="shared" si="97"/>
        <v>93460</v>
      </c>
      <c r="BD182" s="52">
        <f t="shared" si="101"/>
        <v>92564.25</v>
      </c>
      <c r="BE182" s="37">
        <f t="shared" si="120"/>
        <v>895.75</v>
      </c>
      <c r="BF182">
        <f t="shared" si="121"/>
        <v>895.75</v>
      </c>
      <c r="BG182">
        <f t="shared" si="122"/>
        <v>9.5843141450888073E-3</v>
      </c>
    </row>
    <row r="183" spans="1:59">
      <c r="A183" s="1" t="s">
        <v>184</v>
      </c>
      <c r="B183" s="1">
        <v>94750</v>
      </c>
      <c r="Q183">
        <v>180</v>
      </c>
      <c r="R183" s="27" t="str">
        <f t="shared" si="98"/>
        <v>27/02/2024</v>
      </c>
      <c r="S183" s="27">
        <f t="shared" si="98"/>
        <v>93770</v>
      </c>
      <c r="T183" s="4" t="str">
        <f t="shared" si="99"/>
        <v>A9</v>
      </c>
      <c r="V183">
        <v>180</v>
      </c>
      <c r="W183" s="28" t="str">
        <f t="shared" si="95"/>
        <v>27/02/2024</v>
      </c>
      <c r="X183" s="28">
        <f t="shared" si="95"/>
        <v>93770</v>
      </c>
      <c r="Y183" s="28" t="str">
        <f t="shared" si="95"/>
        <v>A9</v>
      </c>
      <c r="Z183" s="5" t="str">
        <f t="shared" si="102"/>
        <v>A9</v>
      </c>
      <c r="AA183" s="5" t="str">
        <f t="shared" si="100"/>
        <v>A9</v>
      </c>
      <c r="AG183" s="49" t="str">
        <f t="shared" si="94"/>
        <v>27/02/2024</v>
      </c>
      <c r="AH183" s="46">
        <f t="shared" si="94"/>
        <v>93770</v>
      </c>
      <c r="AI183" s="49" t="str">
        <f t="shared" si="94"/>
        <v>A9</v>
      </c>
      <c r="AJ183" s="49" t="str">
        <f t="shared" si="103"/>
        <v>A9</v>
      </c>
      <c r="AK183" s="50">
        <f t="shared" si="125"/>
        <v>91953.5</v>
      </c>
      <c r="AL183" s="49" t="str">
        <f t="shared" si="117"/>
        <v>A9</v>
      </c>
      <c r="AM183" s="50">
        <f t="shared" si="105"/>
        <v>91953.5</v>
      </c>
      <c r="AN183" s="56">
        <f t="shared" si="118"/>
        <v>280</v>
      </c>
      <c r="AO183" s="57">
        <f t="shared" si="119"/>
        <v>93910</v>
      </c>
      <c r="AP183" s="23">
        <f t="shared" si="106"/>
        <v>93630</v>
      </c>
      <c r="AQ183" s="23">
        <f t="shared" si="107"/>
        <v>94050</v>
      </c>
      <c r="AR183" s="23">
        <f t="shared" si="108"/>
        <v>93490</v>
      </c>
      <c r="AS183" s="23">
        <f t="shared" si="109"/>
        <v>93840</v>
      </c>
      <c r="AT183" s="23">
        <f t="shared" si="110"/>
        <v>93700</v>
      </c>
      <c r="AU183" s="23">
        <f t="shared" si="111"/>
        <v>94330</v>
      </c>
      <c r="AV183" s="23">
        <f t="shared" si="112"/>
        <v>93210</v>
      </c>
      <c r="AW183" s="23">
        <f t="shared" si="113"/>
        <v>93816.666666666672</v>
      </c>
      <c r="AX183" s="23">
        <f t="shared" si="114"/>
        <v>93723.333333333328</v>
      </c>
      <c r="AY183" s="23">
        <f t="shared" si="115"/>
        <v>94610</v>
      </c>
      <c r="AZ183" s="23">
        <f t="shared" si="116"/>
        <v>92930</v>
      </c>
      <c r="BA183" s="23">
        <f t="shared" si="124"/>
        <v>93109.25</v>
      </c>
      <c r="BB183" s="43"/>
      <c r="BC183" s="51">
        <f t="shared" si="97"/>
        <v>93770</v>
      </c>
      <c r="BD183" s="52">
        <f t="shared" si="101"/>
        <v>93109.25</v>
      </c>
      <c r="BE183" s="37">
        <f t="shared" si="120"/>
        <v>660.75</v>
      </c>
      <c r="BF183">
        <f t="shared" si="121"/>
        <v>660.75</v>
      </c>
      <c r="BG183">
        <f t="shared" si="122"/>
        <v>7.0464967473605634E-3</v>
      </c>
    </row>
    <row r="184" spans="1:59">
      <c r="A184" s="1" t="s">
        <v>185</v>
      </c>
      <c r="B184" s="1">
        <v>93030</v>
      </c>
      <c r="Q184">
        <v>181</v>
      </c>
      <c r="R184" s="27" t="str">
        <f t="shared" si="98"/>
        <v>28/02/2024</v>
      </c>
      <c r="S184" s="27">
        <f t="shared" si="98"/>
        <v>95170</v>
      </c>
      <c r="T184" s="4" t="str">
        <f t="shared" si="99"/>
        <v>A10</v>
      </c>
      <c r="V184">
        <v>181</v>
      </c>
      <c r="W184" s="28" t="str">
        <f t="shared" si="95"/>
        <v>28/02/2024</v>
      </c>
      <c r="X184" s="28">
        <f t="shared" si="95"/>
        <v>95170</v>
      </c>
      <c r="Y184" s="28" t="str">
        <f t="shared" si="95"/>
        <v>A10</v>
      </c>
      <c r="Z184" s="5" t="str">
        <f t="shared" si="102"/>
        <v>A9</v>
      </c>
      <c r="AA184" s="5" t="str">
        <f t="shared" si="100"/>
        <v>A10</v>
      </c>
      <c r="AG184" s="49" t="str">
        <f t="shared" si="94"/>
        <v>28/02/2024</v>
      </c>
      <c r="AH184" s="46">
        <f t="shared" si="94"/>
        <v>95170</v>
      </c>
      <c r="AI184" s="49" t="str">
        <f t="shared" si="94"/>
        <v>A10</v>
      </c>
      <c r="AJ184" s="49" t="str">
        <f t="shared" si="103"/>
        <v>A9</v>
      </c>
      <c r="AK184" s="50">
        <f t="shared" si="125"/>
        <v>91953.5</v>
      </c>
      <c r="AL184" s="49" t="str">
        <f t="shared" si="117"/>
        <v>A10</v>
      </c>
      <c r="AM184" s="50">
        <f t="shared" si="105"/>
        <v>97984.5</v>
      </c>
      <c r="AN184" s="56">
        <f t="shared" si="118"/>
        <v>1090</v>
      </c>
      <c r="AO184" s="23">
        <f t="shared" si="119"/>
        <v>95715</v>
      </c>
      <c r="AP184" s="57">
        <f t="shared" si="106"/>
        <v>94625</v>
      </c>
      <c r="AQ184" s="23">
        <f t="shared" si="107"/>
        <v>96260</v>
      </c>
      <c r="AR184" s="23">
        <f t="shared" si="108"/>
        <v>94080</v>
      </c>
      <c r="AS184" s="23">
        <f t="shared" si="109"/>
        <v>95442.5</v>
      </c>
      <c r="AT184" s="23">
        <f t="shared" si="110"/>
        <v>94897.5</v>
      </c>
      <c r="AU184" s="23">
        <f t="shared" si="111"/>
        <v>97350</v>
      </c>
      <c r="AV184" s="23">
        <f t="shared" si="112"/>
        <v>92990</v>
      </c>
      <c r="AW184" s="23">
        <f t="shared" si="113"/>
        <v>95351.666666666672</v>
      </c>
      <c r="AX184" s="23">
        <f t="shared" si="114"/>
        <v>94988.333333333328</v>
      </c>
      <c r="AY184" s="23">
        <f t="shared" si="115"/>
        <v>98440</v>
      </c>
      <c r="AZ184" s="23">
        <f t="shared" si="116"/>
        <v>91900</v>
      </c>
      <c r="BA184" s="23">
        <f t="shared" si="124"/>
        <v>92931.75</v>
      </c>
      <c r="BB184" s="43"/>
      <c r="BC184" s="51">
        <f t="shared" si="97"/>
        <v>95170</v>
      </c>
      <c r="BD184" s="52">
        <f t="shared" si="101"/>
        <v>92931.75</v>
      </c>
      <c r="BE184" s="37">
        <f t="shared" si="120"/>
        <v>2238.25</v>
      </c>
      <c r="BF184">
        <f t="shared" si="121"/>
        <v>2238.25</v>
      </c>
      <c r="BG184">
        <f t="shared" si="122"/>
        <v>2.3518440685089841E-2</v>
      </c>
    </row>
    <row r="185" spans="1:59">
      <c r="A185" s="1" t="s">
        <v>186</v>
      </c>
      <c r="B185" s="1">
        <v>92790</v>
      </c>
      <c r="Q185">
        <v>182</v>
      </c>
      <c r="R185" s="27" t="str">
        <f t="shared" si="98"/>
        <v>29/02/2024</v>
      </c>
      <c r="S185" s="27">
        <f t="shared" si="98"/>
        <v>94750</v>
      </c>
      <c r="T185" s="4" t="str">
        <f t="shared" si="99"/>
        <v>A9</v>
      </c>
      <c r="V185">
        <v>182</v>
      </c>
      <c r="W185" s="28" t="str">
        <f t="shared" si="95"/>
        <v>29/02/2024</v>
      </c>
      <c r="X185" s="28">
        <f t="shared" si="95"/>
        <v>94750</v>
      </c>
      <c r="Y185" s="28" t="str">
        <f t="shared" si="95"/>
        <v>A9</v>
      </c>
      <c r="Z185" s="5" t="str">
        <f t="shared" si="102"/>
        <v>A10</v>
      </c>
      <c r="AA185" s="5" t="str">
        <f t="shared" si="100"/>
        <v>A9</v>
      </c>
      <c r="AG185" s="49" t="str">
        <f t="shared" si="94"/>
        <v>29/02/2024</v>
      </c>
      <c r="AH185" s="46">
        <f t="shared" si="94"/>
        <v>94750</v>
      </c>
      <c r="AI185" s="49" t="str">
        <f t="shared" si="94"/>
        <v>A9</v>
      </c>
      <c r="AJ185" s="49" t="str">
        <f t="shared" si="103"/>
        <v>A10</v>
      </c>
      <c r="AK185" s="50">
        <f t="shared" si="125"/>
        <v>97984.5</v>
      </c>
      <c r="AL185" s="49" t="str">
        <f t="shared" si="117"/>
        <v>A9</v>
      </c>
      <c r="AM185" s="50">
        <f t="shared" si="105"/>
        <v>91953.5</v>
      </c>
      <c r="AN185" s="56">
        <f t="shared" si="118"/>
        <v>980</v>
      </c>
      <c r="AO185" s="57">
        <f t="shared" si="119"/>
        <v>95240</v>
      </c>
      <c r="AP185" s="23">
        <f t="shared" si="106"/>
        <v>94260</v>
      </c>
      <c r="AQ185" s="23">
        <f t="shared" si="107"/>
        <v>95730</v>
      </c>
      <c r="AR185" s="23">
        <f t="shared" si="108"/>
        <v>93770</v>
      </c>
      <c r="AS185" s="23">
        <f t="shared" si="109"/>
        <v>94995</v>
      </c>
      <c r="AT185" s="23">
        <f t="shared" si="110"/>
        <v>94505</v>
      </c>
      <c r="AU185" s="23">
        <f t="shared" si="111"/>
        <v>96710</v>
      </c>
      <c r="AV185" s="23">
        <f t="shared" si="112"/>
        <v>92790</v>
      </c>
      <c r="AW185" s="23">
        <f t="shared" si="113"/>
        <v>94913.333333333328</v>
      </c>
      <c r="AX185" s="23">
        <f t="shared" si="114"/>
        <v>94586.666666666672</v>
      </c>
      <c r="AY185" s="23">
        <f t="shared" si="115"/>
        <v>97690</v>
      </c>
      <c r="AZ185" s="23">
        <f t="shared" si="116"/>
        <v>91810</v>
      </c>
      <c r="BA185" s="23">
        <f>(AP184+AM184)/(1+1)</f>
        <v>96304.75</v>
      </c>
      <c r="BB185" s="43"/>
      <c r="BC185" s="51">
        <f t="shared" si="97"/>
        <v>94750</v>
      </c>
      <c r="BD185" s="52">
        <f t="shared" si="101"/>
        <v>96304.75</v>
      </c>
      <c r="BE185" s="37">
        <f t="shared" si="120"/>
        <v>-1554.75</v>
      </c>
      <c r="BF185">
        <f t="shared" si="121"/>
        <v>1554.75</v>
      </c>
      <c r="BG185">
        <f t="shared" si="122"/>
        <v>1.6408970976253299E-2</v>
      </c>
    </row>
    <row r="186" spans="1:59">
      <c r="A186" s="1" t="s">
        <v>187</v>
      </c>
      <c r="B186" s="1">
        <v>93290</v>
      </c>
      <c r="Q186">
        <v>183</v>
      </c>
      <c r="R186" s="27" t="str">
        <f t="shared" si="98"/>
        <v>01/03/2024</v>
      </c>
      <c r="S186" s="27">
        <f t="shared" si="98"/>
        <v>93030</v>
      </c>
      <c r="T186" s="4" t="str">
        <f t="shared" si="99"/>
        <v>A9</v>
      </c>
      <c r="V186">
        <v>183</v>
      </c>
      <c r="W186" s="28" t="str">
        <f t="shared" si="95"/>
        <v>01/03/2024</v>
      </c>
      <c r="X186" s="28">
        <f t="shared" si="95"/>
        <v>93030</v>
      </c>
      <c r="Y186" s="28" t="str">
        <f t="shared" si="95"/>
        <v>A9</v>
      </c>
      <c r="Z186" s="5" t="str">
        <f t="shared" si="102"/>
        <v>A9</v>
      </c>
      <c r="AA186" s="5" t="str">
        <f t="shared" si="100"/>
        <v>A9</v>
      </c>
      <c r="AG186" s="49" t="str">
        <f t="shared" si="94"/>
        <v>01/03/2024</v>
      </c>
      <c r="AH186" s="46">
        <f t="shared" si="94"/>
        <v>93030</v>
      </c>
      <c r="AI186" s="49" t="str">
        <f t="shared" si="94"/>
        <v>A9</v>
      </c>
      <c r="AJ186" s="49" t="str">
        <f t="shared" si="103"/>
        <v>A9</v>
      </c>
      <c r="AK186" s="50">
        <f t="shared" si="125"/>
        <v>91953.5</v>
      </c>
      <c r="AL186" s="49" t="str">
        <f t="shared" si="117"/>
        <v>A9</v>
      </c>
      <c r="AM186" s="50">
        <f t="shared" si="105"/>
        <v>91953.5</v>
      </c>
      <c r="AN186" s="56">
        <f t="shared" si="118"/>
        <v>1300</v>
      </c>
      <c r="AO186" s="57">
        <f t="shared" si="119"/>
        <v>93680</v>
      </c>
      <c r="AP186" s="23">
        <f t="shared" si="106"/>
        <v>92380</v>
      </c>
      <c r="AQ186" s="23">
        <f t="shared" si="107"/>
        <v>94330</v>
      </c>
      <c r="AR186" s="23">
        <f t="shared" si="108"/>
        <v>91730</v>
      </c>
      <c r="AS186" s="23">
        <f t="shared" si="109"/>
        <v>93355</v>
      </c>
      <c r="AT186" s="23">
        <f t="shared" si="110"/>
        <v>92705</v>
      </c>
      <c r="AU186" s="23">
        <f t="shared" si="111"/>
        <v>95630</v>
      </c>
      <c r="AV186" s="23">
        <f t="shared" si="112"/>
        <v>90430</v>
      </c>
      <c r="AW186" s="23">
        <f t="shared" si="113"/>
        <v>93246.666666666672</v>
      </c>
      <c r="AX186" s="23">
        <f t="shared" si="114"/>
        <v>92813.333333333328</v>
      </c>
      <c r="AY186" s="23">
        <f t="shared" si="115"/>
        <v>96930</v>
      </c>
      <c r="AZ186" s="23">
        <f t="shared" si="116"/>
        <v>89130</v>
      </c>
      <c r="BA186" s="23">
        <f t="shared" ref="BA186:BA200" si="126">(AO185+AM185)/(1+1)</f>
        <v>93596.75</v>
      </c>
      <c r="BB186" s="43"/>
      <c r="BC186" s="51">
        <f t="shared" si="97"/>
        <v>93030</v>
      </c>
      <c r="BD186" s="52">
        <f t="shared" si="101"/>
        <v>93596.75</v>
      </c>
      <c r="BE186" s="37">
        <f t="shared" si="120"/>
        <v>-566.75</v>
      </c>
      <c r="BF186">
        <f t="shared" si="121"/>
        <v>566.75</v>
      </c>
      <c r="BG186">
        <f t="shared" si="122"/>
        <v>6.0921208212404597E-3</v>
      </c>
    </row>
    <row r="187" spans="1:59">
      <c r="A187" s="1" t="s">
        <v>188</v>
      </c>
      <c r="B187" s="1">
        <v>92880</v>
      </c>
      <c r="Q187">
        <v>184</v>
      </c>
      <c r="R187" s="27" t="str">
        <f t="shared" si="98"/>
        <v>02/03/2024</v>
      </c>
      <c r="S187" s="27">
        <f t="shared" si="98"/>
        <v>92790</v>
      </c>
      <c r="T187" s="4" t="str">
        <f t="shared" si="99"/>
        <v>A9</v>
      </c>
      <c r="V187">
        <v>184</v>
      </c>
      <c r="W187" s="28" t="str">
        <f t="shared" si="95"/>
        <v>02/03/2024</v>
      </c>
      <c r="X187" s="28">
        <f t="shared" si="95"/>
        <v>92790</v>
      </c>
      <c r="Y187" s="28" t="str">
        <f t="shared" si="95"/>
        <v>A9</v>
      </c>
      <c r="Z187" s="5" t="str">
        <f t="shared" si="102"/>
        <v>A9</v>
      </c>
      <c r="AA187" s="5" t="str">
        <f t="shared" si="100"/>
        <v>A9</v>
      </c>
      <c r="AG187" s="49" t="str">
        <f t="shared" si="94"/>
        <v>02/03/2024</v>
      </c>
      <c r="AH187" s="46">
        <f t="shared" si="94"/>
        <v>92790</v>
      </c>
      <c r="AI187" s="49" t="str">
        <f t="shared" si="94"/>
        <v>A9</v>
      </c>
      <c r="AJ187" s="49" t="str">
        <f t="shared" si="103"/>
        <v>A9</v>
      </c>
      <c r="AK187" s="50">
        <f t="shared" si="125"/>
        <v>91953.5</v>
      </c>
      <c r="AL187" s="49" t="str">
        <f t="shared" si="117"/>
        <v>A9</v>
      </c>
      <c r="AM187" s="50">
        <f t="shared" si="105"/>
        <v>91953.5</v>
      </c>
      <c r="AN187" s="56">
        <f t="shared" si="118"/>
        <v>1480</v>
      </c>
      <c r="AO187" s="57">
        <f t="shared" si="119"/>
        <v>93530</v>
      </c>
      <c r="AP187" s="23">
        <f t="shared" si="106"/>
        <v>92050</v>
      </c>
      <c r="AQ187" s="23">
        <f t="shared" si="107"/>
        <v>94270</v>
      </c>
      <c r="AR187" s="23">
        <f t="shared" si="108"/>
        <v>91310</v>
      </c>
      <c r="AS187" s="23">
        <f t="shared" si="109"/>
        <v>93160</v>
      </c>
      <c r="AT187" s="23">
        <f t="shared" si="110"/>
        <v>92420</v>
      </c>
      <c r="AU187" s="23">
        <f t="shared" si="111"/>
        <v>95750</v>
      </c>
      <c r="AV187" s="23">
        <f t="shared" si="112"/>
        <v>89830</v>
      </c>
      <c r="AW187" s="23">
        <f t="shared" si="113"/>
        <v>93036.666666666672</v>
      </c>
      <c r="AX187" s="23">
        <f t="shared" si="114"/>
        <v>92543.333333333328</v>
      </c>
      <c r="AY187" s="23">
        <f t="shared" si="115"/>
        <v>97230</v>
      </c>
      <c r="AZ187" s="23">
        <f t="shared" si="116"/>
        <v>88350</v>
      </c>
      <c r="BA187" s="23">
        <f t="shared" si="126"/>
        <v>92816.75</v>
      </c>
      <c r="BB187" s="43"/>
      <c r="BC187" s="51">
        <f t="shared" si="97"/>
        <v>92790</v>
      </c>
      <c r="BD187" s="52">
        <f t="shared" si="101"/>
        <v>92816.75</v>
      </c>
      <c r="BE187" s="37">
        <f t="shared" si="120"/>
        <v>-26.75</v>
      </c>
      <c r="BF187">
        <f t="shared" si="121"/>
        <v>26.75</v>
      </c>
      <c r="BG187">
        <f t="shared" si="122"/>
        <v>2.88285375579265E-4</v>
      </c>
    </row>
    <row r="188" spans="1:59">
      <c r="A188" s="1" t="s">
        <v>189</v>
      </c>
      <c r="B188" s="1">
        <v>94440</v>
      </c>
      <c r="Q188">
        <v>185</v>
      </c>
      <c r="R188" s="27" t="str">
        <f t="shared" si="98"/>
        <v>03/03/2024</v>
      </c>
      <c r="S188" s="27">
        <f t="shared" si="98"/>
        <v>93290</v>
      </c>
      <c r="T188" s="4" t="str">
        <f t="shared" si="99"/>
        <v>A9</v>
      </c>
      <c r="V188">
        <v>185</v>
      </c>
      <c r="W188" s="28" t="str">
        <f t="shared" si="95"/>
        <v>03/03/2024</v>
      </c>
      <c r="X188" s="28">
        <f t="shared" si="95"/>
        <v>93290</v>
      </c>
      <c r="Y188" s="28" t="str">
        <f t="shared" si="95"/>
        <v>A9</v>
      </c>
      <c r="Z188" s="5" t="str">
        <f t="shared" si="102"/>
        <v>A9</v>
      </c>
      <c r="AA188" s="5" t="str">
        <f t="shared" si="100"/>
        <v>A9</v>
      </c>
      <c r="AG188" s="49" t="str">
        <f t="shared" si="94"/>
        <v>03/03/2024</v>
      </c>
      <c r="AH188" s="46">
        <f t="shared" si="94"/>
        <v>93290</v>
      </c>
      <c r="AI188" s="49" t="str">
        <f t="shared" si="94"/>
        <v>A9</v>
      </c>
      <c r="AJ188" s="49" t="str">
        <f t="shared" si="103"/>
        <v>A9</v>
      </c>
      <c r="AK188" s="50">
        <f t="shared" si="125"/>
        <v>91953.5</v>
      </c>
      <c r="AL188" s="49" t="str">
        <f t="shared" si="117"/>
        <v>A9</v>
      </c>
      <c r="AM188" s="50">
        <f t="shared" si="105"/>
        <v>91953.5</v>
      </c>
      <c r="AN188" s="56">
        <f t="shared" si="118"/>
        <v>260</v>
      </c>
      <c r="AO188" s="57">
        <f t="shared" si="119"/>
        <v>93420</v>
      </c>
      <c r="AP188" s="23">
        <f t="shared" si="106"/>
        <v>93160</v>
      </c>
      <c r="AQ188" s="23">
        <f t="shared" si="107"/>
        <v>93550</v>
      </c>
      <c r="AR188" s="23">
        <f t="shared" si="108"/>
        <v>93030</v>
      </c>
      <c r="AS188" s="23">
        <f t="shared" si="109"/>
        <v>93355</v>
      </c>
      <c r="AT188" s="23">
        <f t="shared" si="110"/>
        <v>93225</v>
      </c>
      <c r="AU188" s="23">
        <f t="shared" si="111"/>
        <v>93810</v>
      </c>
      <c r="AV188" s="23">
        <f t="shared" si="112"/>
        <v>92770</v>
      </c>
      <c r="AW188" s="23">
        <f t="shared" si="113"/>
        <v>93333.333333333328</v>
      </c>
      <c r="AX188" s="23">
        <f t="shared" si="114"/>
        <v>93246.666666666672</v>
      </c>
      <c r="AY188" s="23">
        <f t="shared" si="115"/>
        <v>94070</v>
      </c>
      <c r="AZ188" s="23">
        <f t="shared" si="116"/>
        <v>92510</v>
      </c>
      <c r="BA188" s="23">
        <f t="shared" si="126"/>
        <v>92741.75</v>
      </c>
      <c r="BB188" s="43"/>
      <c r="BC188" s="51">
        <f t="shared" si="97"/>
        <v>93290</v>
      </c>
      <c r="BD188" s="52">
        <f t="shared" si="101"/>
        <v>92741.75</v>
      </c>
      <c r="BE188" s="37">
        <f t="shared" si="120"/>
        <v>548.25</v>
      </c>
      <c r="BF188">
        <f t="shared" si="121"/>
        <v>548.25</v>
      </c>
      <c r="BG188">
        <f t="shared" si="122"/>
        <v>5.876835673705649E-3</v>
      </c>
    </row>
    <row r="189" spans="1:59">
      <c r="A189" s="1" t="s">
        <v>190</v>
      </c>
      <c r="B189" s="1">
        <v>93290</v>
      </c>
      <c r="Q189">
        <v>186</v>
      </c>
      <c r="R189" s="27" t="str">
        <f t="shared" si="98"/>
        <v>04/03/2024</v>
      </c>
      <c r="S189" s="27">
        <f t="shared" si="98"/>
        <v>92880</v>
      </c>
      <c r="T189" s="4" t="str">
        <f t="shared" si="99"/>
        <v>A9</v>
      </c>
      <c r="V189">
        <v>186</v>
      </c>
      <c r="W189" s="28" t="str">
        <f t="shared" si="95"/>
        <v>04/03/2024</v>
      </c>
      <c r="X189" s="28">
        <f t="shared" si="95"/>
        <v>92880</v>
      </c>
      <c r="Y189" s="28" t="str">
        <f t="shared" si="95"/>
        <v>A9</v>
      </c>
      <c r="Z189" s="5" t="str">
        <f t="shared" si="102"/>
        <v>A9</v>
      </c>
      <c r="AA189" s="5" t="str">
        <f t="shared" si="100"/>
        <v>A9</v>
      </c>
      <c r="AG189" s="49" t="str">
        <f t="shared" si="94"/>
        <v>04/03/2024</v>
      </c>
      <c r="AH189" s="46">
        <f t="shared" si="94"/>
        <v>92880</v>
      </c>
      <c r="AI189" s="49" t="str">
        <f t="shared" si="94"/>
        <v>A9</v>
      </c>
      <c r="AJ189" s="49" t="str">
        <f t="shared" si="103"/>
        <v>A9</v>
      </c>
      <c r="AK189" s="50">
        <f t="shared" si="125"/>
        <v>91953.5</v>
      </c>
      <c r="AL189" s="49" t="str">
        <f t="shared" si="117"/>
        <v>A9</v>
      </c>
      <c r="AM189" s="50">
        <f t="shared" si="105"/>
        <v>91953.5</v>
      </c>
      <c r="AN189" s="56">
        <f t="shared" si="118"/>
        <v>90</v>
      </c>
      <c r="AO189" s="57">
        <f t="shared" si="119"/>
        <v>92925</v>
      </c>
      <c r="AP189" s="23">
        <f t="shared" si="106"/>
        <v>92835</v>
      </c>
      <c r="AQ189" s="23">
        <f t="shared" si="107"/>
        <v>92970</v>
      </c>
      <c r="AR189" s="23">
        <f t="shared" si="108"/>
        <v>92790</v>
      </c>
      <c r="AS189" s="23">
        <f t="shared" si="109"/>
        <v>92902.5</v>
      </c>
      <c r="AT189" s="23">
        <f t="shared" si="110"/>
        <v>92857.5</v>
      </c>
      <c r="AU189" s="23">
        <f t="shared" si="111"/>
        <v>93060</v>
      </c>
      <c r="AV189" s="23">
        <f t="shared" si="112"/>
        <v>92700</v>
      </c>
      <c r="AW189" s="23">
        <f t="shared" si="113"/>
        <v>92895</v>
      </c>
      <c r="AX189" s="23">
        <f t="shared" si="114"/>
        <v>92865</v>
      </c>
      <c r="AY189" s="23">
        <f t="shared" si="115"/>
        <v>93150</v>
      </c>
      <c r="AZ189" s="23">
        <f t="shared" si="116"/>
        <v>92610</v>
      </c>
      <c r="BA189" s="23">
        <f t="shared" si="126"/>
        <v>92686.75</v>
      </c>
      <c r="BB189" s="43"/>
      <c r="BC189" s="51">
        <f t="shared" si="97"/>
        <v>92880</v>
      </c>
      <c r="BD189" s="52">
        <f t="shared" si="101"/>
        <v>92686.75</v>
      </c>
      <c r="BE189" s="37">
        <f t="shared" si="120"/>
        <v>193.25</v>
      </c>
      <c r="BF189">
        <f t="shared" si="121"/>
        <v>193.25</v>
      </c>
      <c r="BG189">
        <f t="shared" si="122"/>
        <v>2.0806416881998277E-3</v>
      </c>
    </row>
    <row r="190" spans="1:59">
      <c r="A190" s="1" t="s">
        <v>191</v>
      </c>
      <c r="B190" s="1">
        <v>91210</v>
      </c>
      <c r="Q190">
        <v>187</v>
      </c>
      <c r="R190" s="27" t="str">
        <f t="shared" si="98"/>
        <v>05/03/2024</v>
      </c>
      <c r="S190" s="27">
        <f t="shared" si="98"/>
        <v>94440</v>
      </c>
      <c r="T190" s="4" t="str">
        <f t="shared" si="99"/>
        <v>A9</v>
      </c>
      <c r="V190">
        <v>187</v>
      </c>
      <c r="W190" s="28" t="str">
        <f t="shared" si="95"/>
        <v>05/03/2024</v>
      </c>
      <c r="X190" s="28">
        <f t="shared" si="95"/>
        <v>94440</v>
      </c>
      <c r="Y190" s="28" t="str">
        <f t="shared" si="95"/>
        <v>A9</v>
      </c>
      <c r="Z190" s="5" t="str">
        <f t="shared" si="102"/>
        <v>A9</v>
      </c>
      <c r="AA190" s="5" t="str">
        <f t="shared" si="100"/>
        <v>A9</v>
      </c>
      <c r="AG190" s="49" t="str">
        <f t="shared" si="94"/>
        <v>05/03/2024</v>
      </c>
      <c r="AH190" s="46">
        <f t="shared" si="94"/>
        <v>94440</v>
      </c>
      <c r="AI190" s="49" t="str">
        <f t="shared" si="94"/>
        <v>A9</v>
      </c>
      <c r="AJ190" s="49" t="str">
        <f t="shared" si="103"/>
        <v>A9</v>
      </c>
      <c r="AK190" s="50">
        <f t="shared" si="125"/>
        <v>91953.5</v>
      </c>
      <c r="AL190" s="49" t="str">
        <f t="shared" si="117"/>
        <v>A9</v>
      </c>
      <c r="AM190" s="50">
        <f t="shared" si="105"/>
        <v>91953.5</v>
      </c>
      <c r="AN190" s="56">
        <f t="shared" si="118"/>
        <v>1150</v>
      </c>
      <c r="AO190" s="57">
        <f t="shared" si="119"/>
        <v>95015</v>
      </c>
      <c r="AP190" s="23">
        <f t="shared" si="106"/>
        <v>93865</v>
      </c>
      <c r="AQ190" s="23">
        <f t="shared" si="107"/>
        <v>95590</v>
      </c>
      <c r="AR190" s="23">
        <f t="shared" si="108"/>
        <v>93290</v>
      </c>
      <c r="AS190" s="23">
        <f t="shared" si="109"/>
        <v>94727.5</v>
      </c>
      <c r="AT190" s="23">
        <f t="shared" si="110"/>
        <v>94152.5</v>
      </c>
      <c r="AU190" s="23">
        <f t="shared" si="111"/>
        <v>96740</v>
      </c>
      <c r="AV190" s="23">
        <f t="shared" si="112"/>
        <v>92140</v>
      </c>
      <c r="AW190" s="23">
        <f t="shared" si="113"/>
        <v>94631.666666666672</v>
      </c>
      <c r="AX190" s="23">
        <f t="shared" si="114"/>
        <v>94248.333333333328</v>
      </c>
      <c r="AY190" s="23">
        <f t="shared" si="115"/>
        <v>97890</v>
      </c>
      <c r="AZ190" s="23">
        <f t="shared" si="116"/>
        <v>90990</v>
      </c>
      <c r="BA190" s="23">
        <f t="shared" si="126"/>
        <v>92439.25</v>
      </c>
      <c r="BB190" s="43"/>
      <c r="BC190" s="51">
        <f t="shared" si="97"/>
        <v>94440</v>
      </c>
      <c r="BD190" s="52">
        <f t="shared" si="101"/>
        <v>92439.25</v>
      </c>
      <c r="BE190" s="37">
        <f t="shared" si="120"/>
        <v>2000.75</v>
      </c>
      <c r="BF190">
        <f t="shared" si="121"/>
        <v>2000.75</v>
      </c>
      <c r="BG190">
        <f t="shared" si="122"/>
        <v>2.1185408725116477E-2</v>
      </c>
    </row>
    <row r="191" spans="1:59">
      <c r="A191" s="1" t="s">
        <v>192</v>
      </c>
      <c r="B191" s="1">
        <v>93210</v>
      </c>
      <c r="Q191">
        <v>188</v>
      </c>
      <c r="R191" s="27" t="str">
        <f t="shared" si="98"/>
        <v>06/03/2024</v>
      </c>
      <c r="S191" s="27">
        <f t="shared" si="98"/>
        <v>93290</v>
      </c>
      <c r="T191" s="4" t="str">
        <f t="shared" si="99"/>
        <v>A9</v>
      </c>
      <c r="V191">
        <v>188</v>
      </c>
      <c r="W191" s="28" t="str">
        <f t="shared" si="95"/>
        <v>06/03/2024</v>
      </c>
      <c r="X191" s="28">
        <f t="shared" si="95"/>
        <v>93290</v>
      </c>
      <c r="Y191" s="28" t="str">
        <f t="shared" si="95"/>
        <v>A9</v>
      </c>
      <c r="Z191" s="5" t="str">
        <f t="shared" si="102"/>
        <v>A9</v>
      </c>
      <c r="AA191" s="5" t="str">
        <f t="shared" si="100"/>
        <v>A9</v>
      </c>
      <c r="AG191" s="49" t="str">
        <f t="shared" si="94"/>
        <v>06/03/2024</v>
      </c>
      <c r="AH191" s="46">
        <f t="shared" si="94"/>
        <v>93290</v>
      </c>
      <c r="AI191" s="49" t="str">
        <f t="shared" si="94"/>
        <v>A9</v>
      </c>
      <c r="AJ191" s="49" t="str">
        <f t="shared" si="103"/>
        <v>A9</v>
      </c>
      <c r="AK191" s="50">
        <f t="shared" si="125"/>
        <v>91953.5</v>
      </c>
      <c r="AL191" s="49" t="str">
        <f t="shared" si="117"/>
        <v>A9</v>
      </c>
      <c r="AM191" s="50">
        <f t="shared" si="105"/>
        <v>91953.5</v>
      </c>
      <c r="AN191" s="56">
        <f t="shared" si="118"/>
        <v>410</v>
      </c>
      <c r="AO191" s="57">
        <f t="shared" si="119"/>
        <v>93495</v>
      </c>
      <c r="AP191" s="23">
        <f t="shared" si="106"/>
        <v>93085</v>
      </c>
      <c r="AQ191" s="23">
        <f t="shared" si="107"/>
        <v>93700</v>
      </c>
      <c r="AR191" s="23">
        <f t="shared" si="108"/>
        <v>92880</v>
      </c>
      <c r="AS191" s="23">
        <f t="shared" si="109"/>
        <v>93392.5</v>
      </c>
      <c r="AT191" s="23">
        <f t="shared" si="110"/>
        <v>93187.5</v>
      </c>
      <c r="AU191" s="23">
        <f t="shared" si="111"/>
        <v>94110</v>
      </c>
      <c r="AV191" s="23">
        <f t="shared" si="112"/>
        <v>92470</v>
      </c>
      <c r="AW191" s="23">
        <f t="shared" si="113"/>
        <v>93358.333333333328</v>
      </c>
      <c r="AX191" s="23">
        <f t="shared" si="114"/>
        <v>93221.666666666672</v>
      </c>
      <c r="AY191" s="23">
        <f t="shared" si="115"/>
        <v>94520</v>
      </c>
      <c r="AZ191" s="23">
        <f t="shared" si="116"/>
        <v>92060</v>
      </c>
      <c r="BA191" s="23">
        <f t="shared" si="126"/>
        <v>93484.25</v>
      </c>
      <c r="BB191" s="43"/>
      <c r="BC191" s="51">
        <f t="shared" si="97"/>
        <v>93290</v>
      </c>
      <c r="BD191" s="52">
        <f t="shared" si="101"/>
        <v>93484.25</v>
      </c>
      <c r="BE191" s="37">
        <f t="shared" si="120"/>
        <v>-194.25</v>
      </c>
      <c r="BF191">
        <f t="shared" si="121"/>
        <v>194.25</v>
      </c>
      <c r="BG191">
        <f t="shared" si="122"/>
        <v>2.0822167434880481E-3</v>
      </c>
    </row>
    <row r="192" spans="1:59">
      <c r="A192" s="1" t="s">
        <v>193</v>
      </c>
      <c r="B192" s="1">
        <v>93470</v>
      </c>
      <c r="Q192">
        <v>189</v>
      </c>
      <c r="R192" s="27" t="str">
        <f t="shared" si="98"/>
        <v>07/03/2024</v>
      </c>
      <c r="S192" s="27">
        <f t="shared" si="98"/>
        <v>91210</v>
      </c>
      <c r="T192" s="4" t="str">
        <f t="shared" si="99"/>
        <v>A9</v>
      </c>
      <c r="V192">
        <v>189</v>
      </c>
      <c r="W192" s="28" t="str">
        <f t="shared" si="95"/>
        <v>07/03/2024</v>
      </c>
      <c r="X192" s="28">
        <f t="shared" si="95"/>
        <v>91210</v>
      </c>
      <c r="Y192" s="28" t="str">
        <f t="shared" si="95"/>
        <v>A9</v>
      </c>
      <c r="Z192" s="5" t="str">
        <f t="shared" si="102"/>
        <v>A9</v>
      </c>
      <c r="AA192" s="5" t="str">
        <f t="shared" si="100"/>
        <v>A9</v>
      </c>
      <c r="AG192" s="49" t="str">
        <f t="shared" ref="AG192:AI255" si="127">W192</f>
        <v>07/03/2024</v>
      </c>
      <c r="AH192" s="46">
        <f t="shared" si="127"/>
        <v>91210</v>
      </c>
      <c r="AI192" s="49" t="str">
        <f t="shared" si="127"/>
        <v>A9</v>
      </c>
      <c r="AJ192" s="49" t="str">
        <f t="shared" si="103"/>
        <v>A9</v>
      </c>
      <c r="AK192" s="50">
        <f t="shared" si="125"/>
        <v>91953.5</v>
      </c>
      <c r="AL192" s="49" t="str">
        <f t="shared" si="117"/>
        <v>A9</v>
      </c>
      <c r="AM192" s="50">
        <f t="shared" si="105"/>
        <v>91953.5</v>
      </c>
      <c r="AN192" s="56">
        <f t="shared" si="118"/>
        <v>930</v>
      </c>
      <c r="AO192" s="57">
        <f t="shared" si="119"/>
        <v>91675</v>
      </c>
      <c r="AP192" s="23">
        <f t="shared" si="106"/>
        <v>90745</v>
      </c>
      <c r="AQ192" s="23">
        <f t="shared" si="107"/>
        <v>92140</v>
      </c>
      <c r="AR192" s="23">
        <f t="shared" si="108"/>
        <v>90280</v>
      </c>
      <c r="AS192" s="23">
        <f t="shared" si="109"/>
        <v>91442.5</v>
      </c>
      <c r="AT192" s="23">
        <f t="shared" si="110"/>
        <v>90977.5</v>
      </c>
      <c r="AU192" s="23">
        <f t="shared" si="111"/>
        <v>93070</v>
      </c>
      <c r="AV192" s="23">
        <f t="shared" si="112"/>
        <v>89350</v>
      </c>
      <c r="AW192" s="23">
        <f t="shared" si="113"/>
        <v>91365</v>
      </c>
      <c r="AX192" s="23">
        <f t="shared" si="114"/>
        <v>91055</v>
      </c>
      <c r="AY192" s="23">
        <f t="shared" si="115"/>
        <v>94000</v>
      </c>
      <c r="AZ192" s="23">
        <f t="shared" si="116"/>
        <v>88420</v>
      </c>
      <c r="BA192" s="23">
        <f t="shared" si="126"/>
        <v>92724.25</v>
      </c>
      <c r="BB192" s="43"/>
      <c r="BC192" s="51">
        <f t="shared" si="97"/>
        <v>91210</v>
      </c>
      <c r="BD192" s="52">
        <f t="shared" si="101"/>
        <v>92724.25</v>
      </c>
      <c r="BE192" s="37">
        <f t="shared" si="120"/>
        <v>-1514.25</v>
      </c>
      <c r="BF192">
        <f t="shared" si="121"/>
        <v>1514.25</v>
      </c>
      <c r="BG192">
        <f t="shared" si="122"/>
        <v>1.6601798048459598E-2</v>
      </c>
    </row>
    <row r="193" spans="1:59">
      <c r="A193" s="1" t="s">
        <v>194</v>
      </c>
      <c r="B193" s="1">
        <v>94630</v>
      </c>
      <c r="Q193">
        <v>190</v>
      </c>
      <c r="R193" s="27" t="str">
        <f t="shared" si="98"/>
        <v>08/03/2024</v>
      </c>
      <c r="S193" s="27">
        <f t="shared" si="98"/>
        <v>93210</v>
      </c>
      <c r="T193" s="4" t="str">
        <f t="shared" si="99"/>
        <v>A9</v>
      </c>
      <c r="V193">
        <v>190</v>
      </c>
      <c r="W193" s="28" t="str">
        <f t="shared" si="95"/>
        <v>08/03/2024</v>
      </c>
      <c r="X193" s="28">
        <f t="shared" si="95"/>
        <v>93210</v>
      </c>
      <c r="Y193" s="28" t="str">
        <f t="shared" si="95"/>
        <v>A9</v>
      </c>
      <c r="Z193" s="5" t="str">
        <f t="shared" si="102"/>
        <v>A9</v>
      </c>
      <c r="AA193" s="5" t="str">
        <f t="shared" si="100"/>
        <v>A9</v>
      </c>
      <c r="AG193" s="49" t="str">
        <f t="shared" si="127"/>
        <v>08/03/2024</v>
      </c>
      <c r="AH193" s="46">
        <f t="shared" si="127"/>
        <v>93210</v>
      </c>
      <c r="AI193" s="49" t="str">
        <f t="shared" si="127"/>
        <v>A9</v>
      </c>
      <c r="AJ193" s="49" t="str">
        <f t="shared" si="103"/>
        <v>A9</v>
      </c>
      <c r="AK193" s="50">
        <f t="shared" si="125"/>
        <v>91953.5</v>
      </c>
      <c r="AL193" s="49" t="str">
        <f t="shared" si="117"/>
        <v>A9</v>
      </c>
      <c r="AM193" s="50">
        <f t="shared" si="105"/>
        <v>91953.5</v>
      </c>
      <c r="AN193" s="56">
        <f t="shared" si="118"/>
        <v>80</v>
      </c>
      <c r="AO193" s="57">
        <f t="shared" si="119"/>
        <v>93250</v>
      </c>
      <c r="AP193" s="23">
        <f t="shared" si="106"/>
        <v>93170</v>
      </c>
      <c r="AQ193" s="23">
        <f t="shared" si="107"/>
        <v>93290</v>
      </c>
      <c r="AR193" s="23">
        <f t="shared" si="108"/>
        <v>93130</v>
      </c>
      <c r="AS193" s="23">
        <f t="shared" si="109"/>
        <v>93230</v>
      </c>
      <c r="AT193" s="23">
        <f t="shared" si="110"/>
        <v>93190</v>
      </c>
      <c r="AU193" s="23">
        <f t="shared" si="111"/>
        <v>93370</v>
      </c>
      <c r="AV193" s="23">
        <f t="shared" si="112"/>
        <v>93050</v>
      </c>
      <c r="AW193" s="23">
        <f t="shared" si="113"/>
        <v>93223.333333333328</v>
      </c>
      <c r="AX193" s="23">
        <f t="shared" si="114"/>
        <v>93196.666666666672</v>
      </c>
      <c r="AY193" s="23">
        <f t="shared" si="115"/>
        <v>93450</v>
      </c>
      <c r="AZ193" s="23">
        <f t="shared" si="116"/>
        <v>92970</v>
      </c>
      <c r="BA193" s="23">
        <f t="shared" si="126"/>
        <v>91814.25</v>
      </c>
      <c r="BB193" s="43"/>
      <c r="BC193" s="51">
        <f t="shared" si="97"/>
        <v>93210</v>
      </c>
      <c r="BD193" s="52">
        <f t="shared" si="101"/>
        <v>91814.25</v>
      </c>
      <c r="BE193" s="37">
        <f t="shared" si="120"/>
        <v>1395.75</v>
      </c>
      <c r="BF193">
        <f t="shared" si="121"/>
        <v>1395.75</v>
      </c>
      <c r="BG193">
        <f t="shared" si="122"/>
        <v>1.4974251689732862E-2</v>
      </c>
    </row>
    <row r="194" spans="1:59">
      <c r="A194" s="1" t="s">
        <v>195</v>
      </c>
      <c r="B194" s="1">
        <v>94300</v>
      </c>
      <c r="Q194">
        <v>191</v>
      </c>
      <c r="R194" s="27" t="str">
        <f t="shared" si="98"/>
        <v>09/03/2024</v>
      </c>
      <c r="S194" s="27">
        <f t="shared" si="98"/>
        <v>93470</v>
      </c>
      <c r="T194" s="4" t="str">
        <f t="shared" si="99"/>
        <v>A9</v>
      </c>
      <c r="V194">
        <v>191</v>
      </c>
      <c r="W194" s="28" t="str">
        <f t="shared" si="95"/>
        <v>09/03/2024</v>
      </c>
      <c r="X194" s="28">
        <f t="shared" si="95"/>
        <v>93470</v>
      </c>
      <c r="Y194" s="28" t="str">
        <f t="shared" si="95"/>
        <v>A9</v>
      </c>
      <c r="Z194" s="5" t="str">
        <f t="shared" si="102"/>
        <v>A9</v>
      </c>
      <c r="AA194" s="5" t="str">
        <f t="shared" si="100"/>
        <v>A9</v>
      </c>
      <c r="AG194" s="49" t="str">
        <f t="shared" si="127"/>
        <v>09/03/2024</v>
      </c>
      <c r="AH194" s="46">
        <f t="shared" si="127"/>
        <v>93470</v>
      </c>
      <c r="AI194" s="49" t="str">
        <f t="shared" si="127"/>
        <v>A9</v>
      </c>
      <c r="AJ194" s="49" t="str">
        <f t="shared" si="103"/>
        <v>A9</v>
      </c>
      <c r="AK194" s="50">
        <f t="shared" si="125"/>
        <v>91953.5</v>
      </c>
      <c r="AL194" s="49" t="str">
        <f t="shared" si="117"/>
        <v>A9</v>
      </c>
      <c r="AM194" s="50">
        <f t="shared" si="105"/>
        <v>91953.5</v>
      </c>
      <c r="AN194" s="56">
        <f t="shared" si="118"/>
        <v>1740</v>
      </c>
      <c r="AO194" s="57">
        <f t="shared" si="119"/>
        <v>94340</v>
      </c>
      <c r="AP194" s="23">
        <f t="shared" si="106"/>
        <v>92600</v>
      </c>
      <c r="AQ194" s="23">
        <f t="shared" si="107"/>
        <v>95210</v>
      </c>
      <c r="AR194" s="23">
        <f t="shared" si="108"/>
        <v>91730</v>
      </c>
      <c r="AS194" s="23">
        <f t="shared" si="109"/>
        <v>93905</v>
      </c>
      <c r="AT194" s="23">
        <f t="shared" si="110"/>
        <v>93035</v>
      </c>
      <c r="AU194" s="23">
        <f t="shared" si="111"/>
        <v>96950</v>
      </c>
      <c r="AV194" s="23">
        <f t="shared" si="112"/>
        <v>89990</v>
      </c>
      <c r="AW194" s="23">
        <f t="shared" si="113"/>
        <v>93760</v>
      </c>
      <c r="AX194" s="23">
        <f t="shared" si="114"/>
        <v>93180</v>
      </c>
      <c r="AY194" s="23">
        <f t="shared" si="115"/>
        <v>98690</v>
      </c>
      <c r="AZ194" s="23">
        <f t="shared" si="116"/>
        <v>88250</v>
      </c>
      <c r="BA194" s="23">
        <f t="shared" si="126"/>
        <v>92601.75</v>
      </c>
      <c r="BB194" s="43"/>
      <c r="BC194" s="51">
        <f t="shared" si="97"/>
        <v>93470</v>
      </c>
      <c r="BD194" s="52">
        <f t="shared" si="101"/>
        <v>92601.75</v>
      </c>
      <c r="BE194" s="37">
        <f t="shared" si="120"/>
        <v>868.25</v>
      </c>
      <c r="BF194">
        <f t="shared" si="121"/>
        <v>868.25</v>
      </c>
      <c r="BG194">
        <f t="shared" si="122"/>
        <v>9.2890767091045254E-3</v>
      </c>
    </row>
    <row r="195" spans="1:59">
      <c r="A195" s="1" t="s">
        <v>196</v>
      </c>
      <c r="B195" s="1">
        <v>93830</v>
      </c>
      <c r="Q195">
        <v>192</v>
      </c>
      <c r="R195" s="27" t="str">
        <f t="shared" si="98"/>
        <v>10/03/2024</v>
      </c>
      <c r="S195" s="27">
        <f t="shared" si="98"/>
        <v>94630</v>
      </c>
      <c r="T195" s="4" t="str">
        <f t="shared" si="99"/>
        <v>A9</v>
      </c>
      <c r="V195">
        <v>192</v>
      </c>
      <c r="W195" s="28" t="str">
        <f t="shared" si="95"/>
        <v>10/03/2024</v>
      </c>
      <c r="X195" s="28">
        <f t="shared" si="95"/>
        <v>94630</v>
      </c>
      <c r="Y195" s="28" t="str">
        <f t="shared" si="95"/>
        <v>A9</v>
      </c>
      <c r="Z195" s="5" t="str">
        <f t="shared" si="102"/>
        <v>A9</v>
      </c>
      <c r="AA195" s="5" t="str">
        <f t="shared" si="100"/>
        <v>A9</v>
      </c>
      <c r="AG195" s="49" t="str">
        <f t="shared" si="127"/>
        <v>10/03/2024</v>
      </c>
      <c r="AH195" s="46">
        <f t="shared" si="127"/>
        <v>94630</v>
      </c>
      <c r="AI195" s="49" t="str">
        <f t="shared" si="127"/>
        <v>A9</v>
      </c>
      <c r="AJ195" s="49" t="str">
        <f t="shared" si="103"/>
        <v>A9</v>
      </c>
      <c r="AK195" s="50">
        <f t="shared" si="125"/>
        <v>91953.5</v>
      </c>
      <c r="AL195" s="49" t="str">
        <f t="shared" si="117"/>
        <v>A9</v>
      </c>
      <c r="AM195" s="50">
        <f t="shared" si="105"/>
        <v>91953.5</v>
      </c>
      <c r="AN195" s="56">
        <f t="shared" si="118"/>
        <v>900</v>
      </c>
      <c r="AO195" s="57">
        <f t="shared" si="119"/>
        <v>95080</v>
      </c>
      <c r="AP195" s="23">
        <f t="shared" si="106"/>
        <v>94180</v>
      </c>
      <c r="AQ195" s="23">
        <f t="shared" si="107"/>
        <v>95530</v>
      </c>
      <c r="AR195" s="23">
        <f t="shared" si="108"/>
        <v>93730</v>
      </c>
      <c r="AS195" s="23">
        <f t="shared" si="109"/>
        <v>94855</v>
      </c>
      <c r="AT195" s="23">
        <f t="shared" si="110"/>
        <v>94405</v>
      </c>
      <c r="AU195" s="23">
        <f t="shared" si="111"/>
        <v>96430</v>
      </c>
      <c r="AV195" s="23">
        <f t="shared" si="112"/>
        <v>92830</v>
      </c>
      <c r="AW195" s="23">
        <f t="shared" si="113"/>
        <v>94780</v>
      </c>
      <c r="AX195" s="23">
        <f t="shared" si="114"/>
        <v>94480</v>
      </c>
      <c r="AY195" s="23">
        <f t="shared" si="115"/>
        <v>97330</v>
      </c>
      <c r="AZ195" s="23">
        <f t="shared" si="116"/>
        <v>91930</v>
      </c>
      <c r="BA195" s="23">
        <f t="shared" si="126"/>
        <v>93146.75</v>
      </c>
      <c r="BB195" s="43"/>
      <c r="BC195" s="51">
        <f t="shared" si="97"/>
        <v>94630</v>
      </c>
      <c r="BD195" s="52">
        <f t="shared" si="101"/>
        <v>93146.75</v>
      </c>
      <c r="BE195" s="37">
        <f t="shared" si="120"/>
        <v>1483.25</v>
      </c>
      <c r="BF195">
        <f t="shared" si="121"/>
        <v>1483.25</v>
      </c>
      <c r="BG195">
        <f t="shared" si="122"/>
        <v>1.5674204797632887E-2</v>
      </c>
    </row>
    <row r="196" spans="1:59">
      <c r="A196" s="1" t="s">
        <v>197</v>
      </c>
      <c r="B196" s="1">
        <v>85320</v>
      </c>
      <c r="Q196">
        <v>193</v>
      </c>
      <c r="R196" s="27" t="str">
        <f t="shared" si="98"/>
        <v>11/03/2024</v>
      </c>
      <c r="S196" s="27">
        <f t="shared" si="98"/>
        <v>94300</v>
      </c>
      <c r="T196" s="4" t="str">
        <f t="shared" si="99"/>
        <v>A9</v>
      </c>
      <c r="V196">
        <v>193</v>
      </c>
      <c r="W196" s="28" t="str">
        <f t="shared" ref="W196:Y259" si="128">R196</f>
        <v>11/03/2024</v>
      </c>
      <c r="X196" s="28">
        <f t="shared" si="128"/>
        <v>94300</v>
      </c>
      <c r="Y196" s="28" t="str">
        <f t="shared" si="128"/>
        <v>A9</v>
      </c>
      <c r="Z196" s="5" t="str">
        <f t="shared" si="102"/>
        <v>A9</v>
      </c>
      <c r="AA196" s="5" t="str">
        <f t="shared" si="100"/>
        <v>A9</v>
      </c>
      <c r="AG196" s="49" t="str">
        <f t="shared" si="127"/>
        <v>11/03/2024</v>
      </c>
      <c r="AH196" s="46">
        <f t="shared" si="127"/>
        <v>94300</v>
      </c>
      <c r="AI196" s="49" t="str">
        <f t="shared" si="127"/>
        <v>A9</v>
      </c>
      <c r="AJ196" s="49" t="str">
        <f t="shared" si="103"/>
        <v>A9</v>
      </c>
      <c r="AK196" s="50">
        <f t="shared" si="125"/>
        <v>91953.5</v>
      </c>
      <c r="AL196" s="49" t="str">
        <f t="shared" si="117"/>
        <v>A9</v>
      </c>
      <c r="AM196" s="50">
        <f t="shared" si="105"/>
        <v>91953.5</v>
      </c>
      <c r="AN196" s="56">
        <f t="shared" si="118"/>
        <v>830</v>
      </c>
      <c r="AO196" s="57">
        <f t="shared" si="119"/>
        <v>94715</v>
      </c>
      <c r="AP196" s="23">
        <f t="shared" si="106"/>
        <v>93885</v>
      </c>
      <c r="AQ196" s="23">
        <f t="shared" si="107"/>
        <v>95130</v>
      </c>
      <c r="AR196" s="23">
        <f t="shared" si="108"/>
        <v>93470</v>
      </c>
      <c r="AS196" s="23">
        <f t="shared" si="109"/>
        <v>94507.5</v>
      </c>
      <c r="AT196" s="23">
        <f t="shared" si="110"/>
        <v>94092.5</v>
      </c>
      <c r="AU196" s="23">
        <f t="shared" si="111"/>
        <v>95960</v>
      </c>
      <c r="AV196" s="23">
        <f t="shared" si="112"/>
        <v>92640</v>
      </c>
      <c r="AW196" s="23">
        <f t="shared" si="113"/>
        <v>94438.333333333328</v>
      </c>
      <c r="AX196" s="23">
        <f t="shared" si="114"/>
        <v>94161.666666666672</v>
      </c>
      <c r="AY196" s="23">
        <f t="shared" si="115"/>
        <v>96790</v>
      </c>
      <c r="AZ196" s="23">
        <f t="shared" si="116"/>
        <v>91810</v>
      </c>
      <c r="BA196" s="23">
        <f t="shared" si="126"/>
        <v>93516.75</v>
      </c>
      <c r="BB196" s="43"/>
      <c r="BC196" s="51">
        <f t="shared" ref="BC196:BC259" si="129">AH196</f>
        <v>94300</v>
      </c>
      <c r="BD196" s="52">
        <f t="shared" si="101"/>
        <v>93516.75</v>
      </c>
      <c r="BE196" s="37">
        <f t="shared" si="120"/>
        <v>783.25</v>
      </c>
      <c r="BF196">
        <f t="shared" si="121"/>
        <v>783.25</v>
      </c>
      <c r="BG196">
        <f t="shared" si="122"/>
        <v>8.3059384941675512E-3</v>
      </c>
    </row>
    <row r="197" spans="1:59">
      <c r="A197" s="1" t="s">
        <v>198</v>
      </c>
      <c r="B197" s="1">
        <v>97470</v>
      </c>
      <c r="Q197">
        <v>194</v>
      </c>
      <c r="R197" s="27" t="str">
        <f t="shared" ref="R197:S260" si="130">A195</f>
        <v>12/03/2024</v>
      </c>
      <c r="S197" s="27">
        <f t="shared" si="130"/>
        <v>93830</v>
      </c>
      <c r="T197" s="4" t="str">
        <f t="shared" ref="T197:T260" si="131">VLOOKUP(S197,$N$5:$O$14,2,TRUE)</f>
        <v>A9</v>
      </c>
      <c r="V197">
        <v>194</v>
      </c>
      <c r="W197" s="28" t="str">
        <f t="shared" si="128"/>
        <v>12/03/2024</v>
      </c>
      <c r="X197" s="28">
        <f t="shared" si="128"/>
        <v>93830</v>
      </c>
      <c r="Y197" s="28" t="str">
        <f t="shared" si="128"/>
        <v>A9</v>
      </c>
      <c r="Z197" s="5" t="str">
        <f t="shared" si="102"/>
        <v>A9</v>
      </c>
      <c r="AA197" s="5" t="str">
        <f t="shared" ref="AA197:AA260" si="132">Y197</f>
        <v>A9</v>
      </c>
      <c r="AG197" s="49" t="str">
        <f t="shared" si="127"/>
        <v>12/03/2024</v>
      </c>
      <c r="AH197" s="46">
        <f t="shared" si="127"/>
        <v>93830</v>
      </c>
      <c r="AI197" s="49" t="str">
        <f t="shared" si="127"/>
        <v>A9</v>
      </c>
      <c r="AJ197" s="49" t="str">
        <f t="shared" si="103"/>
        <v>A9</v>
      </c>
      <c r="AK197" s="50">
        <f t="shared" si="125"/>
        <v>91953.5</v>
      </c>
      <c r="AL197" s="49" t="str">
        <f t="shared" si="117"/>
        <v>A9</v>
      </c>
      <c r="AM197" s="50">
        <f t="shared" si="105"/>
        <v>91953.5</v>
      </c>
      <c r="AN197" s="56">
        <f t="shared" si="118"/>
        <v>140</v>
      </c>
      <c r="AO197" s="57">
        <f t="shared" si="119"/>
        <v>93900</v>
      </c>
      <c r="AP197" s="23">
        <f t="shared" si="106"/>
        <v>93760</v>
      </c>
      <c r="AQ197" s="23">
        <f t="shared" si="107"/>
        <v>93970</v>
      </c>
      <c r="AR197" s="23">
        <f t="shared" si="108"/>
        <v>93690</v>
      </c>
      <c r="AS197" s="23">
        <f t="shared" si="109"/>
        <v>93865</v>
      </c>
      <c r="AT197" s="23">
        <f t="shared" si="110"/>
        <v>93795</v>
      </c>
      <c r="AU197" s="23">
        <f t="shared" si="111"/>
        <v>94110</v>
      </c>
      <c r="AV197" s="23">
        <f t="shared" si="112"/>
        <v>93550</v>
      </c>
      <c r="AW197" s="23">
        <f t="shared" si="113"/>
        <v>93853.333333333328</v>
      </c>
      <c r="AX197" s="23">
        <f t="shared" si="114"/>
        <v>93806.666666666672</v>
      </c>
      <c r="AY197" s="23">
        <f t="shared" si="115"/>
        <v>94250</v>
      </c>
      <c r="AZ197" s="23">
        <f t="shared" si="116"/>
        <v>93410</v>
      </c>
      <c r="BA197" s="23">
        <f t="shared" si="126"/>
        <v>93334.25</v>
      </c>
      <c r="BB197" s="43"/>
      <c r="BC197" s="51">
        <f t="shared" si="129"/>
        <v>93830</v>
      </c>
      <c r="BD197" s="52">
        <f t="shared" ref="BD197:BD260" si="133">BA197</f>
        <v>93334.25</v>
      </c>
      <c r="BE197" s="37">
        <f t="shared" si="120"/>
        <v>495.75</v>
      </c>
      <c r="BF197">
        <f t="shared" si="121"/>
        <v>495.75</v>
      </c>
      <c r="BG197">
        <f t="shared" si="122"/>
        <v>5.2834914206543746E-3</v>
      </c>
    </row>
    <row r="198" spans="1:59">
      <c r="A198" s="1" t="s">
        <v>199</v>
      </c>
      <c r="B198" s="1">
        <v>94060</v>
      </c>
      <c r="Q198">
        <v>195</v>
      </c>
      <c r="R198" s="27" t="str">
        <f t="shared" si="130"/>
        <v>13/03/2024</v>
      </c>
      <c r="S198" s="27">
        <f t="shared" si="130"/>
        <v>85320</v>
      </c>
      <c r="T198" s="4" t="str">
        <f t="shared" si="131"/>
        <v>A8</v>
      </c>
      <c r="V198">
        <v>195</v>
      </c>
      <c r="W198" s="28" t="str">
        <f t="shared" si="128"/>
        <v>13/03/2024</v>
      </c>
      <c r="X198" s="28">
        <f t="shared" si="128"/>
        <v>85320</v>
      </c>
      <c r="Y198" s="28" t="str">
        <f t="shared" si="128"/>
        <v>A8</v>
      </c>
      <c r="Z198" s="5" t="str">
        <f t="shared" ref="Z198:Z261" si="134">Y197</f>
        <v>A9</v>
      </c>
      <c r="AA198" s="5" t="str">
        <f t="shared" si="132"/>
        <v>A8</v>
      </c>
      <c r="AG198" s="49" t="str">
        <f t="shared" si="127"/>
        <v>13/03/2024</v>
      </c>
      <c r="AH198" s="46">
        <f t="shared" si="127"/>
        <v>85320</v>
      </c>
      <c r="AI198" s="49" t="str">
        <f t="shared" si="127"/>
        <v>A8</v>
      </c>
      <c r="AJ198" s="49" t="str">
        <f t="shared" ref="AJ198:AJ261" si="135">AI197</f>
        <v>A9</v>
      </c>
      <c r="AK198" s="50">
        <f t="shared" si="125"/>
        <v>91953.5</v>
      </c>
      <c r="AL198" s="49" t="str">
        <f t="shared" si="117"/>
        <v>A8</v>
      </c>
      <c r="AM198" s="50">
        <f t="shared" ref="AM198:AM261" si="136">VLOOKUP(AL198,$AC$18:$AD$27,2,FALSE)</f>
        <v>85922.5</v>
      </c>
      <c r="AN198" s="56">
        <f t="shared" si="118"/>
        <v>8040</v>
      </c>
      <c r="AO198" s="57">
        <f t="shared" si="119"/>
        <v>89340</v>
      </c>
      <c r="AP198" s="23">
        <f t="shared" ref="AP198:AP261" si="137">AH198-AN198/2</f>
        <v>81300</v>
      </c>
      <c r="AQ198" s="23">
        <f t="shared" ref="AQ198:AQ261" si="138">AH198+AN198</f>
        <v>93360</v>
      </c>
      <c r="AR198" s="23">
        <f t="shared" ref="AR198:AR261" si="139">AH198-AN198</f>
        <v>77280</v>
      </c>
      <c r="AS198" s="23">
        <f t="shared" ref="AS198:AS261" si="140">AH198+AN198/4</f>
        <v>87330</v>
      </c>
      <c r="AT198" s="23">
        <f t="shared" ref="AT198:AT261" si="141">AH198-AN198/4</f>
        <v>83310</v>
      </c>
      <c r="AU198" s="23">
        <f t="shared" ref="AU198:AU261" si="142">AH198+2*AN198</f>
        <v>101400</v>
      </c>
      <c r="AV198" s="23">
        <f t="shared" ref="AV198:AV261" si="143">AH198-2*AN198</f>
        <v>69240</v>
      </c>
      <c r="AW198" s="23">
        <f t="shared" ref="AW198:AW261" si="144">AH198+AN198/6</f>
        <v>86660</v>
      </c>
      <c r="AX198" s="23">
        <f t="shared" ref="AX198:AX261" si="145">AH198-AN198/6</f>
        <v>83980</v>
      </c>
      <c r="AY198" s="23">
        <f t="shared" ref="AY198:AY261" si="146">AH198+3*AN198</f>
        <v>109440</v>
      </c>
      <c r="AZ198" s="23">
        <f t="shared" ref="AZ198:AZ261" si="147">AH198-3*AN198</f>
        <v>61200</v>
      </c>
      <c r="BA198" s="23">
        <f t="shared" si="126"/>
        <v>92926.75</v>
      </c>
      <c r="BB198" s="43"/>
      <c r="BC198" s="51">
        <f t="shared" si="129"/>
        <v>85320</v>
      </c>
      <c r="BD198" s="52">
        <f t="shared" si="133"/>
        <v>92926.75</v>
      </c>
      <c r="BE198" s="37">
        <f t="shared" si="120"/>
        <v>-7606.75</v>
      </c>
      <c r="BF198">
        <f t="shared" si="121"/>
        <v>7606.75</v>
      </c>
      <c r="BG198">
        <f t="shared" si="122"/>
        <v>8.915553211439288E-2</v>
      </c>
    </row>
    <row r="199" spans="1:59">
      <c r="A199" s="1" t="s">
        <v>200</v>
      </c>
      <c r="B199" s="1">
        <v>96290</v>
      </c>
      <c r="Q199">
        <v>196</v>
      </c>
      <c r="R199" s="27" t="str">
        <f t="shared" si="130"/>
        <v>14/03/2024</v>
      </c>
      <c r="S199" s="27">
        <f t="shared" si="130"/>
        <v>97470</v>
      </c>
      <c r="T199" s="4" t="str">
        <f t="shared" si="131"/>
        <v>A10</v>
      </c>
      <c r="V199">
        <v>196</v>
      </c>
      <c r="W199" s="28" t="str">
        <f t="shared" si="128"/>
        <v>14/03/2024</v>
      </c>
      <c r="X199" s="28">
        <f t="shared" si="128"/>
        <v>97470</v>
      </c>
      <c r="Y199" s="28" t="str">
        <f t="shared" si="128"/>
        <v>A10</v>
      </c>
      <c r="Z199" s="5" t="str">
        <f t="shared" si="134"/>
        <v>A8</v>
      </c>
      <c r="AA199" s="5" t="str">
        <f t="shared" si="132"/>
        <v>A10</v>
      </c>
      <c r="AG199" s="49" t="str">
        <f t="shared" si="127"/>
        <v>14/03/2024</v>
      </c>
      <c r="AH199" s="46">
        <f t="shared" si="127"/>
        <v>97470</v>
      </c>
      <c r="AI199" s="49" t="str">
        <f t="shared" si="127"/>
        <v>A10</v>
      </c>
      <c r="AJ199" s="49" t="str">
        <f t="shared" si="135"/>
        <v>A8</v>
      </c>
      <c r="AK199" s="50">
        <f t="shared" si="125"/>
        <v>85922.5</v>
      </c>
      <c r="AL199" s="49" t="str">
        <f t="shared" ref="AL199:AL262" si="148">AI199</f>
        <v>A10</v>
      </c>
      <c r="AM199" s="50">
        <f t="shared" si="136"/>
        <v>97984.5</v>
      </c>
      <c r="AN199" s="56">
        <f t="shared" ref="AN199:AN262" si="149">ABS(ABS(AH199-AH198)-ABS(AH198-AH197))</f>
        <v>3640</v>
      </c>
      <c r="AO199" s="57">
        <f t="shared" ref="AO199:AO262" si="150">AH199+AN199/2</f>
        <v>99290</v>
      </c>
      <c r="AP199" s="23">
        <f t="shared" si="137"/>
        <v>95650</v>
      </c>
      <c r="AQ199" s="23">
        <f t="shared" si="138"/>
        <v>101110</v>
      </c>
      <c r="AR199" s="23">
        <f t="shared" si="139"/>
        <v>93830</v>
      </c>
      <c r="AS199" s="23">
        <f t="shared" si="140"/>
        <v>98380</v>
      </c>
      <c r="AT199" s="23">
        <f t="shared" si="141"/>
        <v>96560</v>
      </c>
      <c r="AU199" s="23">
        <f t="shared" si="142"/>
        <v>104750</v>
      </c>
      <c r="AV199" s="23">
        <f t="shared" si="143"/>
        <v>90190</v>
      </c>
      <c r="AW199" s="23">
        <f t="shared" si="144"/>
        <v>98076.666666666672</v>
      </c>
      <c r="AX199" s="23">
        <f t="shared" si="145"/>
        <v>96863.333333333328</v>
      </c>
      <c r="AY199" s="23">
        <f t="shared" si="146"/>
        <v>108390</v>
      </c>
      <c r="AZ199" s="23">
        <f t="shared" si="147"/>
        <v>86550</v>
      </c>
      <c r="BA199" s="23">
        <f t="shared" si="126"/>
        <v>87631.25</v>
      </c>
      <c r="BB199" s="43"/>
      <c r="BC199" s="51">
        <f t="shared" si="129"/>
        <v>97470</v>
      </c>
      <c r="BD199" s="52">
        <f t="shared" si="133"/>
        <v>87631.25</v>
      </c>
      <c r="BE199" s="37">
        <f t="shared" ref="BE199:BE262" si="151">BC199-BD199</f>
        <v>9838.75</v>
      </c>
      <c r="BF199">
        <f t="shared" ref="BF199:BF262" si="152">ABS(BE199)</f>
        <v>9838.75</v>
      </c>
      <c r="BG199">
        <f t="shared" ref="BG199:BG262" si="153">BF199/BC199</f>
        <v>0.10094131527649533</v>
      </c>
    </row>
    <row r="200" spans="1:59">
      <c r="A200" s="1" t="s">
        <v>201</v>
      </c>
      <c r="B200" s="1">
        <v>95970</v>
      </c>
      <c r="Q200">
        <v>197</v>
      </c>
      <c r="R200" s="27" t="str">
        <f t="shared" si="130"/>
        <v>15/03/2024</v>
      </c>
      <c r="S200" s="27">
        <f t="shared" si="130"/>
        <v>94060</v>
      </c>
      <c r="T200" s="4" t="str">
        <f t="shared" si="131"/>
        <v>A9</v>
      </c>
      <c r="V200">
        <v>197</v>
      </c>
      <c r="W200" s="28" t="str">
        <f t="shared" si="128"/>
        <v>15/03/2024</v>
      </c>
      <c r="X200" s="28">
        <f t="shared" si="128"/>
        <v>94060</v>
      </c>
      <c r="Y200" s="28" t="str">
        <f t="shared" si="128"/>
        <v>A9</v>
      </c>
      <c r="Z200" s="5" t="str">
        <f t="shared" si="134"/>
        <v>A10</v>
      </c>
      <c r="AA200" s="5" t="str">
        <f t="shared" si="132"/>
        <v>A9</v>
      </c>
      <c r="AG200" s="49" t="str">
        <f t="shared" si="127"/>
        <v>15/03/2024</v>
      </c>
      <c r="AH200" s="46">
        <f t="shared" si="127"/>
        <v>94060</v>
      </c>
      <c r="AI200" s="49" t="str">
        <f t="shared" si="127"/>
        <v>A9</v>
      </c>
      <c r="AJ200" s="49" t="str">
        <f t="shared" si="135"/>
        <v>A10</v>
      </c>
      <c r="AK200" s="50">
        <f t="shared" si="125"/>
        <v>97984.5</v>
      </c>
      <c r="AL200" s="49" t="str">
        <f t="shared" si="148"/>
        <v>A9</v>
      </c>
      <c r="AM200" s="50">
        <f t="shared" si="136"/>
        <v>91953.5</v>
      </c>
      <c r="AN200" s="56">
        <f t="shared" si="149"/>
        <v>8740</v>
      </c>
      <c r="AO200" s="23">
        <f t="shared" si="150"/>
        <v>98430</v>
      </c>
      <c r="AP200" s="23">
        <f t="shared" si="137"/>
        <v>89690</v>
      </c>
      <c r="AQ200" s="23">
        <f t="shared" si="138"/>
        <v>102800</v>
      </c>
      <c r="AR200" s="23">
        <f t="shared" si="139"/>
        <v>85320</v>
      </c>
      <c r="AS200" s="23">
        <f t="shared" si="140"/>
        <v>96245</v>
      </c>
      <c r="AT200" s="57">
        <f t="shared" si="141"/>
        <v>91875</v>
      </c>
      <c r="AU200" s="23">
        <f t="shared" si="142"/>
        <v>111540</v>
      </c>
      <c r="AV200" s="23">
        <f t="shared" si="143"/>
        <v>76580</v>
      </c>
      <c r="AW200" s="23">
        <f t="shared" si="144"/>
        <v>95516.666666666672</v>
      </c>
      <c r="AX200" s="23">
        <f t="shared" si="145"/>
        <v>92603.333333333328</v>
      </c>
      <c r="AY200" s="23">
        <f t="shared" si="146"/>
        <v>120280</v>
      </c>
      <c r="AZ200" s="23">
        <f t="shared" si="147"/>
        <v>67840</v>
      </c>
      <c r="BA200" s="23">
        <f t="shared" si="126"/>
        <v>98637.25</v>
      </c>
      <c r="BB200" s="43"/>
      <c r="BC200" s="51">
        <f t="shared" si="129"/>
        <v>94060</v>
      </c>
      <c r="BD200" s="52">
        <f t="shared" si="133"/>
        <v>98637.25</v>
      </c>
      <c r="BE200" s="37">
        <f t="shared" si="151"/>
        <v>-4577.25</v>
      </c>
      <c r="BF200">
        <f t="shared" si="152"/>
        <v>4577.25</v>
      </c>
      <c r="BG200">
        <f t="shared" si="153"/>
        <v>4.8663087391027003E-2</v>
      </c>
    </row>
    <row r="201" spans="1:59">
      <c r="A201" s="1" t="s">
        <v>202</v>
      </c>
      <c r="B201" s="1">
        <v>92660</v>
      </c>
      <c r="Q201">
        <v>198</v>
      </c>
      <c r="R201" s="27" t="str">
        <f t="shared" si="130"/>
        <v>16/03/2024</v>
      </c>
      <c r="S201" s="27">
        <f t="shared" si="130"/>
        <v>96290</v>
      </c>
      <c r="T201" s="4" t="str">
        <f t="shared" si="131"/>
        <v>A10</v>
      </c>
      <c r="V201">
        <v>198</v>
      </c>
      <c r="W201" s="28" t="str">
        <f t="shared" si="128"/>
        <v>16/03/2024</v>
      </c>
      <c r="X201" s="28">
        <f t="shared" si="128"/>
        <v>96290</v>
      </c>
      <c r="Y201" s="28" t="str">
        <f t="shared" si="128"/>
        <v>A10</v>
      </c>
      <c r="Z201" s="5" t="str">
        <f t="shared" si="134"/>
        <v>A9</v>
      </c>
      <c r="AA201" s="5" t="str">
        <f t="shared" si="132"/>
        <v>A10</v>
      </c>
      <c r="AG201" s="49" t="str">
        <f t="shared" si="127"/>
        <v>16/03/2024</v>
      </c>
      <c r="AH201" s="46">
        <f t="shared" si="127"/>
        <v>96290</v>
      </c>
      <c r="AI201" s="49" t="str">
        <f t="shared" si="127"/>
        <v>A10</v>
      </c>
      <c r="AJ201" s="49" t="str">
        <f t="shared" si="135"/>
        <v>A9</v>
      </c>
      <c r="AK201" s="50">
        <f t="shared" si="125"/>
        <v>91953.5</v>
      </c>
      <c r="AL201" s="49" t="str">
        <f t="shared" si="148"/>
        <v>A10</v>
      </c>
      <c r="AM201" s="50">
        <f t="shared" si="136"/>
        <v>97984.5</v>
      </c>
      <c r="AN201" s="56">
        <f t="shared" si="149"/>
        <v>1180</v>
      </c>
      <c r="AO201" s="57">
        <f t="shared" si="150"/>
        <v>96880</v>
      </c>
      <c r="AP201" s="23">
        <f t="shared" si="137"/>
        <v>95700</v>
      </c>
      <c r="AQ201" s="23">
        <f t="shared" si="138"/>
        <v>97470</v>
      </c>
      <c r="AR201" s="23">
        <f t="shared" si="139"/>
        <v>95110</v>
      </c>
      <c r="AS201" s="23">
        <f t="shared" si="140"/>
        <v>96585</v>
      </c>
      <c r="AT201" s="23">
        <f t="shared" si="141"/>
        <v>95995</v>
      </c>
      <c r="AU201" s="23">
        <f t="shared" si="142"/>
        <v>98650</v>
      </c>
      <c r="AV201" s="23">
        <f t="shared" si="143"/>
        <v>93930</v>
      </c>
      <c r="AW201" s="23">
        <f t="shared" si="144"/>
        <v>96486.666666666672</v>
      </c>
      <c r="AX201" s="23">
        <f t="shared" si="145"/>
        <v>96093.333333333328</v>
      </c>
      <c r="AY201" s="23">
        <f t="shared" si="146"/>
        <v>99830</v>
      </c>
      <c r="AZ201" s="23">
        <f t="shared" si="147"/>
        <v>92750</v>
      </c>
      <c r="BA201" s="23">
        <f>(AT200+AM200)/(1+1)</f>
        <v>91914.25</v>
      </c>
      <c r="BB201" s="43"/>
      <c r="BC201" s="51">
        <f t="shared" si="129"/>
        <v>96290</v>
      </c>
      <c r="BD201" s="52">
        <f t="shared" si="133"/>
        <v>91914.25</v>
      </c>
      <c r="BE201" s="37">
        <f t="shared" si="151"/>
        <v>4375.75</v>
      </c>
      <c r="BF201">
        <f t="shared" si="152"/>
        <v>4375.75</v>
      </c>
      <c r="BG201">
        <f t="shared" si="153"/>
        <v>4.5443452071866237E-2</v>
      </c>
    </row>
    <row r="202" spans="1:59">
      <c r="A202" s="1" t="s">
        <v>203</v>
      </c>
      <c r="B202" s="1">
        <v>92120</v>
      </c>
      <c r="Q202">
        <v>199</v>
      </c>
      <c r="R202" s="27" t="str">
        <f t="shared" si="130"/>
        <v>17/03/2024</v>
      </c>
      <c r="S202" s="27">
        <f t="shared" si="130"/>
        <v>95970</v>
      </c>
      <c r="T202" s="4" t="str">
        <f t="shared" si="131"/>
        <v>A10</v>
      </c>
      <c r="V202">
        <v>199</v>
      </c>
      <c r="W202" s="28" t="str">
        <f t="shared" si="128"/>
        <v>17/03/2024</v>
      </c>
      <c r="X202" s="28">
        <f t="shared" si="128"/>
        <v>95970</v>
      </c>
      <c r="Y202" s="28" t="str">
        <f t="shared" si="128"/>
        <v>A10</v>
      </c>
      <c r="Z202" s="5" t="str">
        <f t="shared" si="134"/>
        <v>A10</v>
      </c>
      <c r="AA202" s="5" t="str">
        <f t="shared" si="132"/>
        <v>A10</v>
      </c>
      <c r="AG202" s="49" t="str">
        <f t="shared" si="127"/>
        <v>17/03/2024</v>
      </c>
      <c r="AH202" s="46">
        <f t="shared" si="127"/>
        <v>95970</v>
      </c>
      <c r="AI202" s="49" t="str">
        <f t="shared" si="127"/>
        <v>A10</v>
      </c>
      <c r="AJ202" s="49" t="str">
        <f t="shared" si="135"/>
        <v>A10</v>
      </c>
      <c r="AK202" s="50">
        <f t="shared" si="125"/>
        <v>97984.5</v>
      </c>
      <c r="AL202" s="49" t="str">
        <f t="shared" si="148"/>
        <v>A10</v>
      </c>
      <c r="AM202" s="50">
        <f t="shared" si="136"/>
        <v>97984.5</v>
      </c>
      <c r="AN202" s="56">
        <f t="shared" si="149"/>
        <v>1910</v>
      </c>
      <c r="AO202" s="57">
        <f t="shared" si="150"/>
        <v>96925</v>
      </c>
      <c r="AP202" s="23">
        <f t="shared" si="137"/>
        <v>95015</v>
      </c>
      <c r="AQ202" s="23">
        <f t="shared" si="138"/>
        <v>97880</v>
      </c>
      <c r="AR202" s="23">
        <f t="shared" si="139"/>
        <v>94060</v>
      </c>
      <c r="AS202" s="23">
        <f t="shared" si="140"/>
        <v>96447.5</v>
      </c>
      <c r="AT202" s="23">
        <f t="shared" si="141"/>
        <v>95492.5</v>
      </c>
      <c r="AU202" s="23">
        <f t="shared" si="142"/>
        <v>99790</v>
      </c>
      <c r="AV202" s="23">
        <f t="shared" si="143"/>
        <v>92150</v>
      </c>
      <c r="AW202" s="23">
        <f t="shared" si="144"/>
        <v>96288.333333333328</v>
      </c>
      <c r="AX202" s="23">
        <f t="shared" si="145"/>
        <v>95651.666666666672</v>
      </c>
      <c r="AY202" s="23">
        <f t="shared" si="146"/>
        <v>101700</v>
      </c>
      <c r="AZ202" s="23">
        <f t="shared" si="147"/>
        <v>90240</v>
      </c>
      <c r="BA202" s="23">
        <f t="shared" ref="BA202:BA211" si="154">(AO201+AM201)/(1+1)</f>
        <v>97432.25</v>
      </c>
      <c r="BB202" s="43"/>
      <c r="BC202" s="51">
        <f t="shared" si="129"/>
        <v>95970</v>
      </c>
      <c r="BD202" s="52">
        <f t="shared" si="133"/>
        <v>97432.25</v>
      </c>
      <c r="BE202" s="37">
        <f t="shared" si="151"/>
        <v>-1462.25</v>
      </c>
      <c r="BF202">
        <f t="shared" si="152"/>
        <v>1462.25</v>
      </c>
      <c r="BG202">
        <f t="shared" si="153"/>
        <v>1.5236532249661353E-2</v>
      </c>
    </row>
    <row r="203" spans="1:59">
      <c r="A203" s="1" t="s">
        <v>204</v>
      </c>
      <c r="B203" s="1">
        <v>91140</v>
      </c>
      <c r="Q203">
        <v>200</v>
      </c>
      <c r="R203" s="27" t="str">
        <f t="shared" si="130"/>
        <v>18/03/2024</v>
      </c>
      <c r="S203" s="27">
        <f t="shared" si="130"/>
        <v>92660</v>
      </c>
      <c r="T203" s="4" t="str">
        <f t="shared" si="131"/>
        <v>A9</v>
      </c>
      <c r="V203">
        <v>200</v>
      </c>
      <c r="W203" s="28" t="str">
        <f t="shared" si="128"/>
        <v>18/03/2024</v>
      </c>
      <c r="X203" s="28">
        <f t="shared" si="128"/>
        <v>92660</v>
      </c>
      <c r="Y203" s="28" t="str">
        <f t="shared" si="128"/>
        <v>A9</v>
      </c>
      <c r="Z203" s="5" t="str">
        <f t="shared" si="134"/>
        <v>A10</v>
      </c>
      <c r="AA203" s="5" t="str">
        <f t="shared" si="132"/>
        <v>A9</v>
      </c>
      <c r="AG203" s="49" t="str">
        <f t="shared" si="127"/>
        <v>18/03/2024</v>
      </c>
      <c r="AH203" s="46">
        <f t="shared" si="127"/>
        <v>92660</v>
      </c>
      <c r="AI203" s="49" t="str">
        <f t="shared" si="127"/>
        <v>A9</v>
      </c>
      <c r="AJ203" s="49" t="str">
        <f t="shared" si="135"/>
        <v>A10</v>
      </c>
      <c r="AK203" s="50">
        <f t="shared" si="125"/>
        <v>97984.5</v>
      </c>
      <c r="AL203" s="49" t="str">
        <f t="shared" si="148"/>
        <v>A9</v>
      </c>
      <c r="AM203" s="50">
        <f t="shared" si="136"/>
        <v>91953.5</v>
      </c>
      <c r="AN203" s="56">
        <f t="shared" si="149"/>
        <v>2990</v>
      </c>
      <c r="AO203" s="57">
        <f t="shared" si="150"/>
        <v>94155</v>
      </c>
      <c r="AP203" s="23">
        <f t="shared" si="137"/>
        <v>91165</v>
      </c>
      <c r="AQ203" s="23">
        <f t="shared" si="138"/>
        <v>95650</v>
      </c>
      <c r="AR203" s="23">
        <f t="shared" si="139"/>
        <v>89670</v>
      </c>
      <c r="AS203" s="23">
        <f t="shared" si="140"/>
        <v>93407.5</v>
      </c>
      <c r="AT203" s="23">
        <f t="shared" si="141"/>
        <v>91912.5</v>
      </c>
      <c r="AU203" s="23">
        <f t="shared" si="142"/>
        <v>98640</v>
      </c>
      <c r="AV203" s="23">
        <f t="shared" si="143"/>
        <v>86680</v>
      </c>
      <c r="AW203" s="23">
        <f t="shared" si="144"/>
        <v>93158.333333333328</v>
      </c>
      <c r="AX203" s="23">
        <f t="shared" si="145"/>
        <v>92161.666666666672</v>
      </c>
      <c r="AY203" s="23">
        <f t="shared" si="146"/>
        <v>101630</v>
      </c>
      <c r="AZ203" s="23">
        <f t="shared" si="147"/>
        <v>83690</v>
      </c>
      <c r="BA203" s="23">
        <f t="shared" si="154"/>
        <v>97454.75</v>
      </c>
      <c r="BB203" s="43"/>
      <c r="BC203" s="51">
        <f t="shared" si="129"/>
        <v>92660</v>
      </c>
      <c r="BD203" s="52">
        <f t="shared" si="133"/>
        <v>97454.75</v>
      </c>
      <c r="BE203" s="37">
        <f t="shared" si="151"/>
        <v>-4794.75</v>
      </c>
      <c r="BF203">
        <f t="shared" si="152"/>
        <v>4794.75</v>
      </c>
      <c r="BG203">
        <f t="shared" si="153"/>
        <v>5.1745629181955535E-2</v>
      </c>
    </row>
    <row r="204" spans="1:59">
      <c r="A204" s="1" t="s">
        <v>205</v>
      </c>
      <c r="B204" s="1">
        <v>92230</v>
      </c>
      <c r="Q204">
        <v>201</v>
      </c>
      <c r="R204" s="27" t="str">
        <f t="shared" si="130"/>
        <v>19/03/2024</v>
      </c>
      <c r="S204" s="27">
        <f t="shared" si="130"/>
        <v>92120</v>
      </c>
      <c r="T204" s="4" t="str">
        <f t="shared" si="131"/>
        <v>A9</v>
      </c>
      <c r="V204">
        <v>201</v>
      </c>
      <c r="W204" s="28" t="str">
        <f t="shared" si="128"/>
        <v>19/03/2024</v>
      </c>
      <c r="X204" s="28">
        <f t="shared" si="128"/>
        <v>92120</v>
      </c>
      <c r="Y204" s="28" t="str">
        <f t="shared" si="128"/>
        <v>A9</v>
      </c>
      <c r="Z204" s="5" t="str">
        <f t="shared" si="134"/>
        <v>A9</v>
      </c>
      <c r="AA204" s="5" t="str">
        <f t="shared" si="132"/>
        <v>A9</v>
      </c>
      <c r="AG204" s="49" t="str">
        <f t="shared" si="127"/>
        <v>19/03/2024</v>
      </c>
      <c r="AH204" s="46">
        <f t="shared" si="127"/>
        <v>92120</v>
      </c>
      <c r="AI204" s="49" t="str">
        <f t="shared" si="127"/>
        <v>A9</v>
      </c>
      <c r="AJ204" s="49" t="str">
        <f t="shared" si="135"/>
        <v>A9</v>
      </c>
      <c r="AK204" s="50">
        <f t="shared" si="125"/>
        <v>91953.5</v>
      </c>
      <c r="AL204" s="49" t="str">
        <f t="shared" si="148"/>
        <v>A9</v>
      </c>
      <c r="AM204" s="50">
        <f t="shared" si="136"/>
        <v>91953.5</v>
      </c>
      <c r="AN204" s="56">
        <f t="shared" si="149"/>
        <v>2770</v>
      </c>
      <c r="AO204" s="57">
        <f t="shared" si="150"/>
        <v>93505</v>
      </c>
      <c r="AP204" s="23">
        <f t="shared" si="137"/>
        <v>90735</v>
      </c>
      <c r="AQ204" s="23">
        <f t="shared" si="138"/>
        <v>94890</v>
      </c>
      <c r="AR204" s="23">
        <f t="shared" si="139"/>
        <v>89350</v>
      </c>
      <c r="AS204" s="23">
        <f t="shared" si="140"/>
        <v>92812.5</v>
      </c>
      <c r="AT204" s="23">
        <f t="shared" si="141"/>
        <v>91427.5</v>
      </c>
      <c r="AU204" s="23">
        <f t="shared" si="142"/>
        <v>97660</v>
      </c>
      <c r="AV204" s="23">
        <f t="shared" si="143"/>
        <v>86580</v>
      </c>
      <c r="AW204" s="23">
        <f t="shared" si="144"/>
        <v>92581.666666666672</v>
      </c>
      <c r="AX204" s="23">
        <f t="shared" si="145"/>
        <v>91658.333333333328</v>
      </c>
      <c r="AY204" s="23">
        <f t="shared" si="146"/>
        <v>100430</v>
      </c>
      <c r="AZ204" s="23">
        <f t="shared" si="147"/>
        <v>83810</v>
      </c>
      <c r="BA204" s="23">
        <f t="shared" si="154"/>
        <v>93054.25</v>
      </c>
      <c r="BB204" s="43"/>
      <c r="BC204" s="51">
        <f t="shared" si="129"/>
        <v>92120</v>
      </c>
      <c r="BD204" s="52">
        <f t="shared" si="133"/>
        <v>93054.25</v>
      </c>
      <c r="BE204" s="37">
        <f t="shared" si="151"/>
        <v>-934.25</v>
      </c>
      <c r="BF204">
        <f t="shared" si="152"/>
        <v>934.25</v>
      </c>
      <c r="BG204">
        <f t="shared" si="153"/>
        <v>1.0141663048198003E-2</v>
      </c>
    </row>
    <row r="205" spans="1:59">
      <c r="A205" s="1" t="s">
        <v>206</v>
      </c>
      <c r="B205" s="1">
        <v>88370</v>
      </c>
      <c r="Q205">
        <v>202</v>
      </c>
      <c r="R205" s="27" t="str">
        <f t="shared" si="130"/>
        <v>20/03/2024</v>
      </c>
      <c r="S205" s="27">
        <f t="shared" si="130"/>
        <v>91140</v>
      </c>
      <c r="T205" s="4" t="str">
        <f t="shared" si="131"/>
        <v>A9</v>
      </c>
      <c r="V205">
        <v>202</v>
      </c>
      <c r="W205" s="28" t="str">
        <f t="shared" si="128"/>
        <v>20/03/2024</v>
      </c>
      <c r="X205" s="28">
        <f t="shared" si="128"/>
        <v>91140</v>
      </c>
      <c r="Y205" s="28" t="str">
        <f t="shared" si="128"/>
        <v>A9</v>
      </c>
      <c r="Z205" s="5" t="str">
        <f t="shared" si="134"/>
        <v>A9</v>
      </c>
      <c r="AA205" s="5" t="str">
        <f t="shared" si="132"/>
        <v>A9</v>
      </c>
      <c r="AG205" s="49" t="str">
        <f t="shared" si="127"/>
        <v>20/03/2024</v>
      </c>
      <c r="AH205" s="46">
        <f t="shared" si="127"/>
        <v>91140</v>
      </c>
      <c r="AI205" s="49" t="str">
        <f t="shared" si="127"/>
        <v>A9</v>
      </c>
      <c r="AJ205" s="49" t="str">
        <f t="shared" si="135"/>
        <v>A9</v>
      </c>
      <c r="AK205" s="50">
        <f t="shared" si="125"/>
        <v>91953.5</v>
      </c>
      <c r="AL205" s="49" t="str">
        <f t="shared" si="148"/>
        <v>A9</v>
      </c>
      <c r="AM205" s="50">
        <f t="shared" si="136"/>
        <v>91953.5</v>
      </c>
      <c r="AN205" s="56">
        <f t="shared" si="149"/>
        <v>440</v>
      </c>
      <c r="AO205" s="57">
        <f t="shared" si="150"/>
        <v>91360</v>
      </c>
      <c r="AP205" s="23">
        <f t="shared" si="137"/>
        <v>90920</v>
      </c>
      <c r="AQ205" s="23">
        <f t="shared" si="138"/>
        <v>91580</v>
      </c>
      <c r="AR205" s="23">
        <f t="shared" si="139"/>
        <v>90700</v>
      </c>
      <c r="AS205" s="23">
        <f t="shared" si="140"/>
        <v>91250</v>
      </c>
      <c r="AT205" s="23">
        <f t="shared" si="141"/>
        <v>91030</v>
      </c>
      <c r="AU205" s="23">
        <f t="shared" si="142"/>
        <v>92020</v>
      </c>
      <c r="AV205" s="23">
        <f t="shared" si="143"/>
        <v>90260</v>
      </c>
      <c r="AW205" s="23">
        <f t="shared" si="144"/>
        <v>91213.333333333328</v>
      </c>
      <c r="AX205" s="23">
        <f t="shared" si="145"/>
        <v>91066.666666666672</v>
      </c>
      <c r="AY205" s="23">
        <f t="shared" si="146"/>
        <v>92460</v>
      </c>
      <c r="AZ205" s="23">
        <f t="shared" si="147"/>
        <v>89820</v>
      </c>
      <c r="BA205" s="23">
        <f t="shared" si="154"/>
        <v>92729.25</v>
      </c>
      <c r="BB205" s="43"/>
      <c r="BC205" s="51">
        <f t="shared" si="129"/>
        <v>91140</v>
      </c>
      <c r="BD205" s="52">
        <f t="shared" si="133"/>
        <v>92729.25</v>
      </c>
      <c r="BE205" s="37">
        <f t="shared" si="151"/>
        <v>-1589.25</v>
      </c>
      <c r="BF205">
        <f t="shared" si="152"/>
        <v>1589.25</v>
      </c>
      <c r="BG205">
        <f t="shared" si="153"/>
        <v>1.7437458854509546E-2</v>
      </c>
    </row>
    <row r="206" spans="1:59">
      <c r="A206" s="1" t="s">
        <v>207</v>
      </c>
      <c r="B206" s="1">
        <v>87020</v>
      </c>
      <c r="Q206">
        <v>203</v>
      </c>
      <c r="R206" s="27" t="str">
        <f t="shared" si="130"/>
        <v>21/03/2024</v>
      </c>
      <c r="S206" s="27">
        <f t="shared" si="130"/>
        <v>92230</v>
      </c>
      <c r="T206" s="4" t="str">
        <f t="shared" si="131"/>
        <v>A9</v>
      </c>
      <c r="V206">
        <v>203</v>
      </c>
      <c r="W206" s="28" t="str">
        <f t="shared" si="128"/>
        <v>21/03/2024</v>
      </c>
      <c r="X206" s="28">
        <f t="shared" si="128"/>
        <v>92230</v>
      </c>
      <c r="Y206" s="28" t="str">
        <f t="shared" si="128"/>
        <v>A9</v>
      </c>
      <c r="Z206" s="5" t="str">
        <f t="shared" si="134"/>
        <v>A9</v>
      </c>
      <c r="AA206" s="5" t="str">
        <f t="shared" si="132"/>
        <v>A9</v>
      </c>
      <c r="AG206" s="49" t="str">
        <f t="shared" si="127"/>
        <v>21/03/2024</v>
      </c>
      <c r="AH206" s="46">
        <f t="shared" si="127"/>
        <v>92230</v>
      </c>
      <c r="AI206" s="49" t="str">
        <f t="shared" si="127"/>
        <v>A9</v>
      </c>
      <c r="AJ206" s="49" t="str">
        <f t="shared" si="135"/>
        <v>A9</v>
      </c>
      <c r="AK206" s="50">
        <f t="shared" si="125"/>
        <v>91953.5</v>
      </c>
      <c r="AL206" s="49" t="str">
        <f t="shared" si="148"/>
        <v>A9</v>
      </c>
      <c r="AM206" s="50">
        <f t="shared" si="136"/>
        <v>91953.5</v>
      </c>
      <c r="AN206" s="56">
        <f t="shared" si="149"/>
        <v>110</v>
      </c>
      <c r="AO206" s="57">
        <f t="shared" si="150"/>
        <v>92285</v>
      </c>
      <c r="AP206" s="23">
        <f t="shared" si="137"/>
        <v>92175</v>
      </c>
      <c r="AQ206" s="23">
        <f t="shared" si="138"/>
        <v>92340</v>
      </c>
      <c r="AR206" s="23">
        <f t="shared" si="139"/>
        <v>92120</v>
      </c>
      <c r="AS206" s="23">
        <f t="shared" si="140"/>
        <v>92257.5</v>
      </c>
      <c r="AT206" s="23">
        <f t="shared" si="141"/>
        <v>92202.5</v>
      </c>
      <c r="AU206" s="23">
        <f t="shared" si="142"/>
        <v>92450</v>
      </c>
      <c r="AV206" s="23">
        <f t="shared" si="143"/>
        <v>92010</v>
      </c>
      <c r="AW206" s="23">
        <f t="shared" si="144"/>
        <v>92248.333333333328</v>
      </c>
      <c r="AX206" s="23">
        <f t="shared" si="145"/>
        <v>92211.666666666672</v>
      </c>
      <c r="AY206" s="23">
        <f t="shared" si="146"/>
        <v>92560</v>
      </c>
      <c r="AZ206" s="23">
        <f t="shared" si="147"/>
        <v>91900</v>
      </c>
      <c r="BA206" s="23">
        <f t="shared" si="154"/>
        <v>91656.75</v>
      </c>
      <c r="BB206" s="43"/>
      <c r="BC206" s="51">
        <f t="shared" si="129"/>
        <v>92230</v>
      </c>
      <c r="BD206" s="52">
        <f t="shared" si="133"/>
        <v>91656.75</v>
      </c>
      <c r="BE206" s="37">
        <f t="shared" si="151"/>
        <v>573.25</v>
      </c>
      <c r="BF206">
        <f t="shared" si="152"/>
        <v>573.25</v>
      </c>
      <c r="BG206">
        <f t="shared" si="153"/>
        <v>6.2154396617152769E-3</v>
      </c>
    </row>
    <row r="207" spans="1:59">
      <c r="A207" s="1" t="s">
        <v>208</v>
      </c>
      <c r="B207" s="1">
        <v>86560</v>
      </c>
      <c r="Q207">
        <v>204</v>
      </c>
      <c r="R207" s="27" t="str">
        <f t="shared" si="130"/>
        <v>22/03/2024</v>
      </c>
      <c r="S207" s="27">
        <f t="shared" si="130"/>
        <v>88370</v>
      </c>
      <c r="T207" s="4" t="str">
        <f t="shared" si="131"/>
        <v>A8</v>
      </c>
      <c r="V207">
        <v>204</v>
      </c>
      <c r="W207" s="28" t="str">
        <f t="shared" si="128"/>
        <v>22/03/2024</v>
      </c>
      <c r="X207" s="28">
        <f t="shared" si="128"/>
        <v>88370</v>
      </c>
      <c r="Y207" s="28" t="str">
        <f t="shared" si="128"/>
        <v>A8</v>
      </c>
      <c r="Z207" s="5" t="str">
        <f t="shared" si="134"/>
        <v>A9</v>
      </c>
      <c r="AA207" s="5" t="str">
        <f t="shared" si="132"/>
        <v>A8</v>
      </c>
      <c r="AG207" s="49" t="str">
        <f t="shared" si="127"/>
        <v>22/03/2024</v>
      </c>
      <c r="AH207" s="46">
        <f t="shared" si="127"/>
        <v>88370</v>
      </c>
      <c r="AI207" s="49" t="str">
        <f t="shared" si="127"/>
        <v>A8</v>
      </c>
      <c r="AJ207" s="49" t="str">
        <f t="shared" si="135"/>
        <v>A9</v>
      </c>
      <c r="AK207" s="50">
        <f t="shared" si="125"/>
        <v>91953.5</v>
      </c>
      <c r="AL207" s="49" t="str">
        <f t="shared" si="148"/>
        <v>A8</v>
      </c>
      <c r="AM207" s="50">
        <f t="shared" si="136"/>
        <v>85922.5</v>
      </c>
      <c r="AN207" s="56">
        <f t="shared" si="149"/>
        <v>2770</v>
      </c>
      <c r="AO207" s="57">
        <f t="shared" si="150"/>
        <v>89755</v>
      </c>
      <c r="AP207" s="23">
        <f t="shared" si="137"/>
        <v>86985</v>
      </c>
      <c r="AQ207" s="23">
        <f t="shared" si="138"/>
        <v>91140</v>
      </c>
      <c r="AR207" s="23">
        <f t="shared" si="139"/>
        <v>85600</v>
      </c>
      <c r="AS207" s="23">
        <f t="shared" si="140"/>
        <v>89062.5</v>
      </c>
      <c r="AT207" s="23">
        <f t="shared" si="141"/>
        <v>87677.5</v>
      </c>
      <c r="AU207" s="23">
        <f t="shared" si="142"/>
        <v>93910</v>
      </c>
      <c r="AV207" s="23">
        <f t="shared" si="143"/>
        <v>82830</v>
      </c>
      <c r="AW207" s="23">
        <f t="shared" si="144"/>
        <v>88831.666666666672</v>
      </c>
      <c r="AX207" s="23">
        <f t="shared" si="145"/>
        <v>87908.333333333328</v>
      </c>
      <c r="AY207" s="23">
        <f t="shared" si="146"/>
        <v>96680</v>
      </c>
      <c r="AZ207" s="23">
        <f t="shared" si="147"/>
        <v>80060</v>
      </c>
      <c r="BA207" s="23">
        <f t="shared" si="154"/>
        <v>92119.25</v>
      </c>
      <c r="BB207" s="43"/>
      <c r="BC207" s="51">
        <f t="shared" si="129"/>
        <v>88370</v>
      </c>
      <c r="BD207" s="52">
        <f t="shared" si="133"/>
        <v>92119.25</v>
      </c>
      <c r="BE207" s="37">
        <f t="shared" si="151"/>
        <v>-3749.25</v>
      </c>
      <c r="BF207">
        <f t="shared" si="152"/>
        <v>3749.25</v>
      </c>
      <c r="BG207">
        <f t="shared" si="153"/>
        <v>4.242672852778092E-2</v>
      </c>
    </row>
    <row r="208" spans="1:59">
      <c r="A208" s="1" t="s">
        <v>209</v>
      </c>
      <c r="B208" s="1">
        <v>86920</v>
      </c>
      <c r="Q208">
        <v>205</v>
      </c>
      <c r="R208" s="27" t="str">
        <f t="shared" si="130"/>
        <v>23/03/2024</v>
      </c>
      <c r="S208" s="27">
        <f t="shared" si="130"/>
        <v>87020</v>
      </c>
      <c r="T208" s="4" t="str">
        <f t="shared" si="131"/>
        <v>A8</v>
      </c>
      <c r="V208">
        <v>205</v>
      </c>
      <c r="W208" s="28" t="str">
        <f t="shared" si="128"/>
        <v>23/03/2024</v>
      </c>
      <c r="X208" s="28">
        <f t="shared" si="128"/>
        <v>87020</v>
      </c>
      <c r="Y208" s="28" t="str">
        <f t="shared" si="128"/>
        <v>A8</v>
      </c>
      <c r="Z208" s="5" t="str">
        <f t="shared" si="134"/>
        <v>A8</v>
      </c>
      <c r="AA208" s="5" t="str">
        <f t="shared" si="132"/>
        <v>A8</v>
      </c>
      <c r="AG208" s="49" t="str">
        <f t="shared" si="127"/>
        <v>23/03/2024</v>
      </c>
      <c r="AH208" s="46">
        <f t="shared" si="127"/>
        <v>87020</v>
      </c>
      <c r="AI208" s="49" t="str">
        <f t="shared" si="127"/>
        <v>A8</v>
      </c>
      <c r="AJ208" s="49" t="str">
        <f t="shared" si="135"/>
        <v>A8</v>
      </c>
      <c r="AK208" s="50">
        <f t="shared" si="125"/>
        <v>85922.5</v>
      </c>
      <c r="AL208" s="49" t="str">
        <f t="shared" si="148"/>
        <v>A8</v>
      </c>
      <c r="AM208" s="50">
        <f t="shared" si="136"/>
        <v>85922.5</v>
      </c>
      <c r="AN208" s="56">
        <f t="shared" si="149"/>
        <v>2510</v>
      </c>
      <c r="AO208" s="57">
        <f t="shared" si="150"/>
        <v>88275</v>
      </c>
      <c r="AP208" s="23">
        <f t="shared" si="137"/>
        <v>85765</v>
      </c>
      <c r="AQ208" s="23">
        <f t="shared" si="138"/>
        <v>89530</v>
      </c>
      <c r="AR208" s="23">
        <f t="shared" si="139"/>
        <v>84510</v>
      </c>
      <c r="AS208" s="23">
        <f t="shared" si="140"/>
        <v>87647.5</v>
      </c>
      <c r="AT208" s="23">
        <f t="shared" si="141"/>
        <v>86392.5</v>
      </c>
      <c r="AU208" s="23">
        <f t="shared" si="142"/>
        <v>92040</v>
      </c>
      <c r="AV208" s="23">
        <f t="shared" si="143"/>
        <v>82000</v>
      </c>
      <c r="AW208" s="23">
        <f t="shared" si="144"/>
        <v>87438.333333333328</v>
      </c>
      <c r="AX208" s="23">
        <f t="shared" si="145"/>
        <v>86601.666666666672</v>
      </c>
      <c r="AY208" s="23">
        <f t="shared" si="146"/>
        <v>94550</v>
      </c>
      <c r="AZ208" s="23">
        <f t="shared" si="147"/>
        <v>79490</v>
      </c>
      <c r="BA208" s="23">
        <f t="shared" si="154"/>
        <v>87838.75</v>
      </c>
      <c r="BB208" s="43"/>
      <c r="BC208" s="51">
        <f t="shared" si="129"/>
        <v>87020</v>
      </c>
      <c r="BD208" s="52">
        <f t="shared" si="133"/>
        <v>87838.75</v>
      </c>
      <c r="BE208" s="37">
        <f t="shared" si="151"/>
        <v>-818.75</v>
      </c>
      <c r="BF208">
        <f t="shared" si="152"/>
        <v>818.75</v>
      </c>
      <c r="BG208">
        <f t="shared" si="153"/>
        <v>9.4087566076763961E-3</v>
      </c>
    </row>
    <row r="209" spans="1:59">
      <c r="A209" s="1" t="s">
        <v>210</v>
      </c>
      <c r="B209" s="1">
        <v>84590</v>
      </c>
      <c r="Q209">
        <v>206</v>
      </c>
      <c r="R209" s="27" t="str">
        <f t="shared" si="130"/>
        <v>24/03/2024</v>
      </c>
      <c r="S209" s="27">
        <f t="shared" si="130"/>
        <v>86560</v>
      </c>
      <c r="T209" s="4" t="str">
        <f t="shared" si="131"/>
        <v>A8</v>
      </c>
      <c r="V209">
        <v>206</v>
      </c>
      <c r="W209" s="28" t="str">
        <f t="shared" si="128"/>
        <v>24/03/2024</v>
      </c>
      <c r="X209" s="28">
        <f t="shared" si="128"/>
        <v>86560</v>
      </c>
      <c r="Y209" s="28" t="str">
        <f t="shared" si="128"/>
        <v>A8</v>
      </c>
      <c r="Z209" s="5" t="str">
        <f t="shared" si="134"/>
        <v>A8</v>
      </c>
      <c r="AA209" s="5" t="str">
        <f t="shared" si="132"/>
        <v>A8</v>
      </c>
      <c r="AG209" s="49" t="str">
        <f t="shared" si="127"/>
        <v>24/03/2024</v>
      </c>
      <c r="AH209" s="46">
        <f t="shared" si="127"/>
        <v>86560</v>
      </c>
      <c r="AI209" s="49" t="str">
        <f t="shared" si="127"/>
        <v>A8</v>
      </c>
      <c r="AJ209" s="49" t="str">
        <f t="shared" si="135"/>
        <v>A8</v>
      </c>
      <c r="AK209" s="50">
        <f t="shared" si="125"/>
        <v>85922.5</v>
      </c>
      <c r="AL209" s="49" t="str">
        <f t="shared" si="148"/>
        <v>A8</v>
      </c>
      <c r="AM209" s="50">
        <f t="shared" si="136"/>
        <v>85922.5</v>
      </c>
      <c r="AN209" s="56">
        <f t="shared" si="149"/>
        <v>890</v>
      </c>
      <c r="AO209" s="57">
        <f t="shared" si="150"/>
        <v>87005</v>
      </c>
      <c r="AP209" s="23">
        <f t="shared" si="137"/>
        <v>86115</v>
      </c>
      <c r="AQ209" s="23">
        <f t="shared" si="138"/>
        <v>87450</v>
      </c>
      <c r="AR209" s="23">
        <f t="shared" si="139"/>
        <v>85670</v>
      </c>
      <c r="AS209" s="23">
        <f t="shared" si="140"/>
        <v>86782.5</v>
      </c>
      <c r="AT209" s="23">
        <f t="shared" si="141"/>
        <v>86337.5</v>
      </c>
      <c r="AU209" s="23">
        <f t="shared" si="142"/>
        <v>88340</v>
      </c>
      <c r="AV209" s="23">
        <f t="shared" si="143"/>
        <v>84780</v>
      </c>
      <c r="AW209" s="23">
        <f t="shared" si="144"/>
        <v>86708.333333333328</v>
      </c>
      <c r="AX209" s="23">
        <f t="shared" si="145"/>
        <v>86411.666666666672</v>
      </c>
      <c r="AY209" s="23">
        <f t="shared" si="146"/>
        <v>89230</v>
      </c>
      <c r="AZ209" s="23">
        <f t="shared" si="147"/>
        <v>83890</v>
      </c>
      <c r="BA209" s="23">
        <f t="shared" si="154"/>
        <v>87098.75</v>
      </c>
      <c r="BB209" s="43"/>
      <c r="BC209" s="51">
        <f t="shared" si="129"/>
        <v>86560</v>
      </c>
      <c r="BD209" s="52">
        <f t="shared" si="133"/>
        <v>87098.75</v>
      </c>
      <c r="BE209" s="37">
        <f t="shared" si="151"/>
        <v>-538.75</v>
      </c>
      <c r="BF209">
        <f t="shared" si="152"/>
        <v>538.75</v>
      </c>
      <c r="BG209">
        <f t="shared" si="153"/>
        <v>6.2240064695009241E-3</v>
      </c>
    </row>
    <row r="210" spans="1:59">
      <c r="A210" s="1" t="s">
        <v>211</v>
      </c>
      <c r="B210" s="1">
        <v>84850</v>
      </c>
      <c r="Q210">
        <v>207</v>
      </c>
      <c r="R210" s="27" t="str">
        <f t="shared" si="130"/>
        <v>25/03/2024</v>
      </c>
      <c r="S210" s="27">
        <f t="shared" si="130"/>
        <v>86920</v>
      </c>
      <c r="T210" s="4" t="str">
        <f t="shared" si="131"/>
        <v>A8</v>
      </c>
      <c r="V210">
        <v>207</v>
      </c>
      <c r="W210" s="28" t="str">
        <f t="shared" si="128"/>
        <v>25/03/2024</v>
      </c>
      <c r="X210" s="28">
        <f t="shared" si="128"/>
        <v>86920</v>
      </c>
      <c r="Y210" s="28" t="str">
        <f t="shared" si="128"/>
        <v>A8</v>
      </c>
      <c r="Z210" s="5" t="str">
        <f t="shared" si="134"/>
        <v>A8</v>
      </c>
      <c r="AA210" s="5" t="str">
        <f t="shared" si="132"/>
        <v>A8</v>
      </c>
      <c r="AG210" s="49" t="str">
        <f t="shared" si="127"/>
        <v>25/03/2024</v>
      </c>
      <c r="AH210" s="46">
        <f t="shared" si="127"/>
        <v>86920</v>
      </c>
      <c r="AI210" s="49" t="str">
        <f t="shared" si="127"/>
        <v>A8</v>
      </c>
      <c r="AJ210" s="49" t="str">
        <f t="shared" si="135"/>
        <v>A8</v>
      </c>
      <c r="AK210" s="50">
        <f t="shared" si="125"/>
        <v>85922.5</v>
      </c>
      <c r="AL210" s="49" t="str">
        <f t="shared" si="148"/>
        <v>A8</v>
      </c>
      <c r="AM210" s="50">
        <f t="shared" si="136"/>
        <v>85922.5</v>
      </c>
      <c r="AN210" s="56">
        <f t="shared" si="149"/>
        <v>100</v>
      </c>
      <c r="AO210" s="57">
        <f t="shared" si="150"/>
        <v>86970</v>
      </c>
      <c r="AP210" s="23">
        <f t="shared" si="137"/>
        <v>86870</v>
      </c>
      <c r="AQ210" s="23">
        <f t="shared" si="138"/>
        <v>87020</v>
      </c>
      <c r="AR210" s="23">
        <f t="shared" si="139"/>
        <v>86820</v>
      </c>
      <c r="AS210" s="23">
        <f t="shared" si="140"/>
        <v>86945</v>
      </c>
      <c r="AT210" s="23">
        <f t="shared" si="141"/>
        <v>86895</v>
      </c>
      <c r="AU210" s="23">
        <f t="shared" si="142"/>
        <v>87120</v>
      </c>
      <c r="AV210" s="23">
        <f t="shared" si="143"/>
        <v>86720</v>
      </c>
      <c r="AW210" s="23">
        <f t="shared" si="144"/>
        <v>86936.666666666672</v>
      </c>
      <c r="AX210" s="23">
        <f t="shared" si="145"/>
        <v>86903.333333333328</v>
      </c>
      <c r="AY210" s="23">
        <f t="shared" si="146"/>
        <v>87220</v>
      </c>
      <c r="AZ210" s="23">
        <f t="shared" si="147"/>
        <v>86620</v>
      </c>
      <c r="BA210" s="23">
        <f t="shared" si="154"/>
        <v>86463.75</v>
      </c>
      <c r="BB210" s="43"/>
      <c r="BC210" s="51">
        <f t="shared" si="129"/>
        <v>86920</v>
      </c>
      <c r="BD210" s="52">
        <f t="shared" si="133"/>
        <v>86463.75</v>
      </c>
      <c r="BE210" s="37">
        <f t="shared" si="151"/>
        <v>456.25</v>
      </c>
      <c r="BF210">
        <f t="shared" si="152"/>
        <v>456.25</v>
      </c>
      <c r="BG210">
        <f t="shared" si="153"/>
        <v>5.2490796134376438E-3</v>
      </c>
    </row>
    <row r="211" spans="1:59">
      <c r="A211" s="1" t="s">
        <v>212</v>
      </c>
      <c r="B211" s="1">
        <v>84420</v>
      </c>
      <c r="Q211">
        <v>208</v>
      </c>
      <c r="R211" s="27" t="str">
        <f t="shared" si="130"/>
        <v>26/03/2024</v>
      </c>
      <c r="S211" s="27">
        <f t="shared" si="130"/>
        <v>84590</v>
      </c>
      <c r="T211" s="4" t="str">
        <f t="shared" si="131"/>
        <v>A8</v>
      </c>
      <c r="V211">
        <v>208</v>
      </c>
      <c r="W211" s="28" t="str">
        <f t="shared" si="128"/>
        <v>26/03/2024</v>
      </c>
      <c r="X211" s="28">
        <f t="shared" si="128"/>
        <v>84590</v>
      </c>
      <c r="Y211" s="28" t="str">
        <f t="shared" si="128"/>
        <v>A8</v>
      </c>
      <c r="Z211" s="5" t="str">
        <f t="shared" si="134"/>
        <v>A8</v>
      </c>
      <c r="AA211" s="5" t="str">
        <f t="shared" si="132"/>
        <v>A8</v>
      </c>
      <c r="AG211" s="49" t="str">
        <f t="shared" si="127"/>
        <v>26/03/2024</v>
      </c>
      <c r="AH211" s="46">
        <f t="shared" si="127"/>
        <v>84590</v>
      </c>
      <c r="AI211" s="49" t="str">
        <f t="shared" si="127"/>
        <v>A8</v>
      </c>
      <c r="AJ211" s="49" t="str">
        <f t="shared" si="135"/>
        <v>A8</v>
      </c>
      <c r="AK211" s="50">
        <f t="shared" si="125"/>
        <v>85922.5</v>
      </c>
      <c r="AL211" s="49" t="str">
        <f t="shared" si="148"/>
        <v>A8</v>
      </c>
      <c r="AM211" s="50">
        <f t="shared" si="136"/>
        <v>85922.5</v>
      </c>
      <c r="AN211" s="56">
        <f t="shared" si="149"/>
        <v>1970</v>
      </c>
      <c r="AO211" s="23">
        <f t="shared" si="150"/>
        <v>85575</v>
      </c>
      <c r="AP211" s="57">
        <f t="shared" si="137"/>
        <v>83605</v>
      </c>
      <c r="AQ211" s="23">
        <f t="shared" si="138"/>
        <v>86560</v>
      </c>
      <c r="AR211" s="23">
        <f t="shared" si="139"/>
        <v>82620</v>
      </c>
      <c r="AS211" s="23">
        <f t="shared" si="140"/>
        <v>85082.5</v>
      </c>
      <c r="AT211" s="23">
        <f t="shared" si="141"/>
        <v>84097.5</v>
      </c>
      <c r="AU211" s="23">
        <f t="shared" si="142"/>
        <v>88530</v>
      </c>
      <c r="AV211" s="23">
        <f t="shared" si="143"/>
        <v>80650</v>
      </c>
      <c r="AW211" s="23">
        <f t="shared" si="144"/>
        <v>84918.333333333328</v>
      </c>
      <c r="AX211" s="23">
        <f t="shared" si="145"/>
        <v>84261.666666666672</v>
      </c>
      <c r="AY211" s="23">
        <f t="shared" si="146"/>
        <v>90500</v>
      </c>
      <c r="AZ211" s="23">
        <f t="shared" si="147"/>
        <v>78680</v>
      </c>
      <c r="BA211" s="23">
        <f t="shared" si="154"/>
        <v>86446.25</v>
      </c>
      <c r="BB211" s="43"/>
      <c r="BC211" s="51">
        <f t="shared" si="129"/>
        <v>84590</v>
      </c>
      <c r="BD211" s="52">
        <f t="shared" si="133"/>
        <v>86446.25</v>
      </c>
      <c r="BE211" s="37">
        <f t="shared" si="151"/>
        <v>-1856.25</v>
      </c>
      <c r="BF211">
        <f t="shared" si="152"/>
        <v>1856.25</v>
      </c>
      <c r="BG211">
        <f t="shared" si="153"/>
        <v>2.1944083224967489E-2</v>
      </c>
    </row>
    <row r="212" spans="1:59">
      <c r="A212" s="1" t="s">
        <v>213</v>
      </c>
      <c r="B212" s="1">
        <v>84870</v>
      </c>
      <c r="Q212">
        <v>209</v>
      </c>
      <c r="R212" s="27" t="str">
        <f t="shared" si="130"/>
        <v>27/03/2024</v>
      </c>
      <c r="S212" s="27">
        <f t="shared" si="130"/>
        <v>84850</v>
      </c>
      <c r="T212" s="4" t="str">
        <f t="shared" si="131"/>
        <v>A8</v>
      </c>
      <c r="V212">
        <v>209</v>
      </c>
      <c r="W212" s="28" t="str">
        <f t="shared" si="128"/>
        <v>27/03/2024</v>
      </c>
      <c r="X212" s="28">
        <f t="shared" si="128"/>
        <v>84850</v>
      </c>
      <c r="Y212" s="28" t="str">
        <f t="shared" si="128"/>
        <v>A8</v>
      </c>
      <c r="Z212" s="5" t="str">
        <f t="shared" si="134"/>
        <v>A8</v>
      </c>
      <c r="AA212" s="5" t="str">
        <f t="shared" si="132"/>
        <v>A8</v>
      </c>
      <c r="AG212" s="49" t="str">
        <f t="shared" si="127"/>
        <v>27/03/2024</v>
      </c>
      <c r="AH212" s="46">
        <f t="shared" si="127"/>
        <v>84850</v>
      </c>
      <c r="AI212" s="49" t="str">
        <f t="shared" si="127"/>
        <v>A8</v>
      </c>
      <c r="AJ212" s="49" t="str">
        <f t="shared" si="135"/>
        <v>A8</v>
      </c>
      <c r="AK212" s="50">
        <f t="shared" si="125"/>
        <v>85922.5</v>
      </c>
      <c r="AL212" s="49" t="str">
        <f t="shared" si="148"/>
        <v>A8</v>
      </c>
      <c r="AM212" s="50">
        <f t="shared" si="136"/>
        <v>85922.5</v>
      </c>
      <c r="AN212" s="56">
        <f t="shared" si="149"/>
        <v>2070</v>
      </c>
      <c r="AO212" s="57">
        <f t="shared" si="150"/>
        <v>85885</v>
      </c>
      <c r="AP212" s="23">
        <f t="shared" si="137"/>
        <v>83815</v>
      </c>
      <c r="AQ212" s="23">
        <f t="shared" si="138"/>
        <v>86920</v>
      </c>
      <c r="AR212" s="23">
        <f t="shared" si="139"/>
        <v>82780</v>
      </c>
      <c r="AS212" s="23">
        <f t="shared" si="140"/>
        <v>85367.5</v>
      </c>
      <c r="AT212" s="23">
        <f t="shared" si="141"/>
        <v>84332.5</v>
      </c>
      <c r="AU212" s="23">
        <f t="shared" si="142"/>
        <v>88990</v>
      </c>
      <c r="AV212" s="23">
        <f t="shared" si="143"/>
        <v>80710</v>
      </c>
      <c r="AW212" s="23">
        <f t="shared" si="144"/>
        <v>85195</v>
      </c>
      <c r="AX212" s="23">
        <f t="shared" si="145"/>
        <v>84505</v>
      </c>
      <c r="AY212" s="23">
        <f t="shared" si="146"/>
        <v>91060</v>
      </c>
      <c r="AZ212" s="23">
        <f t="shared" si="147"/>
        <v>78640</v>
      </c>
      <c r="BA212" s="23">
        <f>(AP211+AM211)/(1+1)</f>
        <v>84763.75</v>
      </c>
      <c r="BB212" s="43"/>
      <c r="BC212" s="51">
        <f t="shared" si="129"/>
        <v>84850</v>
      </c>
      <c r="BD212" s="52">
        <f t="shared" si="133"/>
        <v>84763.75</v>
      </c>
      <c r="BE212" s="37">
        <f t="shared" si="151"/>
        <v>86.25</v>
      </c>
      <c r="BF212">
        <f t="shared" si="152"/>
        <v>86.25</v>
      </c>
      <c r="BG212">
        <f t="shared" si="153"/>
        <v>1.0164997053624043E-3</v>
      </c>
    </row>
    <row r="213" spans="1:59">
      <c r="A213" s="1" t="s">
        <v>214</v>
      </c>
      <c r="B213" s="1">
        <v>84910</v>
      </c>
      <c r="Q213">
        <v>210</v>
      </c>
      <c r="R213" s="27" t="str">
        <f t="shared" si="130"/>
        <v>28/03/2024</v>
      </c>
      <c r="S213" s="27">
        <f t="shared" si="130"/>
        <v>84420</v>
      </c>
      <c r="T213" s="4" t="str">
        <f t="shared" si="131"/>
        <v>A8</v>
      </c>
      <c r="V213">
        <v>210</v>
      </c>
      <c r="W213" s="28" t="str">
        <f t="shared" si="128"/>
        <v>28/03/2024</v>
      </c>
      <c r="X213" s="28">
        <f t="shared" si="128"/>
        <v>84420</v>
      </c>
      <c r="Y213" s="28" t="str">
        <f t="shared" si="128"/>
        <v>A8</v>
      </c>
      <c r="Z213" s="5" t="str">
        <f t="shared" si="134"/>
        <v>A8</v>
      </c>
      <c r="AA213" s="5" t="str">
        <f t="shared" si="132"/>
        <v>A8</v>
      </c>
      <c r="AG213" s="49" t="str">
        <f t="shared" si="127"/>
        <v>28/03/2024</v>
      </c>
      <c r="AH213" s="46">
        <f t="shared" si="127"/>
        <v>84420</v>
      </c>
      <c r="AI213" s="49" t="str">
        <f t="shared" si="127"/>
        <v>A8</v>
      </c>
      <c r="AJ213" s="49" t="str">
        <f t="shared" si="135"/>
        <v>A8</v>
      </c>
      <c r="AK213" s="50">
        <f t="shared" si="125"/>
        <v>85922.5</v>
      </c>
      <c r="AL213" s="49" t="str">
        <f t="shared" si="148"/>
        <v>A8</v>
      </c>
      <c r="AM213" s="50">
        <f t="shared" si="136"/>
        <v>85922.5</v>
      </c>
      <c r="AN213" s="56">
        <f t="shared" si="149"/>
        <v>170</v>
      </c>
      <c r="AO213" s="57">
        <f t="shared" si="150"/>
        <v>84505</v>
      </c>
      <c r="AP213" s="23">
        <f t="shared" si="137"/>
        <v>84335</v>
      </c>
      <c r="AQ213" s="23">
        <f t="shared" si="138"/>
        <v>84590</v>
      </c>
      <c r="AR213" s="23">
        <f t="shared" si="139"/>
        <v>84250</v>
      </c>
      <c r="AS213" s="23">
        <f t="shared" si="140"/>
        <v>84462.5</v>
      </c>
      <c r="AT213" s="23">
        <f t="shared" si="141"/>
        <v>84377.5</v>
      </c>
      <c r="AU213" s="23">
        <f t="shared" si="142"/>
        <v>84760</v>
      </c>
      <c r="AV213" s="23">
        <f t="shared" si="143"/>
        <v>84080</v>
      </c>
      <c r="AW213" s="23">
        <f t="shared" si="144"/>
        <v>84448.333333333328</v>
      </c>
      <c r="AX213" s="23">
        <f t="shared" si="145"/>
        <v>84391.666666666672</v>
      </c>
      <c r="AY213" s="23">
        <f t="shared" si="146"/>
        <v>84930</v>
      </c>
      <c r="AZ213" s="23">
        <f t="shared" si="147"/>
        <v>83910</v>
      </c>
      <c r="BA213" s="23">
        <f t="shared" ref="BA213:BA226" si="155">(AO212+AM212)/(1+1)</f>
        <v>85903.75</v>
      </c>
      <c r="BB213" s="43"/>
      <c r="BC213" s="51">
        <f t="shared" si="129"/>
        <v>84420</v>
      </c>
      <c r="BD213" s="52">
        <f t="shared" si="133"/>
        <v>85903.75</v>
      </c>
      <c r="BE213" s="37">
        <f t="shared" si="151"/>
        <v>-1483.75</v>
      </c>
      <c r="BF213">
        <f t="shared" si="152"/>
        <v>1483.75</v>
      </c>
      <c r="BG213">
        <f t="shared" si="153"/>
        <v>1.7575811419095002E-2</v>
      </c>
    </row>
    <row r="214" spans="1:59">
      <c r="A214" s="1" t="s">
        <v>215</v>
      </c>
      <c r="B214" s="1">
        <v>86200</v>
      </c>
      <c r="Q214">
        <v>211</v>
      </c>
      <c r="R214" s="27" t="str">
        <f t="shared" si="130"/>
        <v>29/03/2024</v>
      </c>
      <c r="S214" s="27">
        <f t="shared" si="130"/>
        <v>84870</v>
      </c>
      <c r="T214" s="4" t="str">
        <f t="shared" si="131"/>
        <v>A8</v>
      </c>
      <c r="V214">
        <v>211</v>
      </c>
      <c r="W214" s="28" t="str">
        <f t="shared" si="128"/>
        <v>29/03/2024</v>
      </c>
      <c r="X214" s="28">
        <f t="shared" si="128"/>
        <v>84870</v>
      </c>
      <c r="Y214" s="28" t="str">
        <f t="shared" si="128"/>
        <v>A8</v>
      </c>
      <c r="Z214" s="5" t="str">
        <f t="shared" si="134"/>
        <v>A8</v>
      </c>
      <c r="AA214" s="5" t="str">
        <f t="shared" si="132"/>
        <v>A8</v>
      </c>
      <c r="AG214" s="49" t="str">
        <f t="shared" si="127"/>
        <v>29/03/2024</v>
      </c>
      <c r="AH214" s="46">
        <f t="shared" si="127"/>
        <v>84870</v>
      </c>
      <c r="AI214" s="49" t="str">
        <f t="shared" si="127"/>
        <v>A8</v>
      </c>
      <c r="AJ214" s="49" t="str">
        <f t="shared" si="135"/>
        <v>A8</v>
      </c>
      <c r="AK214" s="50">
        <f t="shared" si="125"/>
        <v>85922.5</v>
      </c>
      <c r="AL214" s="49" t="str">
        <f t="shared" si="148"/>
        <v>A8</v>
      </c>
      <c r="AM214" s="50">
        <f t="shared" si="136"/>
        <v>85922.5</v>
      </c>
      <c r="AN214" s="56">
        <f t="shared" si="149"/>
        <v>20</v>
      </c>
      <c r="AO214" s="57">
        <f t="shared" si="150"/>
        <v>84880</v>
      </c>
      <c r="AP214" s="23">
        <f t="shared" si="137"/>
        <v>84860</v>
      </c>
      <c r="AQ214" s="23">
        <f t="shared" si="138"/>
        <v>84890</v>
      </c>
      <c r="AR214" s="23">
        <f t="shared" si="139"/>
        <v>84850</v>
      </c>
      <c r="AS214" s="23">
        <f t="shared" si="140"/>
        <v>84875</v>
      </c>
      <c r="AT214" s="23">
        <f t="shared" si="141"/>
        <v>84865</v>
      </c>
      <c r="AU214" s="23">
        <f t="shared" si="142"/>
        <v>84910</v>
      </c>
      <c r="AV214" s="23">
        <f t="shared" si="143"/>
        <v>84830</v>
      </c>
      <c r="AW214" s="23">
        <f t="shared" si="144"/>
        <v>84873.333333333328</v>
      </c>
      <c r="AX214" s="23">
        <f t="shared" si="145"/>
        <v>84866.666666666672</v>
      </c>
      <c r="AY214" s="23">
        <f t="shared" si="146"/>
        <v>84930</v>
      </c>
      <c r="AZ214" s="23">
        <f t="shared" si="147"/>
        <v>84810</v>
      </c>
      <c r="BA214" s="23">
        <f t="shared" si="155"/>
        <v>85213.75</v>
      </c>
      <c r="BB214" s="43"/>
      <c r="BC214" s="51">
        <f t="shared" si="129"/>
        <v>84870</v>
      </c>
      <c r="BD214" s="52">
        <f t="shared" si="133"/>
        <v>85213.75</v>
      </c>
      <c r="BE214" s="37">
        <f t="shared" si="151"/>
        <v>-343.75</v>
      </c>
      <c r="BF214">
        <f t="shared" si="152"/>
        <v>343.75</v>
      </c>
      <c r="BG214">
        <f t="shared" si="153"/>
        <v>4.050312242252857E-3</v>
      </c>
    </row>
    <row r="215" spans="1:59">
      <c r="A215" s="1" t="s">
        <v>216</v>
      </c>
      <c r="B215" s="1">
        <v>87780</v>
      </c>
      <c r="Q215">
        <v>212</v>
      </c>
      <c r="R215" s="27" t="str">
        <f t="shared" si="130"/>
        <v>30/03/2024</v>
      </c>
      <c r="S215" s="27">
        <f t="shared" si="130"/>
        <v>84910</v>
      </c>
      <c r="T215" s="4" t="str">
        <f t="shared" si="131"/>
        <v>A8</v>
      </c>
      <c r="V215">
        <v>212</v>
      </c>
      <c r="W215" s="28" t="str">
        <f t="shared" si="128"/>
        <v>30/03/2024</v>
      </c>
      <c r="X215" s="28">
        <f t="shared" si="128"/>
        <v>84910</v>
      </c>
      <c r="Y215" s="28" t="str">
        <f t="shared" si="128"/>
        <v>A8</v>
      </c>
      <c r="Z215" s="5" t="str">
        <f t="shared" si="134"/>
        <v>A8</v>
      </c>
      <c r="AA215" s="5" t="str">
        <f t="shared" si="132"/>
        <v>A8</v>
      </c>
      <c r="AG215" s="49" t="str">
        <f t="shared" si="127"/>
        <v>30/03/2024</v>
      </c>
      <c r="AH215" s="46">
        <f t="shared" si="127"/>
        <v>84910</v>
      </c>
      <c r="AI215" s="49" t="str">
        <f t="shared" si="127"/>
        <v>A8</v>
      </c>
      <c r="AJ215" s="49" t="str">
        <f t="shared" si="135"/>
        <v>A8</v>
      </c>
      <c r="AK215" s="50">
        <f t="shared" si="125"/>
        <v>85922.5</v>
      </c>
      <c r="AL215" s="49" t="str">
        <f t="shared" si="148"/>
        <v>A8</v>
      </c>
      <c r="AM215" s="50">
        <f t="shared" si="136"/>
        <v>85922.5</v>
      </c>
      <c r="AN215" s="56">
        <f t="shared" si="149"/>
        <v>410</v>
      </c>
      <c r="AO215" s="57">
        <f t="shared" si="150"/>
        <v>85115</v>
      </c>
      <c r="AP215" s="23">
        <f t="shared" si="137"/>
        <v>84705</v>
      </c>
      <c r="AQ215" s="23">
        <f t="shared" si="138"/>
        <v>85320</v>
      </c>
      <c r="AR215" s="23">
        <f t="shared" si="139"/>
        <v>84500</v>
      </c>
      <c r="AS215" s="23">
        <f t="shared" si="140"/>
        <v>85012.5</v>
      </c>
      <c r="AT215" s="23">
        <f t="shared" si="141"/>
        <v>84807.5</v>
      </c>
      <c r="AU215" s="23">
        <f t="shared" si="142"/>
        <v>85730</v>
      </c>
      <c r="AV215" s="23">
        <f t="shared" si="143"/>
        <v>84090</v>
      </c>
      <c r="AW215" s="23">
        <f t="shared" si="144"/>
        <v>84978.333333333328</v>
      </c>
      <c r="AX215" s="23">
        <f t="shared" si="145"/>
        <v>84841.666666666672</v>
      </c>
      <c r="AY215" s="23">
        <f t="shared" si="146"/>
        <v>86140</v>
      </c>
      <c r="AZ215" s="23">
        <f t="shared" si="147"/>
        <v>83680</v>
      </c>
      <c r="BA215" s="23">
        <f t="shared" si="155"/>
        <v>85401.25</v>
      </c>
      <c r="BB215" s="43"/>
      <c r="BC215" s="51">
        <f t="shared" si="129"/>
        <v>84910</v>
      </c>
      <c r="BD215" s="52">
        <f t="shared" si="133"/>
        <v>85401.25</v>
      </c>
      <c r="BE215" s="37">
        <f t="shared" si="151"/>
        <v>-491.25</v>
      </c>
      <c r="BF215">
        <f t="shared" si="152"/>
        <v>491.25</v>
      </c>
      <c r="BG215">
        <f t="shared" si="153"/>
        <v>5.7855376280767871E-3</v>
      </c>
    </row>
    <row r="216" spans="1:59">
      <c r="A216" s="1" t="s">
        <v>217</v>
      </c>
      <c r="B216" s="1">
        <v>89240</v>
      </c>
      <c r="Q216">
        <v>213</v>
      </c>
      <c r="R216" s="27" t="str">
        <f t="shared" si="130"/>
        <v>31/03/2024</v>
      </c>
      <c r="S216" s="27">
        <f t="shared" si="130"/>
        <v>86200</v>
      </c>
      <c r="T216" s="4" t="str">
        <f t="shared" si="131"/>
        <v>A8</v>
      </c>
      <c r="V216">
        <v>213</v>
      </c>
      <c r="W216" s="28" t="str">
        <f t="shared" si="128"/>
        <v>31/03/2024</v>
      </c>
      <c r="X216" s="28">
        <f t="shared" si="128"/>
        <v>86200</v>
      </c>
      <c r="Y216" s="28" t="str">
        <f t="shared" si="128"/>
        <v>A8</v>
      </c>
      <c r="Z216" s="5" t="str">
        <f t="shared" si="134"/>
        <v>A8</v>
      </c>
      <c r="AA216" s="5" t="str">
        <f t="shared" si="132"/>
        <v>A8</v>
      </c>
      <c r="AG216" s="49" t="str">
        <f t="shared" si="127"/>
        <v>31/03/2024</v>
      </c>
      <c r="AH216" s="46">
        <f t="shared" si="127"/>
        <v>86200</v>
      </c>
      <c r="AI216" s="49" t="str">
        <f t="shared" si="127"/>
        <v>A8</v>
      </c>
      <c r="AJ216" s="49" t="str">
        <f t="shared" si="135"/>
        <v>A8</v>
      </c>
      <c r="AK216" s="50">
        <f t="shared" si="125"/>
        <v>85922.5</v>
      </c>
      <c r="AL216" s="49" t="str">
        <f t="shared" si="148"/>
        <v>A8</v>
      </c>
      <c r="AM216" s="50">
        <f t="shared" si="136"/>
        <v>85922.5</v>
      </c>
      <c r="AN216" s="56">
        <f t="shared" si="149"/>
        <v>1250</v>
      </c>
      <c r="AO216" s="57">
        <f t="shared" si="150"/>
        <v>86825</v>
      </c>
      <c r="AP216" s="23">
        <f t="shared" si="137"/>
        <v>85575</v>
      </c>
      <c r="AQ216" s="23">
        <f t="shared" si="138"/>
        <v>87450</v>
      </c>
      <c r="AR216" s="23">
        <f t="shared" si="139"/>
        <v>84950</v>
      </c>
      <c r="AS216" s="23">
        <f t="shared" si="140"/>
        <v>86512.5</v>
      </c>
      <c r="AT216" s="23">
        <f t="shared" si="141"/>
        <v>85887.5</v>
      </c>
      <c r="AU216" s="23">
        <f t="shared" si="142"/>
        <v>88700</v>
      </c>
      <c r="AV216" s="23">
        <f t="shared" si="143"/>
        <v>83700</v>
      </c>
      <c r="AW216" s="23">
        <f t="shared" si="144"/>
        <v>86408.333333333328</v>
      </c>
      <c r="AX216" s="23">
        <f t="shared" si="145"/>
        <v>85991.666666666672</v>
      </c>
      <c r="AY216" s="23">
        <f t="shared" si="146"/>
        <v>89950</v>
      </c>
      <c r="AZ216" s="23">
        <f t="shared" si="147"/>
        <v>82450</v>
      </c>
      <c r="BA216" s="23">
        <f t="shared" si="155"/>
        <v>85518.75</v>
      </c>
      <c r="BB216" s="43"/>
      <c r="BC216" s="51">
        <f t="shared" si="129"/>
        <v>86200</v>
      </c>
      <c r="BD216" s="52">
        <f t="shared" si="133"/>
        <v>85518.75</v>
      </c>
      <c r="BE216" s="37">
        <f t="shared" si="151"/>
        <v>681.25</v>
      </c>
      <c r="BF216">
        <f t="shared" si="152"/>
        <v>681.25</v>
      </c>
      <c r="BG216">
        <f t="shared" si="153"/>
        <v>7.9031322505800465E-3</v>
      </c>
    </row>
    <row r="217" spans="1:59">
      <c r="A217" s="1" t="s">
        <v>218</v>
      </c>
      <c r="B217" s="1">
        <v>85920</v>
      </c>
      <c r="Q217">
        <v>214</v>
      </c>
      <c r="R217" s="27" t="str">
        <f t="shared" si="130"/>
        <v>01/04/2024</v>
      </c>
      <c r="S217" s="27">
        <f t="shared" si="130"/>
        <v>87780</v>
      </c>
      <c r="T217" s="4" t="str">
        <f t="shared" si="131"/>
        <v>A8</v>
      </c>
      <c r="V217">
        <v>214</v>
      </c>
      <c r="W217" s="28" t="str">
        <f t="shared" si="128"/>
        <v>01/04/2024</v>
      </c>
      <c r="X217" s="28">
        <f t="shared" si="128"/>
        <v>87780</v>
      </c>
      <c r="Y217" s="28" t="str">
        <f t="shared" si="128"/>
        <v>A8</v>
      </c>
      <c r="Z217" s="5" t="str">
        <f t="shared" si="134"/>
        <v>A8</v>
      </c>
      <c r="AA217" s="5" t="str">
        <f t="shared" si="132"/>
        <v>A8</v>
      </c>
      <c r="AG217" s="49" t="str">
        <f t="shared" si="127"/>
        <v>01/04/2024</v>
      </c>
      <c r="AH217" s="46">
        <f t="shared" si="127"/>
        <v>87780</v>
      </c>
      <c r="AI217" s="49" t="str">
        <f t="shared" si="127"/>
        <v>A8</v>
      </c>
      <c r="AJ217" s="49" t="str">
        <f t="shared" si="135"/>
        <v>A8</v>
      </c>
      <c r="AK217" s="50">
        <f t="shared" si="125"/>
        <v>85922.5</v>
      </c>
      <c r="AL217" s="49" t="str">
        <f t="shared" si="148"/>
        <v>A8</v>
      </c>
      <c r="AM217" s="50">
        <f t="shared" si="136"/>
        <v>85922.5</v>
      </c>
      <c r="AN217" s="56">
        <f t="shared" si="149"/>
        <v>290</v>
      </c>
      <c r="AO217" s="57">
        <f t="shared" si="150"/>
        <v>87925</v>
      </c>
      <c r="AP217" s="23">
        <f t="shared" si="137"/>
        <v>87635</v>
      </c>
      <c r="AQ217" s="23">
        <f t="shared" si="138"/>
        <v>88070</v>
      </c>
      <c r="AR217" s="23">
        <f t="shared" si="139"/>
        <v>87490</v>
      </c>
      <c r="AS217" s="23">
        <f t="shared" si="140"/>
        <v>87852.5</v>
      </c>
      <c r="AT217" s="23">
        <f t="shared" si="141"/>
        <v>87707.5</v>
      </c>
      <c r="AU217" s="23">
        <f t="shared" si="142"/>
        <v>88360</v>
      </c>
      <c r="AV217" s="23">
        <f t="shared" si="143"/>
        <v>87200</v>
      </c>
      <c r="AW217" s="23">
        <f t="shared" si="144"/>
        <v>87828.333333333328</v>
      </c>
      <c r="AX217" s="23">
        <f t="shared" si="145"/>
        <v>87731.666666666672</v>
      </c>
      <c r="AY217" s="23">
        <f t="shared" si="146"/>
        <v>88650</v>
      </c>
      <c r="AZ217" s="23">
        <f t="shared" si="147"/>
        <v>86910</v>
      </c>
      <c r="BA217" s="23">
        <f t="shared" si="155"/>
        <v>86373.75</v>
      </c>
      <c r="BB217" s="43"/>
      <c r="BC217" s="51">
        <f t="shared" si="129"/>
        <v>87780</v>
      </c>
      <c r="BD217" s="52">
        <f t="shared" si="133"/>
        <v>86373.75</v>
      </c>
      <c r="BE217" s="37">
        <f t="shared" si="151"/>
        <v>1406.25</v>
      </c>
      <c r="BF217">
        <f t="shared" si="152"/>
        <v>1406.25</v>
      </c>
      <c r="BG217">
        <f t="shared" si="153"/>
        <v>1.6020164046479837E-2</v>
      </c>
    </row>
    <row r="218" spans="1:59">
      <c r="A218" s="1" t="s">
        <v>219</v>
      </c>
      <c r="B218" s="1">
        <v>88610</v>
      </c>
      <c r="Q218">
        <v>215</v>
      </c>
      <c r="R218" s="27" t="str">
        <f t="shared" si="130"/>
        <v>02/04/2024</v>
      </c>
      <c r="S218" s="27">
        <f t="shared" si="130"/>
        <v>89240</v>
      </c>
      <c r="T218" s="4" t="str">
        <f t="shared" si="131"/>
        <v>A9</v>
      </c>
      <c r="V218">
        <v>215</v>
      </c>
      <c r="W218" s="28" t="str">
        <f t="shared" si="128"/>
        <v>02/04/2024</v>
      </c>
      <c r="X218" s="28">
        <f t="shared" si="128"/>
        <v>89240</v>
      </c>
      <c r="Y218" s="28" t="str">
        <f t="shared" si="128"/>
        <v>A9</v>
      </c>
      <c r="Z218" s="5" t="str">
        <f t="shared" si="134"/>
        <v>A8</v>
      </c>
      <c r="AA218" s="5" t="str">
        <f t="shared" si="132"/>
        <v>A9</v>
      </c>
      <c r="AG218" s="49" t="str">
        <f t="shared" si="127"/>
        <v>02/04/2024</v>
      </c>
      <c r="AH218" s="46">
        <f t="shared" si="127"/>
        <v>89240</v>
      </c>
      <c r="AI218" s="49" t="str">
        <f t="shared" si="127"/>
        <v>A9</v>
      </c>
      <c r="AJ218" s="49" t="str">
        <f t="shared" si="135"/>
        <v>A8</v>
      </c>
      <c r="AK218" s="50">
        <f t="shared" si="125"/>
        <v>85922.5</v>
      </c>
      <c r="AL218" s="49" t="str">
        <f t="shared" si="148"/>
        <v>A9</v>
      </c>
      <c r="AM218" s="50">
        <f t="shared" si="136"/>
        <v>91953.5</v>
      </c>
      <c r="AN218" s="56">
        <f t="shared" si="149"/>
        <v>120</v>
      </c>
      <c r="AO218" s="57">
        <f t="shared" si="150"/>
        <v>89300</v>
      </c>
      <c r="AP218" s="23">
        <f t="shared" si="137"/>
        <v>89180</v>
      </c>
      <c r="AQ218" s="23">
        <f t="shared" si="138"/>
        <v>89360</v>
      </c>
      <c r="AR218" s="23">
        <f t="shared" si="139"/>
        <v>89120</v>
      </c>
      <c r="AS218" s="23">
        <f t="shared" si="140"/>
        <v>89270</v>
      </c>
      <c r="AT218" s="23">
        <f t="shared" si="141"/>
        <v>89210</v>
      </c>
      <c r="AU218" s="23">
        <f t="shared" si="142"/>
        <v>89480</v>
      </c>
      <c r="AV218" s="23">
        <f t="shared" si="143"/>
        <v>89000</v>
      </c>
      <c r="AW218" s="23">
        <f t="shared" si="144"/>
        <v>89260</v>
      </c>
      <c r="AX218" s="23">
        <f t="shared" si="145"/>
        <v>89220</v>
      </c>
      <c r="AY218" s="23">
        <f t="shared" si="146"/>
        <v>89600</v>
      </c>
      <c r="AZ218" s="23">
        <f t="shared" si="147"/>
        <v>88880</v>
      </c>
      <c r="BA218" s="23">
        <f t="shared" si="155"/>
        <v>86923.75</v>
      </c>
      <c r="BB218" s="43"/>
      <c r="BC218" s="51">
        <f t="shared" si="129"/>
        <v>89240</v>
      </c>
      <c r="BD218" s="52">
        <f t="shared" si="133"/>
        <v>86923.75</v>
      </c>
      <c r="BE218" s="37">
        <f t="shared" si="151"/>
        <v>2316.25</v>
      </c>
      <c r="BF218">
        <f t="shared" si="152"/>
        <v>2316.25</v>
      </c>
      <c r="BG218">
        <f t="shared" si="153"/>
        <v>2.5955289108023308E-2</v>
      </c>
    </row>
    <row r="219" spans="1:59">
      <c r="A219" s="1" t="s">
        <v>220</v>
      </c>
      <c r="B219" s="1">
        <v>85650</v>
      </c>
      <c r="Q219">
        <v>216</v>
      </c>
      <c r="R219" s="27" t="str">
        <f t="shared" si="130"/>
        <v>03/04/2024</v>
      </c>
      <c r="S219" s="27">
        <f t="shared" si="130"/>
        <v>85920</v>
      </c>
      <c r="T219" s="4" t="str">
        <f t="shared" si="131"/>
        <v>A8</v>
      </c>
      <c r="V219">
        <v>216</v>
      </c>
      <c r="W219" s="28" t="str">
        <f t="shared" si="128"/>
        <v>03/04/2024</v>
      </c>
      <c r="X219" s="28">
        <f t="shared" si="128"/>
        <v>85920</v>
      </c>
      <c r="Y219" s="28" t="str">
        <f t="shared" si="128"/>
        <v>A8</v>
      </c>
      <c r="Z219" s="5" t="str">
        <f t="shared" si="134"/>
        <v>A9</v>
      </c>
      <c r="AA219" s="5" t="str">
        <f t="shared" si="132"/>
        <v>A8</v>
      </c>
      <c r="AG219" s="49" t="str">
        <f t="shared" si="127"/>
        <v>03/04/2024</v>
      </c>
      <c r="AH219" s="46">
        <f t="shared" si="127"/>
        <v>85920</v>
      </c>
      <c r="AI219" s="49" t="str">
        <f t="shared" si="127"/>
        <v>A8</v>
      </c>
      <c r="AJ219" s="49" t="str">
        <f t="shared" si="135"/>
        <v>A9</v>
      </c>
      <c r="AK219" s="50">
        <f t="shared" si="125"/>
        <v>91953.5</v>
      </c>
      <c r="AL219" s="49" t="str">
        <f t="shared" si="148"/>
        <v>A8</v>
      </c>
      <c r="AM219" s="50">
        <f t="shared" si="136"/>
        <v>85922.5</v>
      </c>
      <c r="AN219" s="56">
        <f t="shared" si="149"/>
        <v>1860</v>
      </c>
      <c r="AO219" s="57">
        <f t="shared" si="150"/>
        <v>86850</v>
      </c>
      <c r="AP219" s="23">
        <f t="shared" si="137"/>
        <v>84990</v>
      </c>
      <c r="AQ219" s="23">
        <f t="shared" si="138"/>
        <v>87780</v>
      </c>
      <c r="AR219" s="23">
        <f t="shared" si="139"/>
        <v>84060</v>
      </c>
      <c r="AS219" s="23">
        <f t="shared" si="140"/>
        <v>86385</v>
      </c>
      <c r="AT219" s="23">
        <f t="shared" si="141"/>
        <v>85455</v>
      </c>
      <c r="AU219" s="23">
        <f t="shared" si="142"/>
        <v>89640</v>
      </c>
      <c r="AV219" s="23">
        <f t="shared" si="143"/>
        <v>82200</v>
      </c>
      <c r="AW219" s="23">
        <f t="shared" si="144"/>
        <v>86230</v>
      </c>
      <c r="AX219" s="23">
        <f t="shared" si="145"/>
        <v>85610</v>
      </c>
      <c r="AY219" s="23">
        <f t="shared" si="146"/>
        <v>91500</v>
      </c>
      <c r="AZ219" s="23">
        <f t="shared" si="147"/>
        <v>80340</v>
      </c>
      <c r="BA219" s="23">
        <f t="shared" si="155"/>
        <v>90626.75</v>
      </c>
      <c r="BB219" s="43"/>
      <c r="BC219" s="51">
        <f t="shared" si="129"/>
        <v>85920</v>
      </c>
      <c r="BD219" s="52">
        <f t="shared" si="133"/>
        <v>90626.75</v>
      </c>
      <c r="BE219" s="37">
        <f t="shared" si="151"/>
        <v>-4706.75</v>
      </c>
      <c r="BF219">
        <f t="shared" si="152"/>
        <v>4706.75</v>
      </c>
      <c r="BG219">
        <f t="shared" si="153"/>
        <v>5.4780609869646182E-2</v>
      </c>
    </row>
    <row r="220" spans="1:59">
      <c r="A220" s="1" t="s">
        <v>221</v>
      </c>
      <c r="B220" s="1">
        <v>86700</v>
      </c>
      <c r="Q220">
        <v>217</v>
      </c>
      <c r="R220" s="27" t="str">
        <f t="shared" si="130"/>
        <v>04/04/2024</v>
      </c>
      <c r="S220" s="27">
        <f t="shared" si="130"/>
        <v>88610</v>
      </c>
      <c r="T220" s="4" t="str">
        <f t="shared" si="131"/>
        <v>A8</v>
      </c>
      <c r="V220">
        <v>217</v>
      </c>
      <c r="W220" s="28" t="str">
        <f t="shared" si="128"/>
        <v>04/04/2024</v>
      </c>
      <c r="X220" s="28">
        <f t="shared" si="128"/>
        <v>88610</v>
      </c>
      <c r="Y220" s="28" t="str">
        <f t="shared" si="128"/>
        <v>A8</v>
      </c>
      <c r="Z220" s="5" t="str">
        <f t="shared" si="134"/>
        <v>A8</v>
      </c>
      <c r="AA220" s="5" t="str">
        <f t="shared" si="132"/>
        <v>A8</v>
      </c>
      <c r="AG220" s="49" t="str">
        <f t="shared" si="127"/>
        <v>04/04/2024</v>
      </c>
      <c r="AH220" s="46">
        <f t="shared" si="127"/>
        <v>88610</v>
      </c>
      <c r="AI220" s="49" t="str">
        <f t="shared" si="127"/>
        <v>A8</v>
      </c>
      <c r="AJ220" s="49" t="str">
        <f t="shared" si="135"/>
        <v>A8</v>
      </c>
      <c r="AK220" s="50">
        <f t="shared" si="125"/>
        <v>85922.5</v>
      </c>
      <c r="AL220" s="49" t="str">
        <f t="shared" si="148"/>
        <v>A8</v>
      </c>
      <c r="AM220" s="50">
        <f t="shared" si="136"/>
        <v>85922.5</v>
      </c>
      <c r="AN220" s="56">
        <f t="shared" si="149"/>
        <v>630</v>
      </c>
      <c r="AO220" s="57">
        <f t="shared" si="150"/>
        <v>88925</v>
      </c>
      <c r="AP220" s="23">
        <f t="shared" si="137"/>
        <v>88295</v>
      </c>
      <c r="AQ220" s="23">
        <f t="shared" si="138"/>
        <v>89240</v>
      </c>
      <c r="AR220" s="23">
        <f t="shared" si="139"/>
        <v>87980</v>
      </c>
      <c r="AS220" s="23">
        <f t="shared" si="140"/>
        <v>88767.5</v>
      </c>
      <c r="AT220" s="23">
        <f t="shared" si="141"/>
        <v>88452.5</v>
      </c>
      <c r="AU220" s="23">
        <f t="shared" si="142"/>
        <v>89870</v>
      </c>
      <c r="AV220" s="23">
        <f t="shared" si="143"/>
        <v>87350</v>
      </c>
      <c r="AW220" s="23">
        <f t="shared" si="144"/>
        <v>88715</v>
      </c>
      <c r="AX220" s="23">
        <f t="shared" si="145"/>
        <v>88505</v>
      </c>
      <c r="AY220" s="23">
        <f t="shared" si="146"/>
        <v>90500</v>
      </c>
      <c r="AZ220" s="23">
        <f t="shared" si="147"/>
        <v>86720</v>
      </c>
      <c r="BA220" s="23">
        <f t="shared" si="155"/>
        <v>86386.25</v>
      </c>
      <c r="BB220" s="43"/>
      <c r="BC220" s="51">
        <f t="shared" si="129"/>
        <v>88610</v>
      </c>
      <c r="BD220" s="52">
        <f t="shared" si="133"/>
        <v>86386.25</v>
      </c>
      <c r="BE220" s="37">
        <f t="shared" si="151"/>
        <v>2223.75</v>
      </c>
      <c r="BF220">
        <f t="shared" si="152"/>
        <v>2223.75</v>
      </c>
      <c r="BG220">
        <f t="shared" si="153"/>
        <v>2.5095925967723733E-2</v>
      </c>
    </row>
    <row r="221" spans="1:59">
      <c r="A221" s="1" t="s">
        <v>222</v>
      </c>
      <c r="B221" s="1">
        <v>87180</v>
      </c>
      <c r="Q221">
        <v>218</v>
      </c>
      <c r="R221" s="27" t="str">
        <f t="shared" si="130"/>
        <v>05/04/2024</v>
      </c>
      <c r="S221" s="27">
        <f t="shared" si="130"/>
        <v>85650</v>
      </c>
      <c r="T221" s="4" t="str">
        <f t="shared" si="131"/>
        <v>A8</v>
      </c>
      <c r="V221">
        <v>218</v>
      </c>
      <c r="W221" s="28" t="str">
        <f t="shared" si="128"/>
        <v>05/04/2024</v>
      </c>
      <c r="X221" s="28">
        <f t="shared" si="128"/>
        <v>85650</v>
      </c>
      <c r="Y221" s="28" t="str">
        <f t="shared" si="128"/>
        <v>A8</v>
      </c>
      <c r="Z221" s="5" t="str">
        <f t="shared" si="134"/>
        <v>A8</v>
      </c>
      <c r="AA221" s="5" t="str">
        <f t="shared" si="132"/>
        <v>A8</v>
      </c>
      <c r="AG221" s="49" t="str">
        <f t="shared" si="127"/>
        <v>05/04/2024</v>
      </c>
      <c r="AH221" s="46">
        <f t="shared" si="127"/>
        <v>85650</v>
      </c>
      <c r="AI221" s="49" t="str">
        <f t="shared" si="127"/>
        <v>A8</v>
      </c>
      <c r="AJ221" s="49" t="str">
        <f t="shared" si="135"/>
        <v>A8</v>
      </c>
      <c r="AK221" s="50">
        <f t="shared" si="125"/>
        <v>85922.5</v>
      </c>
      <c r="AL221" s="49" t="str">
        <f t="shared" si="148"/>
        <v>A8</v>
      </c>
      <c r="AM221" s="50">
        <f t="shared" si="136"/>
        <v>85922.5</v>
      </c>
      <c r="AN221" s="56">
        <f t="shared" si="149"/>
        <v>270</v>
      </c>
      <c r="AO221" s="57">
        <f t="shared" si="150"/>
        <v>85785</v>
      </c>
      <c r="AP221" s="23">
        <f t="shared" si="137"/>
        <v>85515</v>
      </c>
      <c r="AQ221" s="23">
        <f t="shared" si="138"/>
        <v>85920</v>
      </c>
      <c r="AR221" s="23">
        <f t="shared" si="139"/>
        <v>85380</v>
      </c>
      <c r="AS221" s="23">
        <f t="shared" si="140"/>
        <v>85717.5</v>
      </c>
      <c r="AT221" s="23">
        <f t="shared" si="141"/>
        <v>85582.5</v>
      </c>
      <c r="AU221" s="23">
        <f t="shared" si="142"/>
        <v>86190</v>
      </c>
      <c r="AV221" s="23">
        <f t="shared" si="143"/>
        <v>85110</v>
      </c>
      <c r="AW221" s="23">
        <f t="shared" si="144"/>
        <v>85695</v>
      </c>
      <c r="AX221" s="23">
        <f t="shared" si="145"/>
        <v>85605</v>
      </c>
      <c r="AY221" s="23">
        <f t="shared" si="146"/>
        <v>86460</v>
      </c>
      <c r="AZ221" s="23">
        <f t="shared" si="147"/>
        <v>84840</v>
      </c>
      <c r="BA221" s="23">
        <f t="shared" si="155"/>
        <v>87423.75</v>
      </c>
      <c r="BB221" s="43"/>
      <c r="BC221" s="51">
        <f t="shared" si="129"/>
        <v>85650</v>
      </c>
      <c r="BD221" s="52">
        <f t="shared" si="133"/>
        <v>87423.75</v>
      </c>
      <c r="BE221" s="37">
        <f t="shared" si="151"/>
        <v>-1773.75</v>
      </c>
      <c r="BF221">
        <f t="shared" si="152"/>
        <v>1773.75</v>
      </c>
      <c r="BG221">
        <f t="shared" si="153"/>
        <v>2.0709281961471104E-2</v>
      </c>
    </row>
    <row r="222" spans="1:59">
      <c r="A222" s="1" t="s">
        <v>223</v>
      </c>
      <c r="B222" s="1">
        <v>87850</v>
      </c>
      <c r="Q222">
        <v>219</v>
      </c>
      <c r="R222" s="27" t="str">
        <f t="shared" si="130"/>
        <v>06/04/2024</v>
      </c>
      <c r="S222" s="27">
        <f t="shared" si="130"/>
        <v>86700</v>
      </c>
      <c r="T222" s="4" t="str">
        <f t="shared" si="131"/>
        <v>A8</v>
      </c>
      <c r="V222">
        <v>219</v>
      </c>
      <c r="W222" s="28" t="str">
        <f t="shared" si="128"/>
        <v>06/04/2024</v>
      </c>
      <c r="X222" s="28">
        <f t="shared" si="128"/>
        <v>86700</v>
      </c>
      <c r="Y222" s="28" t="str">
        <f t="shared" si="128"/>
        <v>A8</v>
      </c>
      <c r="Z222" s="5" t="str">
        <f t="shared" si="134"/>
        <v>A8</v>
      </c>
      <c r="AA222" s="5" t="str">
        <f t="shared" si="132"/>
        <v>A8</v>
      </c>
      <c r="AG222" s="49" t="str">
        <f t="shared" si="127"/>
        <v>06/04/2024</v>
      </c>
      <c r="AH222" s="46">
        <f t="shared" si="127"/>
        <v>86700</v>
      </c>
      <c r="AI222" s="49" t="str">
        <f t="shared" si="127"/>
        <v>A8</v>
      </c>
      <c r="AJ222" s="49" t="str">
        <f t="shared" si="135"/>
        <v>A8</v>
      </c>
      <c r="AK222" s="50">
        <f t="shared" si="125"/>
        <v>85922.5</v>
      </c>
      <c r="AL222" s="49" t="str">
        <f t="shared" si="148"/>
        <v>A8</v>
      </c>
      <c r="AM222" s="50">
        <f t="shared" si="136"/>
        <v>85922.5</v>
      </c>
      <c r="AN222" s="56">
        <f t="shared" si="149"/>
        <v>1910</v>
      </c>
      <c r="AO222" s="57">
        <f t="shared" si="150"/>
        <v>87655</v>
      </c>
      <c r="AP222" s="23">
        <f t="shared" si="137"/>
        <v>85745</v>
      </c>
      <c r="AQ222" s="23">
        <f t="shared" si="138"/>
        <v>88610</v>
      </c>
      <c r="AR222" s="23">
        <f t="shared" si="139"/>
        <v>84790</v>
      </c>
      <c r="AS222" s="23">
        <f t="shared" si="140"/>
        <v>87177.5</v>
      </c>
      <c r="AT222" s="23">
        <f t="shared" si="141"/>
        <v>86222.5</v>
      </c>
      <c r="AU222" s="23">
        <f t="shared" si="142"/>
        <v>90520</v>
      </c>
      <c r="AV222" s="23">
        <f t="shared" si="143"/>
        <v>82880</v>
      </c>
      <c r="AW222" s="23">
        <f t="shared" si="144"/>
        <v>87018.333333333328</v>
      </c>
      <c r="AX222" s="23">
        <f t="shared" si="145"/>
        <v>86381.666666666672</v>
      </c>
      <c r="AY222" s="23">
        <f t="shared" si="146"/>
        <v>92430</v>
      </c>
      <c r="AZ222" s="23">
        <f t="shared" si="147"/>
        <v>80970</v>
      </c>
      <c r="BA222" s="23">
        <f t="shared" si="155"/>
        <v>85853.75</v>
      </c>
      <c r="BB222" s="43"/>
      <c r="BC222" s="51">
        <f t="shared" si="129"/>
        <v>86700</v>
      </c>
      <c r="BD222" s="52">
        <f t="shared" si="133"/>
        <v>85853.75</v>
      </c>
      <c r="BE222" s="37">
        <f t="shared" si="151"/>
        <v>846.25</v>
      </c>
      <c r="BF222">
        <f t="shared" si="152"/>
        <v>846.25</v>
      </c>
      <c r="BG222">
        <f t="shared" si="153"/>
        <v>9.7606689734717408E-3</v>
      </c>
    </row>
    <row r="223" spans="1:59">
      <c r="A223" s="1" t="s">
        <v>224</v>
      </c>
      <c r="B223" s="1">
        <v>86350</v>
      </c>
      <c r="Q223">
        <v>220</v>
      </c>
      <c r="R223" s="27" t="str">
        <f t="shared" si="130"/>
        <v>07/04/2024</v>
      </c>
      <c r="S223" s="27">
        <f t="shared" si="130"/>
        <v>87180</v>
      </c>
      <c r="T223" s="4" t="str">
        <f t="shared" si="131"/>
        <v>A8</v>
      </c>
      <c r="V223">
        <v>220</v>
      </c>
      <c r="W223" s="28" t="str">
        <f t="shared" si="128"/>
        <v>07/04/2024</v>
      </c>
      <c r="X223" s="28">
        <f t="shared" si="128"/>
        <v>87180</v>
      </c>
      <c r="Y223" s="28" t="str">
        <f t="shared" si="128"/>
        <v>A8</v>
      </c>
      <c r="Z223" s="5" t="str">
        <f t="shared" si="134"/>
        <v>A8</v>
      </c>
      <c r="AA223" s="5" t="str">
        <f t="shared" si="132"/>
        <v>A8</v>
      </c>
      <c r="AG223" s="49" t="str">
        <f t="shared" si="127"/>
        <v>07/04/2024</v>
      </c>
      <c r="AH223" s="46">
        <f t="shared" si="127"/>
        <v>87180</v>
      </c>
      <c r="AI223" s="49" t="str">
        <f t="shared" si="127"/>
        <v>A8</v>
      </c>
      <c r="AJ223" s="49" t="str">
        <f t="shared" si="135"/>
        <v>A8</v>
      </c>
      <c r="AK223" s="50">
        <f t="shared" si="125"/>
        <v>85922.5</v>
      </c>
      <c r="AL223" s="49" t="str">
        <f t="shared" si="148"/>
        <v>A8</v>
      </c>
      <c r="AM223" s="50">
        <f t="shared" si="136"/>
        <v>85922.5</v>
      </c>
      <c r="AN223" s="56">
        <f t="shared" si="149"/>
        <v>570</v>
      </c>
      <c r="AO223" s="57">
        <f t="shared" si="150"/>
        <v>87465</v>
      </c>
      <c r="AP223" s="23">
        <f t="shared" si="137"/>
        <v>86895</v>
      </c>
      <c r="AQ223" s="23">
        <f t="shared" si="138"/>
        <v>87750</v>
      </c>
      <c r="AR223" s="23">
        <f t="shared" si="139"/>
        <v>86610</v>
      </c>
      <c r="AS223" s="23">
        <f t="shared" si="140"/>
        <v>87322.5</v>
      </c>
      <c r="AT223" s="23">
        <f t="shared" si="141"/>
        <v>87037.5</v>
      </c>
      <c r="AU223" s="23">
        <f t="shared" si="142"/>
        <v>88320</v>
      </c>
      <c r="AV223" s="23">
        <f t="shared" si="143"/>
        <v>86040</v>
      </c>
      <c r="AW223" s="23">
        <f t="shared" si="144"/>
        <v>87275</v>
      </c>
      <c r="AX223" s="23">
        <f t="shared" si="145"/>
        <v>87085</v>
      </c>
      <c r="AY223" s="23">
        <f t="shared" si="146"/>
        <v>88890</v>
      </c>
      <c r="AZ223" s="23">
        <f t="shared" si="147"/>
        <v>85470</v>
      </c>
      <c r="BA223" s="23">
        <f t="shared" si="155"/>
        <v>86788.75</v>
      </c>
      <c r="BB223" s="43"/>
      <c r="BC223" s="51">
        <f t="shared" si="129"/>
        <v>87180</v>
      </c>
      <c r="BD223" s="52">
        <f t="shared" si="133"/>
        <v>86788.75</v>
      </c>
      <c r="BE223" s="37">
        <f t="shared" si="151"/>
        <v>391.25</v>
      </c>
      <c r="BF223">
        <f t="shared" si="152"/>
        <v>391.25</v>
      </c>
      <c r="BG223">
        <f t="shared" si="153"/>
        <v>4.4878412479926588E-3</v>
      </c>
    </row>
    <row r="224" spans="1:59">
      <c r="A224" s="1" t="s">
        <v>225</v>
      </c>
      <c r="B224" s="1">
        <v>90000</v>
      </c>
      <c r="Q224">
        <v>221</v>
      </c>
      <c r="R224" s="27" t="str">
        <f t="shared" si="130"/>
        <v>08/04/2024</v>
      </c>
      <c r="S224" s="27">
        <f t="shared" si="130"/>
        <v>87850</v>
      </c>
      <c r="T224" s="4" t="str">
        <f t="shared" si="131"/>
        <v>A8</v>
      </c>
      <c r="V224">
        <v>221</v>
      </c>
      <c r="W224" s="28" t="str">
        <f t="shared" si="128"/>
        <v>08/04/2024</v>
      </c>
      <c r="X224" s="28">
        <f t="shared" si="128"/>
        <v>87850</v>
      </c>
      <c r="Y224" s="28" t="str">
        <f t="shared" si="128"/>
        <v>A8</v>
      </c>
      <c r="Z224" s="5" t="str">
        <f t="shared" si="134"/>
        <v>A8</v>
      </c>
      <c r="AA224" s="5" t="str">
        <f t="shared" si="132"/>
        <v>A8</v>
      </c>
      <c r="AG224" s="49" t="str">
        <f t="shared" si="127"/>
        <v>08/04/2024</v>
      </c>
      <c r="AH224" s="46">
        <f t="shared" si="127"/>
        <v>87850</v>
      </c>
      <c r="AI224" s="49" t="str">
        <f t="shared" si="127"/>
        <v>A8</v>
      </c>
      <c r="AJ224" s="49" t="str">
        <f t="shared" si="135"/>
        <v>A8</v>
      </c>
      <c r="AK224" s="50">
        <f t="shared" si="125"/>
        <v>85922.5</v>
      </c>
      <c r="AL224" s="49" t="str">
        <f t="shared" si="148"/>
        <v>A8</v>
      </c>
      <c r="AM224" s="50">
        <f t="shared" si="136"/>
        <v>85922.5</v>
      </c>
      <c r="AN224" s="56">
        <f t="shared" si="149"/>
        <v>190</v>
      </c>
      <c r="AO224" s="57">
        <f t="shared" si="150"/>
        <v>87945</v>
      </c>
      <c r="AP224" s="23">
        <f t="shared" si="137"/>
        <v>87755</v>
      </c>
      <c r="AQ224" s="23">
        <f t="shared" si="138"/>
        <v>88040</v>
      </c>
      <c r="AR224" s="23">
        <f t="shared" si="139"/>
        <v>87660</v>
      </c>
      <c r="AS224" s="23">
        <f t="shared" si="140"/>
        <v>87897.5</v>
      </c>
      <c r="AT224" s="23">
        <f t="shared" si="141"/>
        <v>87802.5</v>
      </c>
      <c r="AU224" s="23">
        <f t="shared" si="142"/>
        <v>88230</v>
      </c>
      <c r="AV224" s="23">
        <f t="shared" si="143"/>
        <v>87470</v>
      </c>
      <c r="AW224" s="23">
        <f t="shared" si="144"/>
        <v>87881.666666666672</v>
      </c>
      <c r="AX224" s="23">
        <f t="shared" si="145"/>
        <v>87818.333333333328</v>
      </c>
      <c r="AY224" s="23">
        <f t="shared" si="146"/>
        <v>88420</v>
      </c>
      <c r="AZ224" s="23">
        <f t="shared" si="147"/>
        <v>87280</v>
      </c>
      <c r="BA224" s="23">
        <f t="shared" si="155"/>
        <v>86693.75</v>
      </c>
      <c r="BB224" s="43"/>
      <c r="BC224" s="51">
        <f t="shared" si="129"/>
        <v>87850</v>
      </c>
      <c r="BD224" s="52">
        <f t="shared" si="133"/>
        <v>86693.75</v>
      </c>
      <c r="BE224" s="37">
        <f t="shared" si="151"/>
        <v>1156.25</v>
      </c>
      <c r="BF224">
        <f t="shared" si="152"/>
        <v>1156.25</v>
      </c>
      <c r="BG224">
        <f t="shared" si="153"/>
        <v>1.3161639157655093E-2</v>
      </c>
    </row>
    <row r="225" spans="1:59">
      <c r="A225" s="1" t="s">
        <v>226</v>
      </c>
      <c r="B225" s="1">
        <v>100000</v>
      </c>
      <c r="Q225">
        <v>222</v>
      </c>
      <c r="R225" s="27" t="str">
        <f t="shared" si="130"/>
        <v>09/04/2024</v>
      </c>
      <c r="S225" s="27">
        <f t="shared" si="130"/>
        <v>86350</v>
      </c>
      <c r="T225" s="4" t="str">
        <f t="shared" si="131"/>
        <v>A8</v>
      </c>
      <c r="V225">
        <v>222</v>
      </c>
      <c r="W225" s="28" t="str">
        <f t="shared" si="128"/>
        <v>09/04/2024</v>
      </c>
      <c r="X225" s="28">
        <f t="shared" si="128"/>
        <v>86350</v>
      </c>
      <c r="Y225" s="28" t="str">
        <f t="shared" si="128"/>
        <v>A8</v>
      </c>
      <c r="Z225" s="5" t="str">
        <f t="shared" si="134"/>
        <v>A8</v>
      </c>
      <c r="AA225" s="5" t="str">
        <f t="shared" si="132"/>
        <v>A8</v>
      </c>
      <c r="AG225" s="49" t="str">
        <f t="shared" si="127"/>
        <v>09/04/2024</v>
      </c>
      <c r="AH225" s="46">
        <f t="shared" si="127"/>
        <v>86350</v>
      </c>
      <c r="AI225" s="49" t="str">
        <f t="shared" si="127"/>
        <v>A8</v>
      </c>
      <c r="AJ225" s="49" t="str">
        <f t="shared" si="135"/>
        <v>A8</v>
      </c>
      <c r="AK225" s="50">
        <f t="shared" si="125"/>
        <v>85922.5</v>
      </c>
      <c r="AL225" s="49" t="str">
        <f t="shared" si="148"/>
        <v>A8</v>
      </c>
      <c r="AM225" s="50">
        <f t="shared" si="136"/>
        <v>85922.5</v>
      </c>
      <c r="AN225" s="56">
        <f t="shared" si="149"/>
        <v>830</v>
      </c>
      <c r="AO225" s="57">
        <f t="shared" si="150"/>
        <v>86765</v>
      </c>
      <c r="AP225" s="23">
        <f t="shared" si="137"/>
        <v>85935</v>
      </c>
      <c r="AQ225" s="23">
        <f t="shared" si="138"/>
        <v>87180</v>
      </c>
      <c r="AR225" s="23">
        <f t="shared" si="139"/>
        <v>85520</v>
      </c>
      <c r="AS225" s="23">
        <f t="shared" si="140"/>
        <v>86557.5</v>
      </c>
      <c r="AT225" s="23">
        <f t="shared" si="141"/>
        <v>86142.5</v>
      </c>
      <c r="AU225" s="23">
        <f t="shared" si="142"/>
        <v>88010</v>
      </c>
      <c r="AV225" s="23">
        <f t="shared" si="143"/>
        <v>84690</v>
      </c>
      <c r="AW225" s="23">
        <f t="shared" si="144"/>
        <v>86488.333333333328</v>
      </c>
      <c r="AX225" s="23">
        <f t="shared" si="145"/>
        <v>86211.666666666672</v>
      </c>
      <c r="AY225" s="23">
        <f t="shared" si="146"/>
        <v>88840</v>
      </c>
      <c r="AZ225" s="23">
        <f t="shared" si="147"/>
        <v>83860</v>
      </c>
      <c r="BA225" s="23">
        <f t="shared" si="155"/>
        <v>86933.75</v>
      </c>
      <c r="BB225" s="43"/>
      <c r="BC225" s="51">
        <f t="shared" si="129"/>
        <v>86350</v>
      </c>
      <c r="BD225" s="52">
        <f t="shared" si="133"/>
        <v>86933.75</v>
      </c>
      <c r="BE225" s="37">
        <f t="shared" si="151"/>
        <v>-583.75</v>
      </c>
      <c r="BF225">
        <f t="shared" si="152"/>
        <v>583.75</v>
      </c>
      <c r="BG225">
        <f t="shared" si="153"/>
        <v>6.760277938621888E-3</v>
      </c>
    </row>
    <row r="226" spans="1:59">
      <c r="A226" s="1" t="s">
        <v>227</v>
      </c>
      <c r="B226" s="1">
        <v>86820</v>
      </c>
      <c r="Q226">
        <v>223</v>
      </c>
      <c r="R226" s="27" t="str">
        <f t="shared" si="130"/>
        <v>10/04/2024</v>
      </c>
      <c r="S226" s="27">
        <f t="shared" si="130"/>
        <v>90000</v>
      </c>
      <c r="T226" s="4" t="str">
        <f t="shared" si="131"/>
        <v>A9</v>
      </c>
      <c r="V226">
        <v>223</v>
      </c>
      <c r="W226" s="28" t="str">
        <f t="shared" si="128"/>
        <v>10/04/2024</v>
      </c>
      <c r="X226" s="28">
        <f t="shared" si="128"/>
        <v>90000</v>
      </c>
      <c r="Y226" s="28" t="str">
        <f t="shared" si="128"/>
        <v>A9</v>
      </c>
      <c r="Z226" s="5" t="str">
        <f t="shared" si="134"/>
        <v>A8</v>
      </c>
      <c r="AA226" s="5" t="str">
        <f t="shared" si="132"/>
        <v>A9</v>
      </c>
      <c r="AG226" s="49" t="str">
        <f t="shared" si="127"/>
        <v>10/04/2024</v>
      </c>
      <c r="AH226" s="46">
        <f t="shared" si="127"/>
        <v>90000</v>
      </c>
      <c r="AI226" s="49" t="str">
        <f t="shared" si="127"/>
        <v>A9</v>
      </c>
      <c r="AJ226" s="49" t="str">
        <f t="shared" si="135"/>
        <v>A8</v>
      </c>
      <c r="AK226" s="50">
        <f t="shared" si="125"/>
        <v>85922.5</v>
      </c>
      <c r="AL226" s="49" t="str">
        <f t="shared" si="148"/>
        <v>A9</v>
      </c>
      <c r="AM226" s="50">
        <f t="shared" si="136"/>
        <v>91953.5</v>
      </c>
      <c r="AN226" s="56">
        <f t="shared" si="149"/>
        <v>2150</v>
      </c>
      <c r="AO226" s="23">
        <f t="shared" si="150"/>
        <v>91075</v>
      </c>
      <c r="AP226" s="57">
        <f t="shared" si="137"/>
        <v>88925</v>
      </c>
      <c r="AQ226" s="23">
        <f t="shared" si="138"/>
        <v>92150</v>
      </c>
      <c r="AR226" s="23">
        <f t="shared" si="139"/>
        <v>87850</v>
      </c>
      <c r="AS226" s="23">
        <f t="shared" si="140"/>
        <v>90537.5</v>
      </c>
      <c r="AT226" s="23">
        <f t="shared" si="141"/>
        <v>89462.5</v>
      </c>
      <c r="AU226" s="23">
        <f t="shared" si="142"/>
        <v>94300</v>
      </c>
      <c r="AV226" s="23">
        <f t="shared" si="143"/>
        <v>85700</v>
      </c>
      <c r="AW226" s="23">
        <f t="shared" si="144"/>
        <v>90358.333333333328</v>
      </c>
      <c r="AX226" s="23">
        <f t="shared" si="145"/>
        <v>89641.666666666672</v>
      </c>
      <c r="AY226" s="23">
        <f t="shared" si="146"/>
        <v>96450</v>
      </c>
      <c r="AZ226" s="23">
        <f t="shared" si="147"/>
        <v>83550</v>
      </c>
      <c r="BA226" s="23">
        <f t="shared" si="155"/>
        <v>86343.75</v>
      </c>
      <c r="BB226" s="43"/>
      <c r="BC226" s="51">
        <f t="shared" si="129"/>
        <v>90000</v>
      </c>
      <c r="BD226" s="52">
        <f t="shared" si="133"/>
        <v>86343.75</v>
      </c>
      <c r="BE226" s="37">
        <f t="shared" si="151"/>
        <v>3656.25</v>
      </c>
      <c r="BF226">
        <f t="shared" si="152"/>
        <v>3656.25</v>
      </c>
      <c r="BG226">
        <f t="shared" si="153"/>
        <v>4.0625000000000001E-2</v>
      </c>
    </row>
    <row r="227" spans="1:59">
      <c r="A227" s="1" t="s">
        <v>228</v>
      </c>
      <c r="B227" s="1">
        <v>89250</v>
      </c>
      <c r="Q227">
        <v>224</v>
      </c>
      <c r="R227" s="27" t="str">
        <f t="shared" si="130"/>
        <v>11/04/2024</v>
      </c>
      <c r="S227" s="27">
        <f t="shared" si="130"/>
        <v>100000</v>
      </c>
      <c r="T227" s="4" t="str">
        <f t="shared" si="131"/>
        <v>A10</v>
      </c>
      <c r="V227">
        <v>224</v>
      </c>
      <c r="W227" s="28" t="str">
        <f t="shared" si="128"/>
        <v>11/04/2024</v>
      </c>
      <c r="X227" s="28">
        <f t="shared" si="128"/>
        <v>100000</v>
      </c>
      <c r="Y227" s="28" t="str">
        <f t="shared" si="128"/>
        <v>A10</v>
      </c>
      <c r="Z227" s="5" t="str">
        <f t="shared" si="134"/>
        <v>A9</v>
      </c>
      <c r="AA227" s="5" t="str">
        <f t="shared" si="132"/>
        <v>A10</v>
      </c>
      <c r="AG227" s="49" t="str">
        <f t="shared" si="127"/>
        <v>11/04/2024</v>
      </c>
      <c r="AH227" s="46">
        <f t="shared" si="127"/>
        <v>100000</v>
      </c>
      <c r="AI227" s="49" t="str">
        <f t="shared" si="127"/>
        <v>A10</v>
      </c>
      <c r="AJ227" s="49" t="str">
        <f t="shared" si="135"/>
        <v>A9</v>
      </c>
      <c r="AK227" s="50">
        <f t="shared" si="125"/>
        <v>91953.5</v>
      </c>
      <c r="AL227" s="49" t="str">
        <f t="shared" si="148"/>
        <v>A10</v>
      </c>
      <c r="AM227" s="50">
        <f t="shared" si="136"/>
        <v>97984.5</v>
      </c>
      <c r="AN227" s="56">
        <f t="shared" si="149"/>
        <v>6350</v>
      </c>
      <c r="AO227" s="23">
        <f t="shared" si="150"/>
        <v>103175</v>
      </c>
      <c r="AP227" s="57">
        <f t="shared" si="137"/>
        <v>96825</v>
      </c>
      <c r="AQ227" s="23">
        <f t="shared" si="138"/>
        <v>106350</v>
      </c>
      <c r="AR227" s="23">
        <f t="shared" si="139"/>
        <v>93650</v>
      </c>
      <c r="AS227" s="23">
        <f t="shared" si="140"/>
        <v>101587.5</v>
      </c>
      <c r="AT227" s="23">
        <f t="shared" si="141"/>
        <v>98412.5</v>
      </c>
      <c r="AU227" s="23">
        <f t="shared" si="142"/>
        <v>112700</v>
      </c>
      <c r="AV227" s="23">
        <f t="shared" si="143"/>
        <v>87300</v>
      </c>
      <c r="AW227" s="23">
        <f t="shared" si="144"/>
        <v>101058.33333333333</v>
      </c>
      <c r="AX227" s="23">
        <f t="shared" si="145"/>
        <v>98941.666666666672</v>
      </c>
      <c r="AY227" s="23">
        <f t="shared" si="146"/>
        <v>119050</v>
      </c>
      <c r="AZ227" s="23">
        <f t="shared" si="147"/>
        <v>80950</v>
      </c>
      <c r="BA227" s="23">
        <f>(AP226+AM226)/(1+1)</f>
        <v>90439.25</v>
      </c>
      <c r="BB227" s="43"/>
      <c r="BC227" s="51">
        <f t="shared" si="129"/>
        <v>100000</v>
      </c>
      <c r="BD227" s="52">
        <f t="shared" si="133"/>
        <v>90439.25</v>
      </c>
      <c r="BE227" s="37">
        <f t="shared" si="151"/>
        <v>9560.75</v>
      </c>
      <c r="BF227">
        <f t="shared" si="152"/>
        <v>9560.75</v>
      </c>
      <c r="BG227">
        <f t="shared" si="153"/>
        <v>9.5607499999999998E-2</v>
      </c>
    </row>
    <row r="228" spans="1:59">
      <c r="A228" s="1" t="s">
        <v>229</v>
      </c>
      <c r="B228" s="1">
        <v>90080</v>
      </c>
      <c r="Q228">
        <v>225</v>
      </c>
      <c r="R228" s="27" t="str">
        <f t="shared" si="130"/>
        <v>12/04/2024</v>
      </c>
      <c r="S228" s="27">
        <f t="shared" si="130"/>
        <v>86820</v>
      </c>
      <c r="T228" s="4" t="str">
        <f t="shared" si="131"/>
        <v>A8</v>
      </c>
      <c r="V228">
        <v>225</v>
      </c>
      <c r="W228" s="28" t="str">
        <f t="shared" si="128"/>
        <v>12/04/2024</v>
      </c>
      <c r="X228" s="28">
        <f t="shared" si="128"/>
        <v>86820</v>
      </c>
      <c r="Y228" s="28" t="str">
        <f t="shared" si="128"/>
        <v>A8</v>
      </c>
      <c r="Z228" s="5" t="str">
        <f t="shared" si="134"/>
        <v>A10</v>
      </c>
      <c r="AA228" s="5" t="str">
        <f t="shared" si="132"/>
        <v>A8</v>
      </c>
      <c r="AG228" s="49" t="str">
        <f t="shared" si="127"/>
        <v>12/04/2024</v>
      </c>
      <c r="AH228" s="46">
        <f t="shared" si="127"/>
        <v>86820</v>
      </c>
      <c r="AI228" s="49" t="str">
        <f t="shared" si="127"/>
        <v>A8</v>
      </c>
      <c r="AJ228" s="49" t="str">
        <f t="shared" si="135"/>
        <v>A10</v>
      </c>
      <c r="AK228" s="50">
        <f t="shared" si="125"/>
        <v>97984.5</v>
      </c>
      <c r="AL228" s="49" t="str">
        <f t="shared" si="148"/>
        <v>A8</v>
      </c>
      <c r="AM228" s="50">
        <f t="shared" si="136"/>
        <v>85922.5</v>
      </c>
      <c r="AN228" s="56">
        <f t="shared" si="149"/>
        <v>3180</v>
      </c>
      <c r="AO228" s="57">
        <f t="shared" si="150"/>
        <v>88410</v>
      </c>
      <c r="AP228" s="23">
        <f t="shared" si="137"/>
        <v>85230</v>
      </c>
      <c r="AQ228" s="23">
        <f t="shared" si="138"/>
        <v>90000</v>
      </c>
      <c r="AR228" s="23">
        <f t="shared" si="139"/>
        <v>83640</v>
      </c>
      <c r="AS228" s="23">
        <f t="shared" si="140"/>
        <v>87615</v>
      </c>
      <c r="AT228" s="23">
        <f t="shared" si="141"/>
        <v>86025</v>
      </c>
      <c r="AU228" s="23">
        <f t="shared" si="142"/>
        <v>93180</v>
      </c>
      <c r="AV228" s="23">
        <f t="shared" si="143"/>
        <v>80460</v>
      </c>
      <c r="AW228" s="23">
        <f t="shared" si="144"/>
        <v>87350</v>
      </c>
      <c r="AX228" s="23">
        <f t="shared" si="145"/>
        <v>86290</v>
      </c>
      <c r="AY228" s="23">
        <f t="shared" si="146"/>
        <v>96360</v>
      </c>
      <c r="AZ228" s="23">
        <f t="shared" si="147"/>
        <v>77280</v>
      </c>
      <c r="BA228" s="23">
        <f>(AP227+AM227)/(1+1)</f>
        <v>97404.75</v>
      </c>
      <c r="BB228" s="43"/>
      <c r="BC228" s="51">
        <f t="shared" si="129"/>
        <v>86820</v>
      </c>
      <c r="BD228" s="52">
        <f t="shared" si="133"/>
        <v>97404.75</v>
      </c>
      <c r="BE228" s="37">
        <f t="shared" si="151"/>
        <v>-10584.75</v>
      </c>
      <c r="BF228">
        <f t="shared" si="152"/>
        <v>10584.75</v>
      </c>
      <c r="BG228">
        <f t="shared" si="153"/>
        <v>0.12191603317208016</v>
      </c>
    </row>
    <row r="229" spans="1:59">
      <c r="A229" s="1" t="s">
        <v>230</v>
      </c>
      <c r="B229" s="1">
        <v>87890</v>
      </c>
      <c r="Q229">
        <v>226</v>
      </c>
      <c r="R229" s="27" t="str">
        <f t="shared" si="130"/>
        <v>13/04/2024</v>
      </c>
      <c r="S229" s="27">
        <f t="shared" si="130"/>
        <v>89250</v>
      </c>
      <c r="T229" s="4" t="str">
        <f t="shared" si="131"/>
        <v>A9</v>
      </c>
      <c r="V229">
        <v>226</v>
      </c>
      <c r="W229" s="28" t="str">
        <f t="shared" si="128"/>
        <v>13/04/2024</v>
      </c>
      <c r="X229" s="28">
        <f t="shared" si="128"/>
        <v>89250</v>
      </c>
      <c r="Y229" s="28" t="str">
        <f t="shared" si="128"/>
        <v>A9</v>
      </c>
      <c r="Z229" s="5" t="str">
        <f t="shared" si="134"/>
        <v>A8</v>
      </c>
      <c r="AA229" s="5" t="str">
        <f t="shared" si="132"/>
        <v>A9</v>
      </c>
      <c r="AG229" s="49" t="str">
        <f t="shared" si="127"/>
        <v>13/04/2024</v>
      </c>
      <c r="AH229" s="46">
        <f t="shared" si="127"/>
        <v>89250</v>
      </c>
      <c r="AI229" s="49" t="str">
        <f t="shared" si="127"/>
        <v>A9</v>
      </c>
      <c r="AJ229" s="49" t="str">
        <f t="shared" si="135"/>
        <v>A8</v>
      </c>
      <c r="AK229" s="50">
        <f t="shared" si="125"/>
        <v>85922.5</v>
      </c>
      <c r="AL229" s="49" t="str">
        <f t="shared" si="148"/>
        <v>A9</v>
      </c>
      <c r="AM229" s="50">
        <f t="shared" si="136"/>
        <v>91953.5</v>
      </c>
      <c r="AN229" s="56">
        <f t="shared" si="149"/>
        <v>10750</v>
      </c>
      <c r="AO229" s="23">
        <f t="shared" si="150"/>
        <v>94625</v>
      </c>
      <c r="AP229" s="57">
        <f t="shared" si="137"/>
        <v>83875</v>
      </c>
      <c r="AQ229" s="23">
        <f t="shared" si="138"/>
        <v>100000</v>
      </c>
      <c r="AR229" s="23">
        <f t="shared" si="139"/>
        <v>78500</v>
      </c>
      <c r="AS229" s="23">
        <f t="shared" si="140"/>
        <v>91937.5</v>
      </c>
      <c r="AT229" s="23">
        <f t="shared" si="141"/>
        <v>86562.5</v>
      </c>
      <c r="AU229" s="23">
        <f t="shared" si="142"/>
        <v>110750</v>
      </c>
      <c r="AV229" s="23">
        <f t="shared" si="143"/>
        <v>67750</v>
      </c>
      <c r="AW229" s="23">
        <f t="shared" si="144"/>
        <v>91041.666666666672</v>
      </c>
      <c r="AX229" s="23">
        <f t="shared" si="145"/>
        <v>87458.333333333328</v>
      </c>
      <c r="AY229" s="23">
        <f t="shared" si="146"/>
        <v>121500</v>
      </c>
      <c r="AZ229" s="23">
        <f t="shared" si="147"/>
        <v>57000</v>
      </c>
      <c r="BA229" s="23">
        <f>(AO228+AM228)/(1+1)</f>
        <v>87166.25</v>
      </c>
      <c r="BB229" s="43"/>
      <c r="BC229" s="51">
        <f t="shared" si="129"/>
        <v>89250</v>
      </c>
      <c r="BD229" s="52">
        <f t="shared" si="133"/>
        <v>87166.25</v>
      </c>
      <c r="BE229" s="37">
        <f t="shared" si="151"/>
        <v>2083.75</v>
      </c>
      <c r="BF229">
        <f t="shared" si="152"/>
        <v>2083.75</v>
      </c>
      <c r="BG229">
        <f t="shared" si="153"/>
        <v>2.3347338935574231E-2</v>
      </c>
    </row>
    <row r="230" spans="1:59">
      <c r="A230" s="1" t="s">
        <v>231</v>
      </c>
      <c r="B230" s="1">
        <v>86390</v>
      </c>
      <c r="Q230">
        <v>227</v>
      </c>
      <c r="R230" s="27" t="str">
        <f t="shared" si="130"/>
        <v>14/04/2024</v>
      </c>
      <c r="S230" s="27">
        <f t="shared" si="130"/>
        <v>90080</v>
      </c>
      <c r="T230" s="4" t="str">
        <f t="shared" si="131"/>
        <v>A9</v>
      </c>
      <c r="V230">
        <v>227</v>
      </c>
      <c r="W230" s="28" t="str">
        <f t="shared" si="128"/>
        <v>14/04/2024</v>
      </c>
      <c r="X230" s="28">
        <f t="shared" si="128"/>
        <v>90080</v>
      </c>
      <c r="Y230" s="28" t="str">
        <f t="shared" si="128"/>
        <v>A9</v>
      </c>
      <c r="Z230" s="5" t="str">
        <f t="shared" si="134"/>
        <v>A9</v>
      </c>
      <c r="AA230" s="5" t="str">
        <f t="shared" si="132"/>
        <v>A9</v>
      </c>
      <c r="AG230" s="49" t="str">
        <f t="shared" si="127"/>
        <v>14/04/2024</v>
      </c>
      <c r="AH230" s="46">
        <f t="shared" si="127"/>
        <v>90080</v>
      </c>
      <c r="AI230" s="49" t="str">
        <f t="shared" si="127"/>
        <v>A9</v>
      </c>
      <c r="AJ230" s="49" t="str">
        <f t="shared" si="135"/>
        <v>A9</v>
      </c>
      <c r="AK230" s="50">
        <f t="shared" si="125"/>
        <v>91953.5</v>
      </c>
      <c r="AL230" s="49" t="str">
        <f t="shared" si="148"/>
        <v>A9</v>
      </c>
      <c r="AM230" s="50">
        <f t="shared" si="136"/>
        <v>91953.5</v>
      </c>
      <c r="AN230" s="56">
        <f t="shared" si="149"/>
        <v>1600</v>
      </c>
      <c r="AO230" s="23">
        <f t="shared" si="150"/>
        <v>90880</v>
      </c>
      <c r="AP230" s="57">
        <f t="shared" si="137"/>
        <v>89280</v>
      </c>
      <c r="AQ230" s="23">
        <f t="shared" si="138"/>
        <v>91680</v>
      </c>
      <c r="AR230" s="23">
        <f t="shared" si="139"/>
        <v>88480</v>
      </c>
      <c r="AS230" s="23">
        <f t="shared" si="140"/>
        <v>90480</v>
      </c>
      <c r="AT230" s="23">
        <f t="shared" si="141"/>
        <v>89680</v>
      </c>
      <c r="AU230" s="23">
        <f t="shared" si="142"/>
        <v>93280</v>
      </c>
      <c r="AV230" s="23">
        <f t="shared" si="143"/>
        <v>86880</v>
      </c>
      <c r="AW230" s="23">
        <f t="shared" si="144"/>
        <v>90346.666666666672</v>
      </c>
      <c r="AX230" s="23">
        <f t="shared" si="145"/>
        <v>89813.333333333328</v>
      </c>
      <c r="AY230" s="23">
        <f t="shared" si="146"/>
        <v>94880</v>
      </c>
      <c r="AZ230" s="23">
        <f t="shared" si="147"/>
        <v>85280</v>
      </c>
      <c r="BA230" s="23">
        <f>(AP229+AM229)/(1+1)</f>
        <v>87914.25</v>
      </c>
      <c r="BB230" s="43"/>
      <c r="BC230" s="51">
        <f t="shared" si="129"/>
        <v>90080</v>
      </c>
      <c r="BD230" s="52">
        <f t="shared" si="133"/>
        <v>87914.25</v>
      </c>
      <c r="BE230" s="37">
        <f t="shared" si="151"/>
        <v>2165.75</v>
      </c>
      <c r="BF230">
        <f t="shared" si="152"/>
        <v>2165.75</v>
      </c>
      <c r="BG230">
        <f t="shared" si="153"/>
        <v>2.4042517761989343E-2</v>
      </c>
    </row>
    <row r="231" spans="1:59">
      <c r="A231" s="1" t="s">
        <v>232</v>
      </c>
      <c r="B231" s="1">
        <v>84200</v>
      </c>
      <c r="Q231">
        <v>228</v>
      </c>
      <c r="R231" s="27" t="str">
        <f t="shared" si="130"/>
        <v>15/04/2024</v>
      </c>
      <c r="S231" s="27">
        <f t="shared" si="130"/>
        <v>87890</v>
      </c>
      <c r="T231" s="4" t="str">
        <f t="shared" si="131"/>
        <v>A8</v>
      </c>
      <c r="V231">
        <v>228</v>
      </c>
      <c r="W231" s="28" t="str">
        <f t="shared" si="128"/>
        <v>15/04/2024</v>
      </c>
      <c r="X231" s="28">
        <f t="shared" si="128"/>
        <v>87890</v>
      </c>
      <c r="Y231" s="28" t="str">
        <f t="shared" si="128"/>
        <v>A8</v>
      </c>
      <c r="Z231" s="5" t="str">
        <f t="shared" si="134"/>
        <v>A9</v>
      </c>
      <c r="AA231" s="5" t="str">
        <f t="shared" si="132"/>
        <v>A8</v>
      </c>
      <c r="AG231" s="49" t="str">
        <f t="shared" si="127"/>
        <v>15/04/2024</v>
      </c>
      <c r="AH231" s="46">
        <f t="shared" si="127"/>
        <v>87890</v>
      </c>
      <c r="AI231" s="49" t="str">
        <f t="shared" si="127"/>
        <v>A8</v>
      </c>
      <c r="AJ231" s="49" t="str">
        <f t="shared" si="135"/>
        <v>A9</v>
      </c>
      <c r="AK231" s="50">
        <f t="shared" si="125"/>
        <v>91953.5</v>
      </c>
      <c r="AL231" s="49" t="str">
        <f t="shared" si="148"/>
        <v>A8</v>
      </c>
      <c r="AM231" s="50">
        <f t="shared" si="136"/>
        <v>85922.5</v>
      </c>
      <c r="AN231" s="56">
        <f t="shared" si="149"/>
        <v>1360</v>
      </c>
      <c r="AO231" s="57">
        <f t="shared" si="150"/>
        <v>88570</v>
      </c>
      <c r="AP231" s="23">
        <f t="shared" si="137"/>
        <v>87210</v>
      </c>
      <c r="AQ231" s="23">
        <f t="shared" si="138"/>
        <v>89250</v>
      </c>
      <c r="AR231" s="23">
        <f t="shared" si="139"/>
        <v>86530</v>
      </c>
      <c r="AS231" s="23">
        <f t="shared" si="140"/>
        <v>88230</v>
      </c>
      <c r="AT231" s="23">
        <f t="shared" si="141"/>
        <v>87550</v>
      </c>
      <c r="AU231" s="23">
        <f t="shared" si="142"/>
        <v>90610</v>
      </c>
      <c r="AV231" s="23">
        <f t="shared" si="143"/>
        <v>85170</v>
      </c>
      <c r="AW231" s="23">
        <f t="shared" si="144"/>
        <v>88116.666666666672</v>
      </c>
      <c r="AX231" s="23">
        <f t="shared" si="145"/>
        <v>87663.333333333328</v>
      </c>
      <c r="AY231" s="23">
        <f t="shared" si="146"/>
        <v>91970</v>
      </c>
      <c r="AZ231" s="23">
        <f t="shared" si="147"/>
        <v>83810</v>
      </c>
      <c r="BA231" s="23">
        <f>(AP230+AM230)/(AO2296+1)</f>
        <v>181233.5</v>
      </c>
      <c r="BB231" s="43"/>
      <c r="BC231" s="51">
        <f t="shared" si="129"/>
        <v>87890</v>
      </c>
      <c r="BD231" s="52">
        <f t="shared" si="133"/>
        <v>181233.5</v>
      </c>
      <c r="BE231" s="37">
        <f t="shared" si="151"/>
        <v>-93343.5</v>
      </c>
      <c r="BF231">
        <f t="shared" si="152"/>
        <v>93343.5</v>
      </c>
      <c r="BG231">
        <f t="shared" si="153"/>
        <v>1.0620491523495279</v>
      </c>
    </row>
    <row r="232" spans="1:59">
      <c r="A232" s="1" t="s">
        <v>233</v>
      </c>
      <c r="B232" s="1">
        <v>84260</v>
      </c>
      <c r="Q232">
        <v>229</v>
      </c>
      <c r="R232" s="27" t="str">
        <f t="shared" si="130"/>
        <v>16/04/2024</v>
      </c>
      <c r="S232" s="27">
        <f t="shared" si="130"/>
        <v>86390</v>
      </c>
      <c r="T232" s="4" t="str">
        <f t="shared" si="131"/>
        <v>A8</v>
      </c>
      <c r="V232">
        <v>229</v>
      </c>
      <c r="W232" s="28" t="str">
        <f t="shared" si="128"/>
        <v>16/04/2024</v>
      </c>
      <c r="X232" s="28">
        <f t="shared" si="128"/>
        <v>86390</v>
      </c>
      <c r="Y232" s="28" t="str">
        <f t="shared" si="128"/>
        <v>A8</v>
      </c>
      <c r="Z232" s="5" t="str">
        <f t="shared" si="134"/>
        <v>A8</v>
      </c>
      <c r="AA232" s="5" t="str">
        <f t="shared" si="132"/>
        <v>A8</v>
      </c>
      <c r="AG232" s="49" t="str">
        <f t="shared" si="127"/>
        <v>16/04/2024</v>
      </c>
      <c r="AH232" s="46">
        <f t="shared" si="127"/>
        <v>86390</v>
      </c>
      <c r="AI232" s="49" t="str">
        <f t="shared" si="127"/>
        <v>A8</v>
      </c>
      <c r="AJ232" s="49" t="str">
        <f t="shared" si="135"/>
        <v>A8</v>
      </c>
      <c r="AK232" s="50">
        <f t="shared" si="125"/>
        <v>85922.5</v>
      </c>
      <c r="AL232" s="49" t="str">
        <f t="shared" si="148"/>
        <v>A8</v>
      </c>
      <c r="AM232" s="50">
        <f t="shared" si="136"/>
        <v>85922.5</v>
      </c>
      <c r="AN232" s="56">
        <f t="shared" si="149"/>
        <v>690</v>
      </c>
      <c r="AO232" s="57">
        <f t="shared" si="150"/>
        <v>86735</v>
      </c>
      <c r="AP232" s="23">
        <f t="shared" si="137"/>
        <v>86045</v>
      </c>
      <c r="AQ232" s="23">
        <f t="shared" si="138"/>
        <v>87080</v>
      </c>
      <c r="AR232" s="23">
        <f t="shared" si="139"/>
        <v>85700</v>
      </c>
      <c r="AS232" s="23">
        <f t="shared" si="140"/>
        <v>86562.5</v>
      </c>
      <c r="AT232" s="23">
        <f t="shared" si="141"/>
        <v>86217.5</v>
      </c>
      <c r="AU232" s="23">
        <f t="shared" si="142"/>
        <v>87770</v>
      </c>
      <c r="AV232" s="23">
        <f t="shared" si="143"/>
        <v>85010</v>
      </c>
      <c r="AW232" s="23">
        <f t="shared" si="144"/>
        <v>86505</v>
      </c>
      <c r="AX232" s="23">
        <f t="shared" si="145"/>
        <v>86275</v>
      </c>
      <c r="AY232" s="23">
        <f t="shared" si="146"/>
        <v>88460</v>
      </c>
      <c r="AZ232" s="23">
        <f t="shared" si="147"/>
        <v>84320</v>
      </c>
      <c r="BA232" s="23">
        <f>(AO231+AM231)/(1+1)</f>
        <v>87246.25</v>
      </c>
      <c r="BB232" s="43"/>
      <c r="BC232" s="51">
        <f t="shared" si="129"/>
        <v>86390</v>
      </c>
      <c r="BD232" s="52">
        <f t="shared" si="133"/>
        <v>87246.25</v>
      </c>
      <c r="BE232" s="37">
        <f t="shared" si="151"/>
        <v>-856.25</v>
      </c>
      <c r="BF232">
        <f t="shared" si="152"/>
        <v>856.25</v>
      </c>
      <c r="BG232">
        <f t="shared" si="153"/>
        <v>9.9114480842690134E-3</v>
      </c>
    </row>
    <row r="233" spans="1:59">
      <c r="A233" s="1" t="s">
        <v>234</v>
      </c>
      <c r="B233" s="1">
        <v>82360</v>
      </c>
      <c r="Q233">
        <v>230</v>
      </c>
      <c r="R233" s="27" t="str">
        <f t="shared" si="130"/>
        <v>17/04/2024</v>
      </c>
      <c r="S233" s="27">
        <f t="shared" si="130"/>
        <v>84200</v>
      </c>
      <c r="T233" s="4" t="str">
        <f t="shared" si="131"/>
        <v>A8</v>
      </c>
      <c r="V233">
        <v>230</v>
      </c>
      <c r="W233" s="28" t="str">
        <f t="shared" si="128"/>
        <v>17/04/2024</v>
      </c>
      <c r="X233" s="28">
        <f t="shared" si="128"/>
        <v>84200</v>
      </c>
      <c r="Y233" s="28" t="str">
        <f t="shared" si="128"/>
        <v>A8</v>
      </c>
      <c r="Z233" s="5" t="str">
        <f t="shared" si="134"/>
        <v>A8</v>
      </c>
      <c r="AA233" s="5" t="str">
        <f t="shared" si="132"/>
        <v>A8</v>
      </c>
      <c r="AG233" s="49" t="str">
        <f t="shared" si="127"/>
        <v>17/04/2024</v>
      </c>
      <c r="AH233" s="46">
        <f t="shared" si="127"/>
        <v>84200</v>
      </c>
      <c r="AI233" s="49" t="str">
        <f t="shared" si="127"/>
        <v>A8</v>
      </c>
      <c r="AJ233" s="49" t="str">
        <f t="shared" si="135"/>
        <v>A8</v>
      </c>
      <c r="AK233" s="50">
        <f t="shared" si="125"/>
        <v>85922.5</v>
      </c>
      <c r="AL233" s="49" t="str">
        <f t="shared" si="148"/>
        <v>A8</v>
      </c>
      <c r="AM233" s="50">
        <f t="shared" si="136"/>
        <v>85922.5</v>
      </c>
      <c r="AN233" s="56">
        <f t="shared" si="149"/>
        <v>690</v>
      </c>
      <c r="AO233" s="57">
        <f t="shared" si="150"/>
        <v>84545</v>
      </c>
      <c r="AP233" s="23">
        <f t="shared" si="137"/>
        <v>83855</v>
      </c>
      <c r="AQ233" s="23">
        <f t="shared" si="138"/>
        <v>84890</v>
      </c>
      <c r="AR233" s="23">
        <f t="shared" si="139"/>
        <v>83510</v>
      </c>
      <c r="AS233" s="23">
        <f t="shared" si="140"/>
        <v>84372.5</v>
      </c>
      <c r="AT233" s="23">
        <f t="shared" si="141"/>
        <v>84027.5</v>
      </c>
      <c r="AU233" s="23">
        <f t="shared" si="142"/>
        <v>85580</v>
      </c>
      <c r="AV233" s="23">
        <f t="shared" si="143"/>
        <v>82820</v>
      </c>
      <c r="AW233" s="23">
        <f t="shared" si="144"/>
        <v>84315</v>
      </c>
      <c r="AX233" s="23">
        <f t="shared" si="145"/>
        <v>84085</v>
      </c>
      <c r="AY233" s="23">
        <f t="shared" si="146"/>
        <v>86270</v>
      </c>
      <c r="AZ233" s="23">
        <f t="shared" si="147"/>
        <v>82130</v>
      </c>
      <c r="BA233" s="23">
        <f>(AO232+AM232)/(1+1)</f>
        <v>86328.75</v>
      </c>
      <c r="BB233" s="43"/>
      <c r="BC233" s="51">
        <f t="shared" si="129"/>
        <v>84200</v>
      </c>
      <c r="BD233" s="52">
        <f t="shared" si="133"/>
        <v>86328.75</v>
      </c>
      <c r="BE233" s="37">
        <f t="shared" si="151"/>
        <v>-2128.75</v>
      </c>
      <c r="BF233">
        <f t="shared" si="152"/>
        <v>2128.75</v>
      </c>
      <c r="BG233">
        <f t="shared" si="153"/>
        <v>2.5282066508313539E-2</v>
      </c>
    </row>
    <row r="234" spans="1:59">
      <c r="A234" s="1" t="s">
        <v>235</v>
      </c>
      <c r="B234" s="1">
        <v>83100</v>
      </c>
      <c r="Q234">
        <v>231</v>
      </c>
      <c r="R234" s="27" t="str">
        <f t="shared" si="130"/>
        <v>18/04/2024</v>
      </c>
      <c r="S234" s="27">
        <f t="shared" si="130"/>
        <v>84260</v>
      </c>
      <c r="T234" s="4" t="str">
        <f t="shared" si="131"/>
        <v>A8</v>
      </c>
      <c r="V234">
        <v>231</v>
      </c>
      <c r="W234" s="28" t="str">
        <f t="shared" si="128"/>
        <v>18/04/2024</v>
      </c>
      <c r="X234" s="28">
        <f t="shared" si="128"/>
        <v>84260</v>
      </c>
      <c r="Y234" s="28" t="str">
        <f t="shared" si="128"/>
        <v>A8</v>
      </c>
      <c r="Z234" s="5" t="str">
        <f t="shared" si="134"/>
        <v>A8</v>
      </c>
      <c r="AA234" s="5" t="str">
        <f t="shared" si="132"/>
        <v>A8</v>
      </c>
      <c r="AG234" s="49" t="str">
        <f t="shared" si="127"/>
        <v>18/04/2024</v>
      </c>
      <c r="AH234" s="46">
        <f t="shared" si="127"/>
        <v>84260</v>
      </c>
      <c r="AI234" s="49" t="str">
        <f t="shared" si="127"/>
        <v>A8</v>
      </c>
      <c r="AJ234" s="49" t="str">
        <f t="shared" si="135"/>
        <v>A8</v>
      </c>
      <c r="AK234" s="50">
        <f t="shared" si="125"/>
        <v>85922.5</v>
      </c>
      <c r="AL234" s="49" t="str">
        <f t="shared" si="148"/>
        <v>A8</v>
      </c>
      <c r="AM234" s="50">
        <f t="shared" si="136"/>
        <v>85922.5</v>
      </c>
      <c r="AN234" s="56">
        <f t="shared" si="149"/>
        <v>2130</v>
      </c>
      <c r="AO234" s="23">
        <f t="shared" si="150"/>
        <v>85325</v>
      </c>
      <c r="AP234" s="57">
        <f t="shared" si="137"/>
        <v>83195</v>
      </c>
      <c r="AQ234" s="23">
        <f t="shared" si="138"/>
        <v>86390</v>
      </c>
      <c r="AR234" s="23">
        <f t="shared" si="139"/>
        <v>82130</v>
      </c>
      <c r="AS234" s="23">
        <f t="shared" si="140"/>
        <v>84792.5</v>
      </c>
      <c r="AT234" s="23">
        <f t="shared" si="141"/>
        <v>83727.5</v>
      </c>
      <c r="AU234" s="23">
        <f t="shared" si="142"/>
        <v>88520</v>
      </c>
      <c r="AV234" s="23">
        <f t="shared" si="143"/>
        <v>80000</v>
      </c>
      <c r="AW234" s="23">
        <f t="shared" si="144"/>
        <v>84615</v>
      </c>
      <c r="AX234" s="23">
        <f t="shared" si="145"/>
        <v>83905</v>
      </c>
      <c r="AY234" s="23">
        <f t="shared" si="146"/>
        <v>90650</v>
      </c>
      <c r="AZ234" s="23">
        <f t="shared" si="147"/>
        <v>77870</v>
      </c>
      <c r="BA234" s="23">
        <f>(AO233+AM233)/(1+1)</f>
        <v>85233.75</v>
      </c>
      <c r="BB234" s="43"/>
      <c r="BC234" s="51">
        <f t="shared" si="129"/>
        <v>84260</v>
      </c>
      <c r="BD234" s="52">
        <f t="shared" si="133"/>
        <v>85233.75</v>
      </c>
      <c r="BE234" s="37">
        <f t="shared" si="151"/>
        <v>-973.75</v>
      </c>
      <c r="BF234">
        <f t="shared" si="152"/>
        <v>973.75</v>
      </c>
      <c r="BG234">
        <f t="shared" si="153"/>
        <v>1.1556491811061002E-2</v>
      </c>
    </row>
    <row r="235" spans="1:59">
      <c r="A235" s="1" t="s">
        <v>236</v>
      </c>
      <c r="B235" s="1">
        <v>83290</v>
      </c>
      <c r="Q235">
        <v>232</v>
      </c>
      <c r="R235" s="27" t="str">
        <f t="shared" si="130"/>
        <v>19/04/2024</v>
      </c>
      <c r="S235" s="27">
        <f t="shared" si="130"/>
        <v>82360</v>
      </c>
      <c r="T235" s="4" t="str">
        <f t="shared" si="131"/>
        <v>A7</v>
      </c>
      <c r="V235">
        <v>232</v>
      </c>
      <c r="W235" s="28" t="str">
        <f t="shared" si="128"/>
        <v>19/04/2024</v>
      </c>
      <c r="X235" s="28">
        <f t="shared" si="128"/>
        <v>82360</v>
      </c>
      <c r="Y235" s="28" t="str">
        <f t="shared" si="128"/>
        <v>A7</v>
      </c>
      <c r="Z235" s="5" t="str">
        <f t="shared" si="134"/>
        <v>A8</v>
      </c>
      <c r="AA235" s="5" t="str">
        <f t="shared" si="132"/>
        <v>A7</v>
      </c>
      <c r="AG235" s="49" t="str">
        <f t="shared" si="127"/>
        <v>19/04/2024</v>
      </c>
      <c r="AH235" s="46">
        <f t="shared" si="127"/>
        <v>82360</v>
      </c>
      <c r="AI235" s="49" t="str">
        <f t="shared" si="127"/>
        <v>A7</v>
      </c>
      <c r="AJ235" s="49" t="str">
        <f t="shared" si="135"/>
        <v>A8</v>
      </c>
      <c r="AK235" s="50">
        <f t="shared" si="125"/>
        <v>85922.5</v>
      </c>
      <c r="AL235" s="49" t="str">
        <f t="shared" si="148"/>
        <v>A7</v>
      </c>
      <c r="AM235" s="50">
        <f t="shared" si="136"/>
        <v>79891.5</v>
      </c>
      <c r="AN235" s="56">
        <f t="shared" si="149"/>
        <v>1840</v>
      </c>
      <c r="AO235" s="57">
        <f t="shared" si="150"/>
        <v>83280</v>
      </c>
      <c r="AP235" s="23">
        <f t="shared" si="137"/>
        <v>81440</v>
      </c>
      <c r="AQ235" s="23">
        <f t="shared" si="138"/>
        <v>84200</v>
      </c>
      <c r="AR235" s="23">
        <f t="shared" si="139"/>
        <v>80520</v>
      </c>
      <c r="AS235" s="23">
        <f t="shared" si="140"/>
        <v>82820</v>
      </c>
      <c r="AT235" s="23">
        <f t="shared" si="141"/>
        <v>81900</v>
      </c>
      <c r="AU235" s="23">
        <f t="shared" si="142"/>
        <v>86040</v>
      </c>
      <c r="AV235" s="23">
        <f t="shared" si="143"/>
        <v>78680</v>
      </c>
      <c r="AW235" s="23">
        <f t="shared" si="144"/>
        <v>82666.666666666672</v>
      </c>
      <c r="AX235" s="23">
        <f t="shared" si="145"/>
        <v>82053.333333333328</v>
      </c>
      <c r="AY235" s="23">
        <f t="shared" si="146"/>
        <v>87880</v>
      </c>
      <c r="AZ235" s="23">
        <f t="shared" si="147"/>
        <v>76840</v>
      </c>
      <c r="BA235" s="23">
        <f>(AP234+AM234)/(1+1)</f>
        <v>84558.75</v>
      </c>
      <c r="BB235" s="43"/>
      <c r="BC235" s="51">
        <f t="shared" si="129"/>
        <v>82360</v>
      </c>
      <c r="BD235" s="52">
        <f t="shared" si="133"/>
        <v>84558.75</v>
      </c>
      <c r="BE235" s="37">
        <f t="shared" si="151"/>
        <v>-2198.75</v>
      </c>
      <c r="BF235">
        <f t="shared" si="152"/>
        <v>2198.75</v>
      </c>
      <c r="BG235">
        <f t="shared" si="153"/>
        <v>2.6696818844099076E-2</v>
      </c>
    </row>
    <row r="236" spans="1:59">
      <c r="A236" s="1" t="s">
        <v>237</v>
      </c>
      <c r="B236" s="1">
        <v>82820</v>
      </c>
      <c r="Q236">
        <v>233</v>
      </c>
      <c r="R236" s="27" t="str">
        <f t="shared" si="130"/>
        <v>20/04/2024</v>
      </c>
      <c r="S236" s="27">
        <f t="shared" si="130"/>
        <v>83100</v>
      </c>
      <c r="T236" s="4" t="str">
        <f t="shared" si="131"/>
        <v>A8</v>
      </c>
      <c r="V236">
        <v>233</v>
      </c>
      <c r="W236" s="28" t="str">
        <f t="shared" si="128"/>
        <v>20/04/2024</v>
      </c>
      <c r="X236" s="28">
        <f t="shared" si="128"/>
        <v>83100</v>
      </c>
      <c r="Y236" s="28" t="str">
        <f t="shared" si="128"/>
        <v>A8</v>
      </c>
      <c r="Z236" s="5" t="str">
        <f t="shared" si="134"/>
        <v>A7</v>
      </c>
      <c r="AA236" s="5" t="str">
        <f t="shared" si="132"/>
        <v>A8</v>
      </c>
      <c r="AG236" s="49" t="str">
        <f t="shared" si="127"/>
        <v>20/04/2024</v>
      </c>
      <c r="AH236" s="46">
        <f t="shared" si="127"/>
        <v>83100</v>
      </c>
      <c r="AI236" s="49" t="str">
        <f t="shared" si="127"/>
        <v>A8</v>
      </c>
      <c r="AJ236" s="49" t="str">
        <f t="shared" si="135"/>
        <v>A7</v>
      </c>
      <c r="AK236" s="50">
        <f t="shared" si="125"/>
        <v>79891.5</v>
      </c>
      <c r="AL236" s="49" t="str">
        <f t="shared" si="148"/>
        <v>A8</v>
      </c>
      <c r="AM236" s="50">
        <f t="shared" si="136"/>
        <v>85922.5</v>
      </c>
      <c r="AN236" s="56">
        <f t="shared" si="149"/>
        <v>1160</v>
      </c>
      <c r="AO236" s="57">
        <f t="shared" si="150"/>
        <v>83680</v>
      </c>
      <c r="AP236" s="23">
        <f t="shared" si="137"/>
        <v>82520</v>
      </c>
      <c r="AQ236" s="23">
        <f t="shared" si="138"/>
        <v>84260</v>
      </c>
      <c r="AR236" s="23">
        <f t="shared" si="139"/>
        <v>81940</v>
      </c>
      <c r="AS236" s="23">
        <f t="shared" si="140"/>
        <v>83390</v>
      </c>
      <c r="AT236" s="23">
        <f t="shared" si="141"/>
        <v>82810</v>
      </c>
      <c r="AU236" s="23">
        <f t="shared" si="142"/>
        <v>85420</v>
      </c>
      <c r="AV236" s="23">
        <f t="shared" si="143"/>
        <v>80780</v>
      </c>
      <c r="AW236" s="23">
        <f t="shared" si="144"/>
        <v>83293.333333333328</v>
      </c>
      <c r="AX236" s="23">
        <f t="shared" si="145"/>
        <v>82906.666666666672</v>
      </c>
      <c r="AY236" s="23">
        <f t="shared" si="146"/>
        <v>86580</v>
      </c>
      <c r="AZ236" s="23">
        <f t="shared" si="147"/>
        <v>79620</v>
      </c>
      <c r="BA236" s="23">
        <f t="shared" ref="BA236:BA249" si="156">(AO235+AM235)/(1+1)</f>
        <v>81585.75</v>
      </c>
      <c r="BB236" s="43"/>
      <c r="BC236" s="51">
        <f t="shared" si="129"/>
        <v>83100</v>
      </c>
      <c r="BD236" s="52">
        <f t="shared" si="133"/>
        <v>81585.75</v>
      </c>
      <c r="BE236" s="37">
        <f t="shared" si="151"/>
        <v>1514.25</v>
      </c>
      <c r="BF236">
        <f t="shared" si="152"/>
        <v>1514.25</v>
      </c>
      <c r="BG236">
        <f t="shared" si="153"/>
        <v>1.8222021660649821E-2</v>
      </c>
    </row>
    <row r="237" spans="1:59">
      <c r="A237" s="1" t="s">
        <v>238</v>
      </c>
      <c r="B237" s="1">
        <v>79970</v>
      </c>
      <c r="Q237">
        <v>234</v>
      </c>
      <c r="R237" s="27" t="str">
        <f t="shared" si="130"/>
        <v>21/04/2024</v>
      </c>
      <c r="S237" s="27">
        <f t="shared" si="130"/>
        <v>83290</v>
      </c>
      <c r="T237" s="4" t="str">
        <f t="shared" si="131"/>
        <v>A8</v>
      </c>
      <c r="V237">
        <v>234</v>
      </c>
      <c r="W237" s="28" t="str">
        <f t="shared" si="128"/>
        <v>21/04/2024</v>
      </c>
      <c r="X237" s="28">
        <f t="shared" si="128"/>
        <v>83290</v>
      </c>
      <c r="Y237" s="28" t="str">
        <f t="shared" si="128"/>
        <v>A8</v>
      </c>
      <c r="Z237" s="5" t="str">
        <f t="shared" si="134"/>
        <v>A8</v>
      </c>
      <c r="AA237" s="5" t="str">
        <f t="shared" si="132"/>
        <v>A8</v>
      </c>
      <c r="AG237" s="49" t="str">
        <f t="shared" si="127"/>
        <v>21/04/2024</v>
      </c>
      <c r="AH237" s="46">
        <f t="shared" si="127"/>
        <v>83290</v>
      </c>
      <c r="AI237" s="49" t="str">
        <f t="shared" si="127"/>
        <v>A8</v>
      </c>
      <c r="AJ237" s="49" t="str">
        <f t="shared" si="135"/>
        <v>A8</v>
      </c>
      <c r="AK237" s="50">
        <f t="shared" si="125"/>
        <v>85922.5</v>
      </c>
      <c r="AL237" s="49" t="str">
        <f t="shared" si="148"/>
        <v>A8</v>
      </c>
      <c r="AM237" s="50">
        <f t="shared" si="136"/>
        <v>85922.5</v>
      </c>
      <c r="AN237" s="56">
        <f t="shared" si="149"/>
        <v>550</v>
      </c>
      <c r="AO237" s="57">
        <f t="shared" si="150"/>
        <v>83565</v>
      </c>
      <c r="AP237" s="23">
        <f t="shared" si="137"/>
        <v>83015</v>
      </c>
      <c r="AQ237" s="23">
        <f t="shared" si="138"/>
        <v>83840</v>
      </c>
      <c r="AR237" s="23">
        <f t="shared" si="139"/>
        <v>82740</v>
      </c>
      <c r="AS237" s="23">
        <f t="shared" si="140"/>
        <v>83427.5</v>
      </c>
      <c r="AT237" s="23">
        <f t="shared" si="141"/>
        <v>83152.5</v>
      </c>
      <c r="AU237" s="23">
        <f t="shared" si="142"/>
        <v>84390</v>
      </c>
      <c r="AV237" s="23">
        <f t="shared" si="143"/>
        <v>82190</v>
      </c>
      <c r="AW237" s="23">
        <f t="shared" si="144"/>
        <v>83381.666666666672</v>
      </c>
      <c r="AX237" s="23">
        <f t="shared" si="145"/>
        <v>83198.333333333328</v>
      </c>
      <c r="AY237" s="23">
        <f t="shared" si="146"/>
        <v>84940</v>
      </c>
      <c r="AZ237" s="23">
        <f t="shared" si="147"/>
        <v>81640</v>
      </c>
      <c r="BA237" s="23">
        <f t="shared" si="156"/>
        <v>84801.25</v>
      </c>
      <c r="BB237" s="43"/>
      <c r="BC237" s="51">
        <f t="shared" si="129"/>
        <v>83290</v>
      </c>
      <c r="BD237" s="52">
        <f t="shared" si="133"/>
        <v>84801.25</v>
      </c>
      <c r="BE237" s="37">
        <f t="shared" si="151"/>
        <v>-1511.25</v>
      </c>
      <c r="BF237">
        <f t="shared" si="152"/>
        <v>1511.25</v>
      </c>
      <c r="BG237">
        <f t="shared" si="153"/>
        <v>1.8144435106255252E-2</v>
      </c>
    </row>
    <row r="238" spans="1:59">
      <c r="A238" s="1" t="s">
        <v>239</v>
      </c>
      <c r="B238" s="1">
        <v>80800</v>
      </c>
      <c r="Q238">
        <v>235</v>
      </c>
      <c r="R238" s="27" t="str">
        <f t="shared" si="130"/>
        <v>22/04/2024</v>
      </c>
      <c r="S238" s="27">
        <f t="shared" si="130"/>
        <v>82820</v>
      </c>
      <c r="T238" s="4" t="str">
        <f t="shared" si="131"/>
        <v>A7</v>
      </c>
      <c r="V238">
        <v>235</v>
      </c>
      <c r="W238" s="28" t="str">
        <f t="shared" si="128"/>
        <v>22/04/2024</v>
      </c>
      <c r="X238" s="28">
        <f t="shared" si="128"/>
        <v>82820</v>
      </c>
      <c r="Y238" s="28" t="str">
        <f t="shared" si="128"/>
        <v>A7</v>
      </c>
      <c r="Z238" s="5" t="str">
        <f t="shared" si="134"/>
        <v>A8</v>
      </c>
      <c r="AA238" s="5" t="str">
        <f t="shared" si="132"/>
        <v>A7</v>
      </c>
      <c r="AG238" s="49" t="str">
        <f t="shared" si="127"/>
        <v>22/04/2024</v>
      </c>
      <c r="AH238" s="46">
        <f t="shared" si="127"/>
        <v>82820</v>
      </c>
      <c r="AI238" s="49" t="str">
        <f t="shared" si="127"/>
        <v>A7</v>
      </c>
      <c r="AJ238" s="49" t="str">
        <f t="shared" si="135"/>
        <v>A8</v>
      </c>
      <c r="AK238" s="50">
        <f t="shared" si="125"/>
        <v>85922.5</v>
      </c>
      <c r="AL238" s="49" t="str">
        <f t="shared" si="148"/>
        <v>A7</v>
      </c>
      <c r="AM238" s="50">
        <f t="shared" si="136"/>
        <v>79891.5</v>
      </c>
      <c r="AN238" s="56">
        <f t="shared" si="149"/>
        <v>280</v>
      </c>
      <c r="AO238" s="57">
        <f t="shared" si="150"/>
        <v>82960</v>
      </c>
      <c r="AP238" s="23">
        <f t="shared" si="137"/>
        <v>82680</v>
      </c>
      <c r="AQ238" s="23">
        <f t="shared" si="138"/>
        <v>83100</v>
      </c>
      <c r="AR238" s="23">
        <f t="shared" si="139"/>
        <v>82540</v>
      </c>
      <c r="AS238" s="23">
        <f t="shared" si="140"/>
        <v>82890</v>
      </c>
      <c r="AT238" s="23">
        <f t="shared" si="141"/>
        <v>82750</v>
      </c>
      <c r="AU238" s="23">
        <f t="shared" si="142"/>
        <v>83380</v>
      </c>
      <c r="AV238" s="23">
        <f t="shared" si="143"/>
        <v>82260</v>
      </c>
      <c r="AW238" s="23">
        <f t="shared" si="144"/>
        <v>82866.666666666672</v>
      </c>
      <c r="AX238" s="23">
        <f t="shared" si="145"/>
        <v>82773.333333333328</v>
      </c>
      <c r="AY238" s="23">
        <f t="shared" si="146"/>
        <v>83660</v>
      </c>
      <c r="AZ238" s="23">
        <f t="shared" si="147"/>
        <v>81980</v>
      </c>
      <c r="BA238" s="23">
        <f t="shared" si="156"/>
        <v>84743.75</v>
      </c>
      <c r="BB238" s="43"/>
      <c r="BC238" s="51">
        <f t="shared" si="129"/>
        <v>82820</v>
      </c>
      <c r="BD238" s="52">
        <f t="shared" si="133"/>
        <v>84743.75</v>
      </c>
      <c r="BE238" s="37">
        <f t="shared" si="151"/>
        <v>-1923.75</v>
      </c>
      <c r="BF238">
        <f t="shared" si="152"/>
        <v>1923.75</v>
      </c>
      <c r="BG238">
        <f t="shared" si="153"/>
        <v>2.3228085003622313E-2</v>
      </c>
    </row>
    <row r="239" spans="1:59">
      <c r="A239" s="1" t="s">
        <v>240</v>
      </c>
      <c r="B239" s="1">
        <v>78560</v>
      </c>
      <c r="Q239">
        <v>236</v>
      </c>
      <c r="R239" s="27" t="str">
        <f t="shared" si="130"/>
        <v>23/04/2024</v>
      </c>
      <c r="S239" s="27">
        <f t="shared" si="130"/>
        <v>79970</v>
      </c>
      <c r="T239" s="4" t="str">
        <f t="shared" si="131"/>
        <v>A7</v>
      </c>
      <c r="V239">
        <v>236</v>
      </c>
      <c r="W239" s="28" t="str">
        <f t="shared" si="128"/>
        <v>23/04/2024</v>
      </c>
      <c r="X239" s="28">
        <f t="shared" si="128"/>
        <v>79970</v>
      </c>
      <c r="Y239" s="28" t="str">
        <f t="shared" si="128"/>
        <v>A7</v>
      </c>
      <c r="Z239" s="5" t="str">
        <f t="shared" si="134"/>
        <v>A7</v>
      </c>
      <c r="AA239" s="5" t="str">
        <f t="shared" si="132"/>
        <v>A7</v>
      </c>
      <c r="AG239" s="49" t="str">
        <f t="shared" si="127"/>
        <v>23/04/2024</v>
      </c>
      <c r="AH239" s="46">
        <f t="shared" si="127"/>
        <v>79970</v>
      </c>
      <c r="AI239" s="49" t="str">
        <f t="shared" si="127"/>
        <v>A7</v>
      </c>
      <c r="AJ239" s="49" t="str">
        <f t="shared" si="135"/>
        <v>A7</v>
      </c>
      <c r="AK239" s="50">
        <f t="shared" si="125"/>
        <v>79891.5</v>
      </c>
      <c r="AL239" s="49" t="str">
        <f t="shared" si="148"/>
        <v>A7</v>
      </c>
      <c r="AM239" s="50">
        <f t="shared" si="136"/>
        <v>79891.5</v>
      </c>
      <c r="AN239" s="56">
        <f t="shared" si="149"/>
        <v>2380</v>
      </c>
      <c r="AO239" s="57">
        <f t="shared" si="150"/>
        <v>81160</v>
      </c>
      <c r="AP239" s="23">
        <f t="shared" si="137"/>
        <v>78780</v>
      </c>
      <c r="AQ239" s="23">
        <f t="shared" si="138"/>
        <v>82350</v>
      </c>
      <c r="AR239" s="23">
        <f t="shared" si="139"/>
        <v>77590</v>
      </c>
      <c r="AS239" s="23">
        <f t="shared" si="140"/>
        <v>80565</v>
      </c>
      <c r="AT239" s="23">
        <f t="shared" si="141"/>
        <v>79375</v>
      </c>
      <c r="AU239" s="23">
        <f t="shared" si="142"/>
        <v>84730</v>
      </c>
      <c r="AV239" s="23">
        <f t="shared" si="143"/>
        <v>75210</v>
      </c>
      <c r="AW239" s="23">
        <f t="shared" si="144"/>
        <v>80366.666666666672</v>
      </c>
      <c r="AX239" s="23">
        <f t="shared" si="145"/>
        <v>79573.333333333328</v>
      </c>
      <c r="AY239" s="23">
        <f t="shared" si="146"/>
        <v>87110</v>
      </c>
      <c r="AZ239" s="23">
        <f t="shared" si="147"/>
        <v>72830</v>
      </c>
      <c r="BA239" s="23">
        <f t="shared" si="156"/>
        <v>81425.75</v>
      </c>
      <c r="BB239" s="43"/>
      <c r="BC239" s="51">
        <f t="shared" si="129"/>
        <v>79970</v>
      </c>
      <c r="BD239" s="52">
        <f t="shared" si="133"/>
        <v>81425.75</v>
      </c>
      <c r="BE239" s="37">
        <f t="shared" si="151"/>
        <v>-1455.75</v>
      </c>
      <c r="BF239">
        <f t="shared" si="152"/>
        <v>1455.75</v>
      </c>
      <c r="BG239">
        <f t="shared" si="153"/>
        <v>1.8203701388020507E-2</v>
      </c>
    </row>
    <row r="240" spans="1:59">
      <c r="A240" s="1" t="s">
        <v>241</v>
      </c>
      <c r="B240" s="1">
        <v>79380</v>
      </c>
      <c r="Q240">
        <v>237</v>
      </c>
      <c r="R240" s="27" t="str">
        <f t="shared" si="130"/>
        <v>24/04/2024</v>
      </c>
      <c r="S240" s="27">
        <f t="shared" si="130"/>
        <v>80800</v>
      </c>
      <c r="T240" s="4" t="str">
        <f t="shared" si="131"/>
        <v>A7</v>
      </c>
      <c r="V240">
        <v>237</v>
      </c>
      <c r="W240" s="28" t="str">
        <f t="shared" si="128"/>
        <v>24/04/2024</v>
      </c>
      <c r="X240" s="28">
        <f t="shared" si="128"/>
        <v>80800</v>
      </c>
      <c r="Y240" s="28" t="str">
        <f t="shared" si="128"/>
        <v>A7</v>
      </c>
      <c r="Z240" s="5" t="str">
        <f t="shared" si="134"/>
        <v>A7</v>
      </c>
      <c r="AA240" s="5" t="str">
        <f t="shared" si="132"/>
        <v>A7</v>
      </c>
      <c r="AG240" s="49" t="str">
        <f t="shared" si="127"/>
        <v>24/04/2024</v>
      </c>
      <c r="AH240" s="46">
        <f t="shared" si="127"/>
        <v>80800</v>
      </c>
      <c r="AI240" s="49" t="str">
        <f t="shared" si="127"/>
        <v>A7</v>
      </c>
      <c r="AJ240" s="49" t="str">
        <f t="shared" si="135"/>
        <v>A7</v>
      </c>
      <c r="AK240" s="50">
        <f t="shared" si="125"/>
        <v>79891.5</v>
      </c>
      <c r="AL240" s="49" t="str">
        <f t="shared" si="148"/>
        <v>A7</v>
      </c>
      <c r="AM240" s="50">
        <f t="shared" si="136"/>
        <v>79891.5</v>
      </c>
      <c r="AN240" s="56">
        <f t="shared" si="149"/>
        <v>2020</v>
      </c>
      <c r="AO240" s="57">
        <f t="shared" si="150"/>
        <v>81810</v>
      </c>
      <c r="AP240" s="23">
        <f t="shared" si="137"/>
        <v>79790</v>
      </c>
      <c r="AQ240" s="23">
        <f t="shared" si="138"/>
        <v>82820</v>
      </c>
      <c r="AR240" s="23">
        <f t="shared" si="139"/>
        <v>78780</v>
      </c>
      <c r="AS240" s="23">
        <f t="shared" si="140"/>
        <v>81305</v>
      </c>
      <c r="AT240" s="23">
        <f t="shared" si="141"/>
        <v>80295</v>
      </c>
      <c r="AU240" s="23">
        <f t="shared" si="142"/>
        <v>84840</v>
      </c>
      <c r="AV240" s="23">
        <f t="shared" si="143"/>
        <v>76760</v>
      </c>
      <c r="AW240" s="23">
        <f t="shared" si="144"/>
        <v>81136.666666666672</v>
      </c>
      <c r="AX240" s="23">
        <f t="shared" si="145"/>
        <v>80463.333333333328</v>
      </c>
      <c r="AY240" s="23">
        <f t="shared" si="146"/>
        <v>86860</v>
      </c>
      <c r="AZ240" s="23">
        <f t="shared" si="147"/>
        <v>74740</v>
      </c>
      <c r="BA240" s="23">
        <f t="shared" si="156"/>
        <v>80525.75</v>
      </c>
      <c r="BB240" s="43"/>
      <c r="BC240" s="51">
        <f t="shared" si="129"/>
        <v>80800</v>
      </c>
      <c r="BD240" s="52">
        <f t="shared" si="133"/>
        <v>80525.75</v>
      </c>
      <c r="BE240" s="37">
        <f t="shared" si="151"/>
        <v>274.25</v>
      </c>
      <c r="BF240">
        <f t="shared" si="152"/>
        <v>274.25</v>
      </c>
      <c r="BG240">
        <f t="shared" si="153"/>
        <v>3.3941831683168317E-3</v>
      </c>
    </row>
    <row r="241" spans="1:59">
      <c r="A241" s="1" t="s">
        <v>242</v>
      </c>
      <c r="B241" s="1">
        <v>79480</v>
      </c>
      <c r="Q241">
        <v>238</v>
      </c>
      <c r="R241" s="27" t="str">
        <f t="shared" si="130"/>
        <v>25/04/2024</v>
      </c>
      <c r="S241" s="27">
        <f t="shared" si="130"/>
        <v>78560</v>
      </c>
      <c r="T241" s="4" t="str">
        <f t="shared" si="131"/>
        <v>A7</v>
      </c>
      <c r="V241">
        <v>238</v>
      </c>
      <c r="W241" s="28" t="str">
        <f t="shared" si="128"/>
        <v>25/04/2024</v>
      </c>
      <c r="X241" s="28">
        <f t="shared" si="128"/>
        <v>78560</v>
      </c>
      <c r="Y241" s="28" t="str">
        <f t="shared" si="128"/>
        <v>A7</v>
      </c>
      <c r="Z241" s="5" t="str">
        <f t="shared" si="134"/>
        <v>A7</v>
      </c>
      <c r="AA241" s="5" t="str">
        <f t="shared" si="132"/>
        <v>A7</v>
      </c>
      <c r="AG241" s="49" t="str">
        <f t="shared" si="127"/>
        <v>25/04/2024</v>
      </c>
      <c r="AH241" s="46">
        <f t="shared" si="127"/>
        <v>78560</v>
      </c>
      <c r="AI241" s="49" t="str">
        <f t="shared" si="127"/>
        <v>A7</v>
      </c>
      <c r="AJ241" s="49" t="str">
        <f t="shared" si="135"/>
        <v>A7</v>
      </c>
      <c r="AK241" s="50">
        <f t="shared" si="125"/>
        <v>79891.5</v>
      </c>
      <c r="AL241" s="49" t="str">
        <f t="shared" si="148"/>
        <v>A7</v>
      </c>
      <c r="AM241" s="50">
        <f t="shared" si="136"/>
        <v>79891.5</v>
      </c>
      <c r="AN241" s="56">
        <f t="shared" si="149"/>
        <v>1410</v>
      </c>
      <c r="AO241" s="57">
        <f t="shared" si="150"/>
        <v>79265</v>
      </c>
      <c r="AP241" s="23">
        <f t="shared" si="137"/>
        <v>77855</v>
      </c>
      <c r="AQ241" s="23">
        <f t="shared" si="138"/>
        <v>79970</v>
      </c>
      <c r="AR241" s="23">
        <f t="shared" si="139"/>
        <v>77150</v>
      </c>
      <c r="AS241" s="23">
        <f t="shared" si="140"/>
        <v>78912.5</v>
      </c>
      <c r="AT241" s="23">
        <f t="shared" si="141"/>
        <v>78207.5</v>
      </c>
      <c r="AU241" s="23">
        <f t="shared" si="142"/>
        <v>81380</v>
      </c>
      <c r="AV241" s="23">
        <f t="shared" si="143"/>
        <v>75740</v>
      </c>
      <c r="AW241" s="23">
        <f t="shared" si="144"/>
        <v>78795</v>
      </c>
      <c r="AX241" s="23">
        <f t="shared" si="145"/>
        <v>78325</v>
      </c>
      <c r="AY241" s="23">
        <f t="shared" si="146"/>
        <v>82790</v>
      </c>
      <c r="AZ241" s="23">
        <f t="shared" si="147"/>
        <v>74330</v>
      </c>
      <c r="BA241" s="23">
        <f t="shared" si="156"/>
        <v>80850.75</v>
      </c>
      <c r="BB241" s="43"/>
      <c r="BC241" s="51">
        <f t="shared" si="129"/>
        <v>78560</v>
      </c>
      <c r="BD241" s="52">
        <f t="shared" si="133"/>
        <v>80850.75</v>
      </c>
      <c r="BE241" s="37">
        <f t="shared" si="151"/>
        <v>-2290.75</v>
      </c>
      <c r="BF241">
        <f t="shared" si="152"/>
        <v>2290.75</v>
      </c>
      <c r="BG241">
        <f t="shared" si="153"/>
        <v>2.9159241344195518E-2</v>
      </c>
    </row>
    <row r="242" spans="1:59">
      <c r="A242" s="1" t="s">
        <v>243</v>
      </c>
      <c r="B242" s="1">
        <v>79160</v>
      </c>
      <c r="Q242">
        <v>239</v>
      </c>
      <c r="R242" s="27" t="str">
        <f t="shared" si="130"/>
        <v>26/04/2024</v>
      </c>
      <c r="S242" s="27">
        <f t="shared" si="130"/>
        <v>79380</v>
      </c>
      <c r="T242" s="4" t="str">
        <f t="shared" si="131"/>
        <v>A7</v>
      </c>
      <c r="V242">
        <v>239</v>
      </c>
      <c r="W242" s="28" t="str">
        <f t="shared" si="128"/>
        <v>26/04/2024</v>
      </c>
      <c r="X242" s="28">
        <f t="shared" si="128"/>
        <v>79380</v>
      </c>
      <c r="Y242" s="28" t="str">
        <f t="shared" si="128"/>
        <v>A7</v>
      </c>
      <c r="Z242" s="5" t="str">
        <f t="shared" si="134"/>
        <v>A7</v>
      </c>
      <c r="AA242" s="5" t="str">
        <f t="shared" si="132"/>
        <v>A7</v>
      </c>
      <c r="AG242" s="49" t="str">
        <f t="shared" si="127"/>
        <v>26/04/2024</v>
      </c>
      <c r="AH242" s="46">
        <f t="shared" si="127"/>
        <v>79380</v>
      </c>
      <c r="AI242" s="49" t="str">
        <f t="shared" si="127"/>
        <v>A7</v>
      </c>
      <c r="AJ242" s="49" t="str">
        <f t="shared" si="135"/>
        <v>A7</v>
      </c>
      <c r="AK242" s="50">
        <f t="shared" si="125"/>
        <v>79891.5</v>
      </c>
      <c r="AL242" s="49" t="str">
        <f t="shared" si="148"/>
        <v>A7</v>
      </c>
      <c r="AM242" s="50">
        <f t="shared" si="136"/>
        <v>79891.5</v>
      </c>
      <c r="AN242" s="56">
        <f t="shared" si="149"/>
        <v>1420</v>
      </c>
      <c r="AO242" s="57">
        <f t="shared" si="150"/>
        <v>80090</v>
      </c>
      <c r="AP242" s="23">
        <f t="shared" si="137"/>
        <v>78670</v>
      </c>
      <c r="AQ242" s="23">
        <f t="shared" si="138"/>
        <v>80800</v>
      </c>
      <c r="AR242" s="23">
        <f t="shared" si="139"/>
        <v>77960</v>
      </c>
      <c r="AS242" s="23">
        <f t="shared" si="140"/>
        <v>79735</v>
      </c>
      <c r="AT242" s="23">
        <f t="shared" si="141"/>
        <v>79025</v>
      </c>
      <c r="AU242" s="23">
        <f t="shared" si="142"/>
        <v>82220</v>
      </c>
      <c r="AV242" s="23">
        <f t="shared" si="143"/>
        <v>76540</v>
      </c>
      <c r="AW242" s="23">
        <f t="shared" si="144"/>
        <v>79616.666666666672</v>
      </c>
      <c r="AX242" s="23">
        <f t="shared" si="145"/>
        <v>79143.333333333328</v>
      </c>
      <c r="AY242" s="23">
        <f t="shared" si="146"/>
        <v>83640</v>
      </c>
      <c r="AZ242" s="23">
        <f t="shared" si="147"/>
        <v>75120</v>
      </c>
      <c r="BA242" s="23">
        <f t="shared" si="156"/>
        <v>79578.25</v>
      </c>
      <c r="BB242" s="43"/>
      <c r="BC242" s="51">
        <f t="shared" si="129"/>
        <v>79380</v>
      </c>
      <c r="BD242" s="52">
        <f t="shared" si="133"/>
        <v>79578.25</v>
      </c>
      <c r="BE242" s="37">
        <f t="shared" si="151"/>
        <v>-198.25</v>
      </c>
      <c r="BF242">
        <f t="shared" si="152"/>
        <v>198.25</v>
      </c>
      <c r="BG242">
        <f t="shared" si="153"/>
        <v>2.49748047367095E-3</v>
      </c>
    </row>
    <row r="243" spans="1:59">
      <c r="A243" s="1" t="s">
        <v>244</v>
      </c>
      <c r="B243" s="1">
        <v>78670</v>
      </c>
      <c r="Q243">
        <v>240</v>
      </c>
      <c r="R243" s="27" t="str">
        <f t="shared" si="130"/>
        <v>27/04/2024</v>
      </c>
      <c r="S243" s="27">
        <f t="shared" si="130"/>
        <v>79480</v>
      </c>
      <c r="T243" s="4" t="str">
        <f t="shared" si="131"/>
        <v>A7</v>
      </c>
      <c r="V243">
        <v>240</v>
      </c>
      <c r="W243" s="28" t="str">
        <f t="shared" si="128"/>
        <v>27/04/2024</v>
      </c>
      <c r="X243" s="28">
        <f t="shared" si="128"/>
        <v>79480</v>
      </c>
      <c r="Y243" s="28" t="str">
        <f t="shared" si="128"/>
        <v>A7</v>
      </c>
      <c r="Z243" s="5" t="str">
        <f t="shared" si="134"/>
        <v>A7</v>
      </c>
      <c r="AA243" s="5" t="str">
        <f t="shared" si="132"/>
        <v>A7</v>
      </c>
      <c r="AG243" s="49" t="str">
        <f t="shared" si="127"/>
        <v>27/04/2024</v>
      </c>
      <c r="AH243" s="46">
        <f t="shared" si="127"/>
        <v>79480</v>
      </c>
      <c r="AI243" s="49" t="str">
        <f t="shared" si="127"/>
        <v>A7</v>
      </c>
      <c r="AJ243" s="49" t="str">
        <f t="shared" si="135"/>
        <v>A7</v>
      </c>
      <c r="AK243" s="50">
        <f t="shared" ref="AK243:AK306" si="157">VLOOKUP(AJ243,$AC$18:$AD$27,2,FALSE)</f>
        <v>79891.5</v>
      </c>
      <c r="AL243" s="49" t="str">
        <f t="shared" si="148"/>
        <v>A7</v>
      </c>
      <c r="AM243" s="50">
        <f t="shared" si="136"/>
        <v>79891.5</v>
      </c>
      <c r="AN243" s="56">
        <f t="shared" si="149"/>
        <v>720</v>
      </c>
      <c r="AO243" s="57">
        <f t="shared" si="150"/>
        <v>79840</v>
      </c>
      <c r="AP243" s="23">
        <f t="shared" si="137"/>
        <v>79120</v>
      </c>
      <c r="AQ243" s="23">
        <f t="shared" si="138"/>
        <v>80200</v>
      </c>
      <c r="AR243" s="23">
        <f t="shared" si="139"/>
        <v>78760</v>
      </c>
      <c r="AS243" s="23">
        <f t="shared" si="140"/>
        <v>79660</v>
      </c>
      <c r="AT243" s="23">
        <f t="shared" si="141"/>
        <v>79300</v>
      </c>
      <c r="AU243" s="23">
        <f t="shared" si="142"/>
        <v>80920</v>
      </c>
      <c r="AV243" s="23">
        <f t="shared" si="143"/>
        <v>78040</v>
      </c>
      <c r="AW243" s="23">
        <f t="shared" si="144"/>
        <v>79600</v>
      </c>
      <c r="AX243" s="23">
        <f t="shared" si="145"/>
        <v>79360</v>
      </c>
      <c r="AY243" s="23">
        <f t="shared" si="146"/>
        <v>81640</v>
      </c>
      <c r="AZ243" s="23">
        <f t="shared" si="147"/>
        <v>77320</v>
      </c>
      <c r="BA243" s="23">
        <f t="shared" si="156"/>
        <v>79990.75</v>
      </c>
      <c r="BB243" s="43"/>
      <c r="BC243" s="51">
        <f t="shared" si="129"/>
        <v>79480</v>
      </c>
      <c r="BD243" s="52">
        <f t="shared" si="133"/>
        <v>79990.75</v>
      </c>
      <c r="BE243" s="37">
        <f t="shared" si="151"/>
        <v>-510.75</v>
      </c>
      <c r="BF243">
        <f t="shared" si="152"/>
        <v>510.75</v>
      </c>
      <c r="BG243">
        <f t="shared" si="153"/>
        <v>6.4261449421238051E-3</v>
      </c>
    </row>
    <row r="244" spans="1:59">
      <c r="A244" s="1" t="s">
        <v>245</v>
      </c>
      <c r="B244" s="1">
        <v>77490</v>
      </c>
      <c r="Q244">
        <v>241</v>
      </c>
      <c r="R244" s="27" t="str">
        <f t="shared" si="130"/>
        <v>28/04/2024</v>
      </c>
      <c r="S244" s="27">
        <f t="shared" si="130"/>
        <v>79160</v>
      </c>
      <c r="T244" s="4" t="str">
        <f t="shared" si="131"/>
        <v>A7</v>
      </c>
      <c r="V244">
        <v>241</v>
      </c>
      <c r="W244" s="28" t="str">
        <f t="shared" si="128"/>
        <v>28/04/2024</v>
      </c>
      <c r="X244" s="28">
        <f t="shared" si="128"/>
        <v>79160</v>
      </c>
      <c r="Y244" s="28" t="str">
        <f t="shared" si="128"/>
        <v>A7</v>
      </c>
      <c r="Z244" s="5" t="str">
        <f t="shared" si="134"/>
        <v>A7</v>
      </c>
      <c r="AA244" s="5" t="str">
        <f t="shared" si="132"/>
        <v>A7</v>
      </c>
      <c r="AG244" s="49" t="str">
        <f t="shared" si="127"/>
        <v>28/04/2024</v>
      </c>
      <c r="AH244" s="46">
        <f t="shared" si="127"/>
        <v>79160</v>
      </c>
      <c r="AI244" s="49" t="str">
        <f t="shared" si="127"/>
        <v>A7</v>
      </c>
      <c r="AJ244" s="49" t="str">
        <f t="shared" si="135"/>
        <v>A7</v>
      </c>
      <c r="AK244" s="50">
        <f t="shared" si="157"/>
        <v>79891.5</v>
      </c>
      <c r="AL244" s="49" t="str">
        <f t="shared" si="148"/>
        <v>A7</v>
      </c>
      <c r="AM244" s="50">
        <f t="shared" si="136"/>
        <v>79891.5</v>
      </c>
      <c r="AN244" s="56">
        <f t="shared" si="149"/>
        <v>220</v>
      </c>
      <c r="AO244" s="57">
        <f t="shared" si="150"/>
        <v>79270</v>
      </c>
      <c r="AP244" s="23">
        <f t="shared" si="137"/>
        <v>79050</v>
      </c>
      <c r="AQ244" s="23">
        <f t="shared" si="138"/>
        <v>79380</v>
      </c>
      <c r="AR244" s="23">
        <f t="shared" si="139"/>
        <v>78940</v>
      </c>
      <c r="AS244" s="23">
        <f t="shared" si="140"/>
        <v>79215</v>
      </c>
      <c r="AT244" s="23">
        <f t="shared" si="141"/>
        <v>79105</v>
      </c>
      <c r="AU244" s="23">
        <f t="shared" si="142"/>
        <v>79600</v>
      </c>
      <c r="AV244" s="23">
        <f t="shared" si="143"/>
        <v>78720</v>
      </c>
      <c r="AW244" s="23">
        <f t="shared" si="144"/>
        <v>79196.666666666672</v>
      </c>
      <c r="AX244" s="23">
        <f t="shared" si="145"/>
        <v>79123.333333333328</v>
      </c>
      <c r="AY244" s="23">
        <f t="shared" si="146"/>
        <v>79820</v>
      </c>
      <c r="AZ244" s="23">
        <f t="shared" si="147"/>
        <v>78500</v>
      </c>
      <c r="BA244" s="23">
        <f t="shared" si="156"/>
        <v>79865.75</v>
      </c>
      <c r="BB244" s="43"/>
      <c r="BC244" s="51">
        <f t="shared" si="129"/>
        <v>79160</v>
      </c>
      <c r="BD244" s="52">
        <f t="shared" si="133"/>
        <v>79865.75</v>
      </c>
      <c r="BE244" s="37">
        <f t="shared" si="151"/>
        <v>-705.75</v>
      </c>
      <c r="BF244">
        <f t="shared" si="152"/>
        <v>705.75</v>
      </c>
      <c r="BG244">
        <f t="shared" si="153"/>
        <v>8.9154876200101055E-3</v>
      </c>
    </row>
    <row r="245" spans="1:59">
      <c r="A245" s="1" t="s">
        <v>246</v>
      </c>
      <c r="B245" s="1">
        <v>75370</v>
      </c>
      <c r="Q245">
        <v>242</v>
      </c>
      <c r="R245" s="27" t="str">
        <f t="shared" si="130"/>
        <v>29/04/2024</v>
      </c>
      <c r="S245" s="27">
        <f t="shared" si="130"/>
        <v>78670</v>
      </c>
      <c r="T245" s="4" t="str">
        <f t="shared" si="131"/>
        <v>A7</v>
      </c>
      <c r="V245">
        <v>242</v>
      </c>
      <c r="W245" s="28" t="str">
        <f t="shared" si="128"/>
        <v>29/04/2024</v>
      </c>
      <c r="X245" s="28">
        <f t="shared" si="128"/>
        <v>78670</v>
      </c>
      <c r="Y245" s="28" t="str">
        <f t="shared" si="128"/>
        <v>A7</v>
      </c>
      <c r="Z245" s="5" t="str">
        <f t="shared" si="134"/>
        <v>A7</v>
      </c>
      <c r="AA245" s="5" t="str">
        <f t="shared" si="132"/>
        <v>A7</v>
      </c>
      <c r="AG245" s="49" t="str">
        <f t="shared" si="127"/>
        <v>29/04/2024</v>
      </c>
      <c r="AH245" s="46">
        <f t="shared" si="127"/>
        <v>78670</v>
      </c>
      <c r="AI245" s="49" t="str">
        <f t="shared" si="127"/>
        <v>A7</v>
      </c>
      <c r="AJ245" s="49" t="str">
        <f t="shared" si="135"/>
        <v>A7</v>
      </c>
      <c r="AK245" s="50">
        <f t="shared" si="157"/>
        <v>79891.5</v>
      </c>
      <c r="AL245" s="49" t="str">
        <f t="shared" si="148"/>
        <v>A7</v>
      </c>
      <c r="AM245" s="50">
        <f t="shared" si="136"/>
        <v>79891.5</v>
      </c>
      <c r="AN245" s="56">
        <f t="shared" si="149"/>
        <v>170</v>
      </c>
      <c r="AO245" s="57">
        <f t="shared" si="150"/>
        <v>78755</v>
      </c>
      <c r="AP245" s="23">
        <f t="shared" si="137"/>
        <v>78585</v>
      </c>
      <c r="AQ245" s="23">
        <f t="shared" si="138"/>
        <v>78840</v>
      </c>
      <c r="AR245" s="23">
        <f t="shared" si="139"/>
        <v>78500</v>
      </c>
      <c r="AS245" s="23">
        <f t="shared" si="140"/>
        <v>78712.5</v>
      </c>
      <c r="AT245" s="23">
        <f t="shared" si="141"/>
        <v>78627.5</v>
      </c>
      <c r="AU245" s="23">
        <f t="shared" si="142"/>
        <v>79010</v>
      </c>
      <c r="AV245" s="23">
        <f t="shared" si="143"/>
        <v>78330</v>
      </c>
      <c r="AW245" s="23">
        <f t="shared" si="144"/>
        <v>78698.333333333328</v>
      </c>
      <c r="AX245" s="23">
        <f t="shared" si="145"/>
        <v>78641.666666666672</v>
      </c>
      <c r="AY245" s="23">
        <f t="shared" si="146"/>
        <v>79180</v>
      </c>
      <c r="AZ245" s="23">
        <f t="shared" si="147"/>
        <v>78160</v>
      </c>
      <c r="BA245" s="23">
        <f t="shared" si="156"/>
        <v>79580.75</v>
      </c>
      <c r="BB245" s="43"/>
      <c r="BC245" s="51">
        <f t="shared" si="129"/>
        <v>78670</v>
      </c>
      <c r="BD245" s="52">
        <f t="shared" si="133"/>
        <v>79580.75</v>
      </c>
      <c r="BE245" s="37">
        <f t="shared" si="151"/>
        <v>-910.75</v>
      </c>
      <c r="BF245">
        <f t="shared" si="152"/>
        <v>910.75</v>
      </c>
      <c r="BG245">
        <f t="shared" si="153"/>
        <v>1.1576839964408288E-2</v>
      </c>
    </row>
    <row r="246" spans="1:59">
      <c r="A246" s="1" t="s">
        <v>247</v>
      </c>
      <c r="B246" s="1">
        <v>72090</v>
      </c>
      <c r="Q246">
        <v>243</v>
      </c>
      <c r="R246" s="27" t="str">
        <f t="shared" si="130"/>
        <v>30/04/2024</v>
      </c>
      <c r="S246" s="27">
        <f t="shared" si="130"/>
        <v>77490</v>
      </c>
      <c r="T246" s="4" t="str">
        <f t="shared" si="131"/>
        <v>A7</v>
      </c>
      <c r="V246">
        <v>243</v>
      </c>
      <c r="W246" s="28" t="str">
        <f t="shared" si="128"/>
        <v>30/04/2024</v>
      </c>
      <c r="X246" s="28">
        <f t="shared" si="128"/>
        <v>77490</v>
      </c>
      <c r="Y246" s="28" t="str">
        <f t="shared" si="128"/>
        <v>A7</v>
      </c>
      <c r="Z246" s="5" t="str">
        <f t="shared" si="134"/>
        <v>A7</v>
      </c>
      <c r="AA246" s="5" t="str">
        <f t="shared" si="132"/>
        <v>A7</v>
      </c>
      <c r="AG246" s="49" t="str">
        <f t="shared" si="127"/>
        <v>30/04/2024</v>
      </c>
      <c r="AH246" s="46">
        <f t="shared" si="127"/>
        <v>77490</v>
      </c>
      <c r="AI246" s="49" t="str">
        <f t="shared" si="127"/>
        <v>A7</v>
      </c>
      <c r="AJ246" s="49" t="str">
        <f t="shared" si="135"/>
        <v>A7</v>
      </c>
      <c r="AK246" s="50">
        <f t="shared" si="157"/>
        <v>79891.5</v>
      </c>
      <c r="AL246" s="49" t="str">
        <f t="shared" si="148"/>
        <v>A7</v>
      </c>
      <c r="AM246" s="50">
        <f t="shared" si="136"/>
        <v>79891.5</v>
      </c>
      <c r="AN246" s="56">
        <f t="shared" si="149"/>
        <v>690</v>
      </c>
      <c r="AO246" s="57">
        <f t="shared" si="150"/>
        <v>77835</v>
      </c>
      <c r="AP246" s="23">
        <f t="shared" si="137"/>
        <v>77145</v>
      </c>
      <c r="AQ246" s="23">
        <f t="shared" si="138"/>
        <v>78180</v>
      </c>
      <c r="AR246" s="23">
        <f t="shared" si="139"/>
        <v>76800</v>
      </c>
      <c r="AS246" s="23">
        <f t="shared" si="140"/>
        <v>77662.5</v>
      </c>
      <c r="AT246" s="23">
        <f t="shared" si="141"/>
        <v>77317.5</v>
      </c>
      <c r="AU246" s="23">
        <f t="shared" si="142"/>
        <v>78870</v>
      </c>
      <c r="AV246" s="23">
        <f t="shared" si="143"/>
        <v>76110</v>
      </c>
      <c r="AW246" s="23">
        <f t="shared" si="144"/>
        <v>77605</v>
      </c>
      <c r="AX246" s="23">
        <f t="shared" si="145"/>
        <v>77375</v>
      </c>
      <c r="AY246" s="23">
        <f t="shared" si="146"/>
        <v>79560</v>
      </c>
      <c r="AZ246" s="23">
        <f t="shared" si="147"/>
        <v>75420</v>
      </c>
      <c r="BA246" s="23">
        <f t="shared" si="156"/>
        <v>79323.25</v>
      </c>
      <c r="BB246" s="43"/>
      <c r="BC246" s="51">
        <f t="shared" si="129"/>
        <v>77490</v>
      </c>
      <c r="BD246" s="52">
        <f t="shared" si="133"/>
        <v>79323.25</v>
      </c>
      <c r="BE246" s="37">
        <f t="shared" si="151"/>
        <v>-1833.25</v>
      </c>
      <c r="BF246">
        <f t="shared" si="152"/>
        <v>1833.25</v>
      </c>
      <c r="BG246">
        <f t="shared" si="153"/>
        <v>2.3657891340818169E-2</v>
      </c>
    </row>
    <row r="247" spans="1:59">
      <c r="A247" s="1" t="s">
        <v>248</v>
      </c>
      <c r="B247" s="1">
        <v>73370</v>
      </c>
      <c r="Q247">
        <v>244</v>
      </c>
      <c r="R247" s="27" t="str">
        <f t="shared" si="130"/>
        <v>01/05/2024</v>
      </c>
      <c r="S247" s="27">
        <f t="shared" si="130"/>
        <v>75370</v>
      </c>
      <c r="T247" s="4" t="str">
        <f t="shared" si="131"/>
        <v>A6</v>
      </c>
      <c r="V247">
        <v>244</v>
      </c>
      <c r="W247" s="28" t="str">
        <f t="shared" si="128"/>
        <v>01/05/2024</v>
      </c>
      <c r="X247" s="28">
        <f t="shared" si="128"/>
        <v>75370</v>
      </c>
      <c r="Y247" s="28" t="str">
        <f t="shared" si="128"/>
        <v>A6</v>
      </c>
      <c r="Z247" s="5" t="str">
        <f t="shared" si="134"/>
        <v>A7</v>
      </c>
      <c r="AA247" s="5" t="str">
        <f t="shared" si="132"/>
        <v>A6</v>
      </c>
      <c r="AG247" s="49" t="str">
        <f t="shared" si="127"/>
        <v>01/05/2024</v>
      </c>
      <c r="AH247" s="46">
        <f t="shared" si="127"/>
        <v>75370</v>
      </c>
      <c r="AI247" s="49" t="str">
        <f t="shared" si="127"/>
        <v>A6</v>
      </c>
      <c r="AJ247" s="49" t="str">
        <f t="shared" si="135"/>
        <v>A7</v>
      </c>
      <c r="AK247" s="50">
        <f t="shared" si="157"/>
        <v>79891.5</v>
      </c>
      <c r="AL247" s="49" t="str">
        <f t="shared" si="148"/>
        <v>A6</v>
      </c>
      <c r="AM247" s="50">
        <f t="shared" si="136"/>
        <v>73860.5</v>
      </c>
      <c r="AN247" s="56">
        <f t="shared" si="149"/>
        <v>940</v>
      </c>
      <c r="AO247" s="57">
        <f t="shared" si="150"/>
        <v>75840</v>
      </c>
      <c r="AP247" s="23">
        <f t="shared" si="137"/>
        <v>74900</v>
      </c>
      <c r="AQ247" s="23">
        <f t="shared" si="138"/>
        <v>76310</v>
      </c>
      <c r="AR247" s="23">
        <f t="shared" si="139"/>
        <v>74430</v>
      </c>
      <c r="AS247" s="23">
        <f t="shared" si="140"/>
        <v>75605</v>
      </c>
      <c r="AT247" s="23">
        <f t="shared" si="141"/>
        <v>75135</v>
      </c>
      <c r="AU247" s="23">
        <f t="shared" si="142"/>
        <v>77250</v>
      </c>
      <c r="AV247" s="23">
        <f t="shared" si="143"/>
        <v>73490</v>
      </c>
      <c r="AW247" s="23">
        <f t="shared" si="144"/>
        <v>75526.666666666672</v>
      </c>
      <c r="AX247" s="23">
        <f t="shared" si="145"/>
        <v>75213.333333333328</v>
      </c>
      <c r="AY247" s="23">
        <f t="shared" si="146"/>
        <v>78190</v>
      </c>
      <c r="AZ247" s="23">
        <f t="shared" si="147"/>
        <v>72550</v>
      </c>
      <c r="BA247" s="23">
        <f t="shared" si="156"/>
        <v>78863.25</v>
      </c>
      <c r="BB247" s="43"/>
      <c r="BC247" s="51">
        <f t="shared" si="129"/>
        <v>75370</v>
      </c>
      <c r="BD247" s="52">
        <f t="shared" si="133"/>
        <v>78863.25</v>
      </c>
      <c r="BE247" s="37">
        <f t="shared" si="151"/>
        <v>-3493.25</v>
      </c>
      <c r="BF247">
        <f t="shared" si="152"/>
        <v>3493.25</v>
      </c>
      <c r="BG247">
        <f t="shared" si="153"/>
        <v>4.6348016452169301E-2</v>
      </c>
    </row>
    <row r="248" spans="1:59">
      <c r="A248" s="1" t="s">
        <v>249</v>
      </c>
      <c r="B248" s="1">
        <v>70150</v>
      </c>
      <c r="Q248">
        <v>245</v>
      </c>
      <c r="R248" s="27" t="str">
        <f t="shared" si="130"/>
        <v>02/05/2024</v>
      </c>
      <c r="S248" s="27">
        <f t="shared" si="130"/>
        <v>72090</v>
      </c>
      <c r="T248" s="4" t="str">
        <f t="shared" si="131"/>
        <v>A6</v>
      </c>
      <c r="V248">
        <v>245</v>
      </c>
      <c r="W248" s="28" t="str">
        <f t="shared" si="128"/>
        <v>02/05/2024</v>
      </c>
      <c r="X248" s="28">
        <f t="shared" si="128"/>
        <v>72090</v>
      </c>
      <c r="Y248" s="28" t="str">
        <f t="shared" si="128"/>
        <v>A6</v>
      </c>
      <c r="Z248" s="5" t="str">
        <f t="shared" si="134"/>
        <v>A6</v>
      </c>
      <c r="AA248" s="5" t="str">
        <f t="shared" si="132"/>
        <v>A6</v>
      </c>
      <c r="AG248" s="49" t="str">
        <f t="shared" si="127"/>
        <v>02/05/2024</v>
      </c>
      <c r="AH248" s="46">
        <f t="shared" si="127"/>
        <v>72090</v>
      </c>
      <c r="AI248" s="49" t="str">
        <f t="shared" si="127"/>
        <v>A6</v>
      </c>
      <c r="AJ248" s="49" t="str">
        <f t="shared" si="135"/>
        <v>A6</v>
      </c>
      <c r="AK248" s="50">
        <f t="shared" si="157"/>
        <v>73860.5</v>
      </c>
      <c r="AL248" s="49" t="str">
        <f t="shared" si="148"/>
        <v>A6</v>
      </c>
      <c r="AM248" s="50">
        <f t="shared" si="136"/>
        <v>73860.5</v>
      </c>
      <c r="AN248" s="56">
        <f t="shared" si="149"/>
        <v>1160</v>
      </c>
      <c r="AO248" s="57">
        <f t="shared" si="150"/>
        <v>72670</v>
      </c>
      <c r="AP248" s="23">
        <f t="shared" si="137"/>
        <v>71510</v>
      </c>
      <c r="AQ248" s="23">
        <f t="shared" si="138"/>
        <v>73250</v>
      </c>
      <c r="AR248" s="23">
        <f t="shared" si="139"/>
        <v>70930</v>
      </c>
      <c r="AS248" s="23">
        <f t="shared" si="140"/>
        <v>72380</v>
      </c>
      <c r="AT248" s="23">
        <f t="shared" si="141"/>
        <v>71800</v>
      </c>
      <c r="AU248" s="23">
        <f t="shared" si="142"/>
        <v>74410</v>
      </c>
      <c r="AV248" s="23">
        <f t="shared" si="143"/>
        <v>69770</v>
      </c>
      <c r="AW248" s="23">
        <f t="shared" si="144"/>
        <v>72283.333333333328</v>
      </c>
      <c r="AX248" s="23">
        <f t="shared" si="145"/>
        <v>71896.666666666672</v>
      </c>
      <c r="AY248" s="23">
        <f t="shared" si="146"/>
        <v>75570</v>
      </c>
      <c r="AZ248" s="23">
        <f t="shared" si="147"/>
        <v>68610</v>
      </c>
      <c r="BA248" s="23">
        <f t="shared" si="156"/>
        <v>74850.25</v>
      </c>
      <c r="BB248" s="43"/>
      <c r="BC248" s="51">
        <f t="shared" si="129"/>
        <v>72090</v>
      </c>
      <c r="BD248" s="52">
        <f t="shared" si="133"/>
        <v>74850.25</v>
      </c>
      <c r="BE248" s="37">
        <f t="shared" si="151"/>
        <v>-2760.25</v>
      </c>
      <c r="BF248">
        <f t="shared" si="152"/>
        <v>2760.25</v>
      </c>
      <c r="BG248">
        <f t="shared" si="153"/>
        <v>3.8288944375086696E-2</v>
      </c>
    </row>
    <row r="249" spans="1:59">
      <c r="A249" s="1" t="s">
        <v>250</v>
      </c>
      <c r="B249" s="1">
        <v>70250</v>
      </c>
      <c r="Q249">
        <v>246</v>
      </c>
      <c r="R249" s="27" t="str">
        <f t="shared" si="130"/>
        <v>03/05/2024</v>
      </c>
      <c r="S249" s="27">
        <f t="shared" si="130"/>
        <v>73370</v>
      </c>
      <c r="T249" s="4" t="str">
        <f t="shared" si="131"/>
        <v>A6</v>
      </c>
      <c r="V249">
        <v>246</v>
      </c>
      <c r="W249" s="28" t="str">
        <f t="shared" si="128"/>
        <v>03/05/2024</v>
      </c>
      <c r="X249" s="28">
        <f t="shared" si="128"/>
        <v>73370</v>
      </c>
      <c r="Y249" s="28" t="str">
        <f t="shared" si="128"/>
        <v>A6</v>
      </c>
      <c r="Z249" s="5" t="str">
        <f t="shared" si="134"/>
        <v>A6</v>
      </c>
      <c r="AA249" s="5" t="str">
        <f t="shared" si="132"/>
        <v>A6</v>
      </c>
      <c r="AG249" s="49" t="str">
        <f t="shared" si="127"/>
        <v>03/05/2024</v>
      </c>
      <c r="AH249" s="46">
        <f t="shared" si="127"/>
        <v>73370</v>
      </c>
      <c r="AI249" s="49" t="str">
        <f t="shared" si="127"/>
        <v>A6</v>
      </c>
      <c r="AJ249" s="49" t="str">
        <f t="shared" si="135"/>
        <v>A6</v>
      </c>
      <c r="AK249" s="50">
        <f t="shared" si="157"/>
        <v>73860.5</v>
      </c>
      <c r="AL249" s="49" t="str">
        <f t="shared" si="148"/>
        <v>A6</v>
      </c>
      <c r="AM249" s="50">
        <f t="shared" si="136"/>
        <v>73860.5</v>
      </c>
      <c r="AN249" s="56">
        <f t="shared" si="149"/>
        <v>2000</v>
      </c>
      <c r="AO249" s="23">
        <f t="shared" si="150"/>
        <v>74370</v>
      </c>
      <c r="AP249" s="57">
        <f t="shared" si="137"/>
        <v>72370</v>
      </c>
      <c r="AQ249" s="23">
        <f t="shared" si="138"/>
        <v>75370</v>
      </c>
      <c r="AR249" s="23">
        <f t="shared" si="139"/>
        <v>71370</v>
      </c>
      <c r="AS249" s="23">
        <f t="shared" si="140"/>
        <v>73870</v>
      </c>
      <c r="AT249" s="23">
        <f t="shared" si="141"/>
        <v>72870</v>
      </c>
      <c r="AU249" s="23">
        <f t="shared" si="142"/>
        <v>77370</v>
      </c>
      <c r="AV249" s="23">
        <f t="shared" si="143"/>
        <v>69370</v>
      </c>
      <c r="AW249" s="23">
        <f t="shared" si="144"/>
        <v>73703.333333333328</v>
      </c>
      <c r="AX249" s="23">
        <f t="shared" si="145"/>
        <v>73036.666666666672</v>
      </c>
      <c r="AY249" s="23">
        <f t="shared" si="146"/>
        <v>79370</v>
      </c>
      <c r="AZ249" s="23">
        <f t="shared" si="147"/>
        <v>67370</v>
      </c>
      <c r="BA249" s="23">
        <f t="shared" si="156"/>
        <v>73265.25</v>
      </c>
      <c r="BB249" s="43"/>
      <c r="BC249" s="51">
        <f t="shared" si="129"/>
        <v>73370</v>
      </c>
      <c r="BD249" s="52">
        <f t="shared" si="133"/>
        <v>73265.25</v>
      </c>
      <c r="BE249" s="37">
        <f t="shared" si="151"/>
        <v>104.75</v>
      </c>
      <c r="BF249">
        <f t="shared" si="152"/>
        <v>104.75</v>
      </c>
      <c r="BG249">
        <f t="shared" si="153"/>
        <v>1.4276952432874471E-3</v>
      </c>
    </row>
    <row r="250" spans="1:59">
      <c r="A250" s="1" t="s">
        <v>251</v>
      </c>
      <c r="B250" s="1">
        <v>70200</v>
      </c>
      <c r="Q250">
        <v>247</v>
      </c>
      <c r="R250" s="27" t="str">
        <f t="shared" si="130"/>
        <v>04/05/2024</v>
      </c>
      <c r="S250" s="27">
        <f t="shared" si="130"/>
        <v>70150</v>
      </c>
      <c r="T250" s="4" t="str">
        <f t="shared" si="131"/>
        <v>A5</v>
      </c>
      <c r="V250">
        <v>247</v>
      </c>
      <c r="W250" s="28" t="str">
        <f t="shared" si="128"/>
        <v>04/05/2024</v>
      </c>
      <c r="X250" s="28">
        <f t="shared" si="128"/>
        <v>70150</v>
      </c>
      <c r="Y250" s="28" t="str">
        <f t="shared" si="128"/>
        <v>A5</v>
      </c>
      <c r="Z250" s="5" t="str">
        <f t="shared" si="134"/>
        <v>A6</v>
      </c>
      <c r="AA250" s="5" t="str">
        <f t="shared" si="132"/>
        <v>A5</v>
      </c>
      <c r="AG250" s="49" t="str">
        <f t="shared" si="127"/>
        <v>04/05/2024</v>
      </c>
      <c r="AH250" s="46">
        <f t="shared" si="127"/>
        <v>70150</v>
      </c>
      <c r="AI250" s="49" t="str">
        <f t="shared" si="127"/>
        <v>A5</v>
      </c>
      <c r="AJ250" s="49" t="str">
        <f t="shared" si="135"/>
        <v>A6</v>
      </c>
      <c r="AK250" s="50">
        <f t="shared" si="157"/>
        <v>73860.5</v>
      </c>
      <c r="AL250" s="49" t="str">
        <f t="shared" si="148"/>
        <v>A5</v>
      </c>
      <c r="AM250" s="50">
        <f t="shared" si="136"/>
        <v>67829.5</v>
      </c>
      <c r="AN250" s="56">
        <f t="shared" si="149"/>
        <v>1940</v>
      </c>
      <c r="AO250" s="57">
        <f t="shared" si="150"/>
        <v>71120</v>
      </c>
      <c r="AP250" s="23">
        <f t="shared" si="137"/>
        <v>69180</v>
      </c>
      <c r="AQ250" s="23">
        <f t="shared" si="138"/>
        <v>72090</v>
      </c>
      <c r="AR250" s="23">
        <f t="shared" si="139"/>
        <v>68210</v>
      </c>
      <c r="AS250" s="23">
        <f t="shared" si="140"/>
        <v>70635</v>
      </c>
      <c r="AT250" s="23">
        <f t="shared" si="141"/>
        <v>69665</v>
      </c>
      <c r="AU250" s="23">
        <f t="shared" si="142"/>
        <v>74030</v>
      </c>
      <c r="AV250" s="23">
        <f t="shared" si="143"/>
        <v>66270</v>
      </c>
      <c r="AW250" s="23">
        <f t="shared" si="144"/>
        <v>70473.333333333328</v>
      </c>
      <c r="AX250" s="23">
        <f t="shared" si="145"/>
        <v>69826.666666666672</v>
      </c>
      <c r="AY250" s="23">
        <f t="shared" si="146"/>
        <v>75970</v>
      </c>
      <c r="AZ250" s="23">
        <f t="shared" si="147"/>
        <v>64330</v>
      </c>
      <c r="BA250" s="23">
        <f>(AP249+AM249)/(1+1)</f>
        <v>73115.25</v>
      </c>
      <c r="BB250" s="43"/>
      <c r="BC250" s="51">
        <f t="shared" si="129"/>
        <v>70150</v>
      </c>
      <c r="BD250" s="52">
        <f t="shared" si="133"/>
        <v>73115.25</v>
      </c>
      <c r="BE250" s="37">
        <f t="shared" si="151"/>
        <v>-2965.25</v>
      </c>
      <c r="BF250">
        <f t="shared" si="152"/>
        <v>2965.25</v>
      </c>
      <c r="BG250">
        <f t="shared" si="153"/>
        <v>4.2270135424091235E-2</v>
      </c>
    </row>
    <row r="251" spans="1:59">
      <c r="A251" s="1" t="s">
        <v>252</v>
      </c>
      <c r="B251" s="1">
        <v>70230</v>
      </c>
      <c r="Q251">
        <v>248</v>
      </c>
      <c r="R251" s="27" t="str">
        <f t="shared" si="130"/>
        <v>05/05/2024</v>
      </c>
      <c r="S251" s="27">
        <f t="shared" si="130"/>
        <v>70250</v>
      </c>
      <c r="T251" s="4" t="str">
        <f t="shared" si="131"/>
        <v>A5</v>
      </c>
      <c r="V251">
        <v>248</v>
      </c>
      <c r="W251" s="28" t="str">
        <f t="shared" si="128"/>
        <v>05/05/2024</v>
      </c>
      <c r="X251" s="28">
        <f t="shared" si="128"/>
        <v>70250</v>
      </c>
      <c r="Y251" s="28" t="str">
        <f t="shared" si="128"/>
        <v>A5</v>
      </c>
      <c r="Z251" s="5" t="str">
        <f t="shared" si="134"/>
        <v>A5</v>
      </c>
      <c r="AA251" s="5" t="str">
        <f t="shared" si="132"/>
        <v>A5</v>
      </c>
      <c r="AG251" s="49" t="str">
        <f t="shared" si="127"/>
        <v>05/05/2024</v>
      </c>
      <c r="AH251" s="46">
        <f t="shared" si="127"/>
        <v>70250</v>
      </c>
      <c r="AI251" s="49" t="str">
        <f t="shared" si="127"/>
        <v>A5</v>
      </c>
      <c r="AJ251" s="49" t="str">
        <f t="shared" si="135"/>
        <v>A5</v>
      </c>
      <c r="AK251" s="50">
        <f t="shared" si="157"/>
        <v>67829.5</v>
      </c>
      <c r="AL251" s="49" t="str">
        <f t="shared" si="148"/>
        <v>A5</v>
      </c>
      <c r="AM251" s="50">
        <f t="shared" si="136"/>
        <v>67829.5</v>
      </c>
      <c r="AN251" s="56">
        <f t="shared" si="149"/>
        <v>3120</v>
      </c>
      <c r="AO251" s="57">
        <f t="shared" si="150"/>
        <v>71810</v>
      </c>
      <c r="AP251" s="23">
        <f t="shared" si="137"/>
        <v>68690</v>
      </c>
      <c r="AQ251" s="23">
        <f t="shared" si="138"/>
        <v>73370</v>
      </c>
      <c r="AR251" s="23">
        <f t="shared" si="139"/>
        <v>67130</v>
      </c>
      <c r="AS251" s="23">
        <f t="shared" si="140"/>
        <v>71030</v>
      </c>
      <c r="AT251" s="23">
        <f t="shared" si="141"/>
        <v>69470</v>
      </c>
      <c r="AU251" s="23">
        <f t="shared" si="142"/>
        <v>76490</v>
      </c>
      <c r="AV251" s="23">
        <f t="shared" si="143"/>
        <v>64010</v>
      </c>
      <c r="AW251" s="23">
        <f t="shared" si="144"/>
        <v>70770</v>
      </c>
      <c r="AX251" s="23">
        <f t="shared" si="145"/>
        <v>69730</v>
      </c>
      <c r="AY251" s="23">
        <f t="shared" si="146"/>
        <v>79610</v>
      </c>
      <c r="AZ251" s="23">
        <f t="shared" si="147"/>
        <v>60890</v>
      </c>
      <c r="BA251" s="23">
        <f t="shared" ref="BA251:BA266" si="158">(AO250+AM250)/(1+1)</f>
        <v>69474.75</v>
      </c>
      <c r="BB251" s="43"/>
      <c r="BC251" s="51">
        <f t="shared" si="129"/>
        <v>70250</v>
      </c>
      <c r="BD251" s="52">
        <f t="shared" si="133"/>
        <v>69474.75</v>
      </c>
      <c r="BE251" s="37">
        <f t="shared" si="151"/>
        <v>775.25</v>
      </c>
      <c r="BF251">
        <f t="shared" si="152"/>
        <v>775.25</v>
      </c>
      <c r="BG251">
        <f t="shared" si="153"/>
        <v>1.1035587188612099E-2</v>
      </c>
    </row>
    <row r="252" spans="1:59">
      <c r="A252" s="1" t="s">
        <v>253</v>
      </c>
      <c r="B252" s="1">
        <v>70080</v>
      </c>
      <c r="Q252">
        <v>249</v>
      </c>
      <c r="R252" s="27" t="str">
        <f t="shared" si="130"/>
        <v>06/05/2024</v>
      </c>
      <c r="S252" s="27">
        <f t="shared" si="130"/>
        <v>70200</v>
      </c>
      <c r="T252" s="4" t="str">
        <f t="shared" si="131"/>
        <v>A5</v>
      </c>
      <c r="V252">
        <v>249</v>
      </c>
      <c r="W252" s="28" t="str">
        <f t="shared" si="128"/>
        <v>06/05/2024</v>
      </c>
      <c r="X252" s="28">
        <f t="shared" si="128"/>
        <v>70200</v>
      </c>
      <c r="Y252" s="28" t="str">
        <f t="shared" si="128"/>
        <v>A5</v>
      </c>
      <c r="Z252" s="5" t="str">
        <f t="shared" si="134"/>
        <v>A5</v>
      </c>
      <c r="AA252" s="5" t="str">
        <f t="shared" si="132"/>
        <v>A5</v>
      </c>
      <c r="AG252" s="49" t="str">
        <f t="shared" si="127"/>
        <v>06/05/2024</v>
      </c>
      <c r="AH252" s="46">
        <f t="shared" si="127"/>
        <v>70200</v>
      </c>
      <c r="AI252" s="49" t="str">
        <f t="shared" si="127"/>
        <v>A5</v>
      </c>
      <c r="AJ252" s="49" t="str">
        <f t="shared" si="135"/>
        <v>A5</v>
      </c>
      <c r="AK252" s="50">
        <f t="shared" si="157"/>
        <v>67829.5</v>
      </c>
      <c r="AL252" s="49" t="str">
        <f t="shared" si="148"/>
        <v>A5</v>
      </c>
      <c r="AM252" s="50">
        <f t="shared" si="136"/>
        <v>67829.5</v>
      </c>
      <c r="AN252" s="56">
        <f t="shared" si="149"/>
        <v>50</v>
      </c>
      <c r="AO252" s="57">
        <f t="shared" si="150"/>
        <v>70225</v>
      </c>
      <c r="AP252" s="23">
        <f t="shared" si="137"/>
        <v>70175</v>
      </c>
      <c r="AQ252" s="23">
        <f t="shared" si="138"/>
        <v>70250</v>
      </c>
      <c r="AR252" s="23">
        <f t="shared" si="139"/>
        <v>70150</v>
      </c>
      <c r="AS252" s="23">
        <f t="shared" si="140"/>
        <v>70212.5</v>
      </c>
      <c r="AT252" s="23">
        <f t="shared" si="141"/>
        <v>70187.5</v>
      </c>
      <c r="AU252" s="23">
        <f t="shared" si="142"/>
        <v>70300</v>
      </c>
      <c r="AV252" s="23">
        <f t="shared" si="143"/>
        <v>70100</v>
      </c>
      <c r="AW252" s="23">
        <f t="shared" si="144"/>
        <v>70208.333333333328</v>
      </c>
      <c r="AX252" s="23">
        <f t="shared" si="145"/>
        <v>70191.666666666672</v>
      </c>
      <c r="AY252" s="23">
        <f t="shared" si="146"/>
        <v>70350</v>
      </c>
      <c r="AZ252" s="23">
        <f t="shared" si="147"/>
        <v>70050</v>
      </c>
      <c r="BA252" s="23">
        <f t="shared" si="158"/>
        <v>69819.75</v>
      </c>
      <c r="BB252" s="43"/>
      <c r="BC252" s="51">
        <f t="shared" si="129"/>
        <v>70200</v>
      </c>
      <c r="BD252" s="52">
        <f t="shared" si="133"/>
        <v>69819.75</v>
      </c>
      <c r="BE252" s="37">
        <f t="shared" si="151"/>
        <v>380.25</v>
      </c>
      <c r="BF252">
        <f t="shared" si="152"/>
        <v>380.25</v>
      </c>
      <c r="BG252">
        <f t="shared" si="153"/>
        <v>5.4166666666666669E-3</v>
      </c>
    </row>
    <row r="253" spans="1:59">
      <c r="A253" s="1" t="s">
        <v>254</v>
      </c>
      <c r="B253" s="1">
        <v>69470</v>
      </c>
      <c r="Q253">
        <v>250</v>
      </c>
      <c r="R253" s="27" t="str">
        <f t="shared" si="130"/>
        <v>07/05/2024</v>
      </c>
      <c r="S253" s="27">
        <f t="shared" si="130"/>
        <v>70230</v>
      </c>
      <c r="T253" s="4" t="str">
        <f t="shared" si="131"/>
        <v>A5</v>
      </c>
      <c r="V253">
        <v>250</v>
      </c>
      <c r="W253" s="28" t="str">
        <f t="shared" si="128"/>
        <v>07/05/2024</v>
      </c>
      <c r="X253" s="28">
        <f t="shared" si="128"/>
        <v>70230</v>
      </c>
      <c r="Y253" s="28" t="str">
        <f t="shared" si="128"/>
        <v>A5</v>
      </c>
      <c r="Z253" s="5" t="str">
        <f t="shared" si="134"/>
        <v>A5</v>
      </c>
      <c r="AA253" s="5" t="str">
        <f t="shared" si="132"/>
        <v>A5</v>
      </c>
      <c r="AG253" s="49" t="str">
        <f t="shared" si="127"/>
        <v>07/05/2024</v>
      </c>
      <c r="AH253" s="46">
        <f t="shared" si="127"/>
        <v>70230</v>
      </c>
      <c r="AI253" s="49" t="str">
        <f t="shared" si="127"/>
        <v>A5</v>
      </c>
      <c r="AJ253" s="49" t="str">
        <f t="shared" si="135"/>
        <v>A5</v>
      </c>
      <c r="AK253" s="50">
        <f t="shared" si="157"/>
        <v>67829.5</v>
      </c>
      <c r="AL253" s="49" t="str">
        <f t="shared" si="148"/>
        <v>A5</v>
      </c>
      <c r="AM253" s="50">
        <f t="shared" si="136"/>
        <v>67829.5</v>
      </c>
      <c r="AN253" s="56">
        <f t="shared" si="149"/>
        <v>20</v>
      </c>
      <c r="AO253" s="57">
        <f t="shared" si="150"/>
        <v>70240</v>
      </c>
      <c r="AP253" s="23">
        <f t="shared" si="137"/>
        <v>70220</v>
      </c>
      <c r="AQ253" s="23">
        <f t="shared" si="138"/>
        <v>70250</v>
      </c>
      <c r="AR253" s="23">
        <f t="shared" si="139"/>
        <v>70210</v>
      </c>
      <c r="AS253" s="23">
        <f t="shared" si="140"/>
        <v>70235</v>
      </c>
      <c r="AT253" s="23">
        <f t="shared" si="141"/>
        <v>70225</v>
      </c>
      <c r="AU253" s="23">
        <f t="shared" si="142"/>
        <v>70270</v>
      </c>
      <c r="AV253" s="23">
        <f t="shared" si="143"/>
        <v>70190</v>
      </c>
      <c r="AW253" s="23">
        <f t="shared" si="144"/>
        <v>70233.333333333328</v>
      </c>
      <c r="AX253" s="23">
        <f t="shared" si="145"/>
        <v>70226.666666666672</v>
      </c>
      <c r="AY253" s="23">
        <f t="shared" si="146"/>
        <v>70290</v>
      </c>
      <c r="AZ253" s="23">
        <f t="shared" si="147"/>
        <v>70170</v>
      </c>
      <c r="BA253" s="23">
        <f t="shared" si="158"/>
        <v>69027.25</v>
      </c>
      <c r="BB253" s="43"/>
      <c r="BC253" s="51">
        <f t="shared" si="129"/>
        <v>70230</v>
      </c>
      <c r="BD253" s="52">
        <f t="shared" si="133"/>
        <v>69027.25</v>
      </c>
      <c r="BE253" s="37">
        <f t="shared" si="151"/>
        <v>1202.75</v>
      </c>
      <c r="BF253">
        <f t="shared" si="152"/>
        <v>1202.75</v>
      </c>
      <c r="BG253">
        <f t="shared" si="153"/>
        <v>1.7125872134415493E-2</v>
      </c>
    </row>
    <row r="254" spans="1:59">
      <c r="A254" s="1" t="s">
        <v>255</v>
      </c>
      <c r="B254" s="1">
        <v>68930</v>
      </c>
      <c r="Q254">
        <v>251</v>
      </c>
      <c r="R254" s="27" t="str">
        <f t="shared" si="130"/>
        <v>08/05/2024</v>
      </c>
      <c r="S254" s="27">
        <f t="shared" si="130"/>
        <v>70080</v>
      </c>
      <c r="T254" s="4" t="str">
        <f t="shared" si="131"/>
        <v>A5</v>
      </c>
      <c r="V254">
        <v>251</v>
      </c>
      <c r="W254" s="28" t="str">
        <f t="shared" si="128"/>
        <v>08/05/2024</v>
      </c>
      <c r="X254" s="28">
        <f t="shared" si="128"/>
        <v>70080</v>
      </c>
      <c r="Y254" s="28" t="str">
        <f t="shared" si="128"/>
        <v>A5</v>
      </c>
      <c r="Z254" s="5" t="str">
        <f t="shared" si="134"/>
        <v>A5</v>
      </c>
      <c r="AA254" s="5" t="str">
        <f t="shared" si="132"/>
        <v>A5</v>
      </c>
      <c r="AG254" s="49" t="str">
        <f t="shared" si="127"/>
        <v>08/05/2024</v>
      </c>
      <c r="AH254" s="46">
        <f t="shared" si="127"/>
        <v>70080</v>
      </c>
      <c r="AI254" s="49" t="str">
        <f t="shared" si="127"/>
        <v>A5</v>
      </c>
      <c r="AJ254" s="49" t="str">
        <f t="shared" si="135"/>
        <v>A5</v>
      </c>
      <c r="AK254" s="50">
        <f t="shared" si="157"/>
        <v>67829.5</v>
      </c>
      <c r="AL254" s="49" t="str">
        <f t="shared" si="148"/>
        <v>A5</v>
      </c>
      <c r="AM254" s="50">
        <f t="shared" si="136"/>
        <v>67829.5</v>
      </c>
      <c r="AN254" s="56">
        <f t="shared" si="149"/>
        <v>120</v>
      </c>
      <c r="AO254" s="57">
        <f t="shared" si="150"/>
        <v>70140</v>
      </c>
      <c r="AP254" s="23">
        <f t="shared" si="137"/>
        <v>70020</v>
      </c>
      <c r="AQ254" s="23">
        <f t="shared" si="138"/>
        <v>70200</v>
      </c>
      <c r="AR254" s="23">
        <f t="shared" si="139"/>
        <v>69960</v>
      </c>
      <c r="AS254" s="23">
        <f t="shared" si="140"/>
        <v>70110</v>
      </c>
      <c r="AT254" s="23">
        <f t="shared" si="141"/>
        <v>70050</v>
      </c>
      <c r="AU254" s="23">
        <f t="shared" si="142"/>
        <v>70320</v>
      </c>
      <c r="AV254" s="23">
        <f t="shared" si="143"/>
        <v>69840</v>
      </c>
      <c r="AW254" s="23">
        <f t="shared" si="144"/>
        <v>70100</v>
      </c>
      <c r="AX254" s="23">
        <f t="shared" si="145"/>
        <v>70060</v>
      </c>
      <c r="AY254" s="23">
        <f t="shared" si="146"/>
        <v>70440</v>
      </c>
      <c r="AZ254" s="23">
        <f t="shared" si="147"/>
        <v>69720</v>
      </c>
      <c r="BA254" s="23">
        <f t="shared" si="158"/>
        <v>69034.75</v>
      </c>
      <c r="BB254" s="43"/>
      <c r="BC254" s="51">
        <f t="shared" si="129"/>
        <v>70080</v>
      </c>
      <c r="BD254" s="52">
        <f t="shared" si="133"/>
        <v>69034.75</v>
      </c>
      <c r="BE254" s="37">
        <f t="shared" si="151"/>
        <v>1045.25</v>
      </c>
      <c r="BF254">
        <f t="shared" si="152"/>
        <v>1045.25</v>
      </c>
      <c r="BG254">
        <f t="shared" si="153"/>
        <v>1.491509703196347E-2</v>
      </c>
    </row>
    <row r="255" spans="1:59">
      <c r="A255" s="1" t="s">
        <v>256</v>
      </c>
      <c r="B255" s="1">
        <v>69110</v>
      </c>
      <c r="Q255">
        <v>252</v>
      </c>
      <c r="R255" s="27" t="str">
        <f t="shared" si="130"/>
        <v>09/05/2024</v>
      </c>
      <c r="S255" s="27">
        <f t="shared" si="130"/>
        <v>69470</v>
      </c>
      <c r="T255" s="4" t="str">
        <f t="shared" si="131"/>
        <v>A5</v>
      </c>
      <c r="V255">
        <v>252</v>
      </c>
      <c r="W255" s="28" t="str">
        <f t="shared" si="128"/>
        <v>09/05/2024</v>
      </c>
      <c r="X255" s="28">
        <f t="shared" si="128"/>
        <v>69470</v>
      </c>
      <c r="Y255" s="28" t="str">
        <f t="shared" si="128"/>
        <v>A5</v>
      </c>
      <c r="Z255" s="5" t="str">
        <f t="shared" si="134"/>
        <v>A5</v>
      </c>
      <c r="AA255" s="5" t="str">
        <f t="shared" si="132"/>
        <v>A5</v>
      </c>
      <c r="AG255" s="49" t="str">
        <f t="shared" si="127"/>
        <v>09/05/2024</v>
      </c>
      <c r="AH255" s="46">
        <f t="shared" si="127"/>
        <v>69470</v>
      </c>
      <c r="AI255" s="49" t="str">
        <f t="shared" si="127"/>
        <v>A5</v>
      </c>
      <c r="AJ255" s="49" t="str">
        <f t="shared" si="135"/>
        <v>A5</v>
      </c>
      <c r="AK255" s="50">
        <f t="shared" si="157"/>
        <v>67829.5</v>
      </c>
      <c r="AL255" s="49" t="str">
        <f t="shared" si="148"/>
        <v>A5</v>
      </c>
      <c r="AM255" s="50">
        <f t="shared" si="136"/>
        <v>67829.5</v>
      </c>
      <c r="AN255" s="56">
        <f t="shared" si="149"/>
        <v>460</v>
      </c>
      <c r="AO255" s="57">
        <f t="shared" si="150"/>
        <v>69700</v>
      </c>
      <c r="AP255" s="23">
        <f t="shared" si="137"/>
        <v>69240</v>
      </c>
      <c r="AQ255" s="23">
        <f t="shared" si="138"/>
        <v>69930</v>
      </c>
      <c r="AR255" s="23">
        <f t="shared" si="139"/>
        <v>69010</v>
      </c>
      <c r="AS255" s="23">
        <f t="shared" si="140"/>
        <v>69585</v>
      </c>
      <c r="AT255" s="23">
        <f t="shared" si="141"/>
        <v>69355</v>
      </c>
      <c r="AU255" s="23">
        <f t="shared" si="142"/>
        <v>70390</v>
      </c>
      <c r="AV255" s="23">
        <f t="shared" si="143"/>
        <v>68550</v>
      </c>
      <c r="AW255" s="23">
        <f t="shared" si="144"/>
        <v>69546.666666666672</v>
      </c>
      <c r="AX255" s="23">
        <f t="shared" si="145"/>
        <v>69393.333333333328</v>
      </c>
      <c r="AY255" s="23">
        <f t="shared" si="146"/>
        <v>70850</v>
      </c>
      <c r="AZ255" s="23">
        <f t="shared" si="147"/>
        <v>68090</v>
      </c>
      <c r="BA255" s="23">
        <f t="shared" si="158"/>
        <v>68984.75</v>
      </c>
      <c r="BB255" s="43"/>
      <c r="BC255" s="51">
        <f t="shared" si="129"/>
        <v>69470</v>
      </c>
      <c r="BD255" s="52">
        <f t="shared" si="133"/>
        <v>68984.75</v>
      </c>
      <c r="BE255" s="37">
        <f t="shared" si="151"/>
        <v>485.25</v>
      </c>
      <c r="BF255">
        <f t="shared" si="152"/>
        <v>485.25</v>
      </c>
      <c r="BG255">
        <f t="shared" si="153"/>
        <v>6.9850295091406361E-3</v>
      </c>
    </row>
    <row r="256" spans="1:59">
      <c r="A256" s="1" t="s">
        <v>257</v>
      </c>
      <c r="B256" s="1">
        <v>69630</v>
      </c>
      <c r="Q256">
        <v>253</v>
      </c>
      <c r="R256" s="27" t="str">
        <f t="shared" si="130"/>
        <v>10/05/2024</v>
      </c>
      <c r="S256" s="27">
        <f t="shared" si="130"/>
        <v>68930</v>
      </c>
      <c r="T256" s="4" t="str">
        <f t="shared" si="131"/>
        <v>A5</v>
      </c>
      <c r="V256">
        <v>253</v>
      </c>
      <c r="W256" s="28" t="str">
        <f t="shared" si="128"/>
        <v>10/05/2024</v>
      </c>
      <c r="X256" s="28">
        <f t="shared" si="128"/>
        <v>68930</v>
      </c>
      <c r="Y256" s="28" t="str">
        <f t="shared" si="128"/>
        <v>A5</v>
      </c>
      <c r="Z256" s="5" t="str">
        <f t="shared" si="134"/>
        <v>A5</v>
      </c>
      <c r="AA256" s="5" t="str">
        <f t="shared" si="132"/>
        <v>A5</v>
      </c>
      <c r="AG256" s="49" t="str">
        <f t="shared" ref="AG256:AI319" si="159">W256</f>
        <v>10/05/2024</v>
      </c>
      <c r="AH256" s="46">
        <f t="shared" si="159"/>
        <v>68930</v>
      </c>
      <c r="AI256" s="49" t="str">
        <f t="shared" si="159"/>
        <v>A5</v>
      </c>
      <c r="AJ256" s="49" t="str">
        <f t="shared" si="135"/>
        <v>A5</v>
      </c>
      <c r="AK256" s="50">
        <f t="shared" si="157"/>
        <v>67829.5</v>
      </c>
      <c r="AL256" s="49" t="str">
        <f t="shared" si="148"/>
        <v>A5</v>
      </c>
      <c r="AM256" s="50">
        <f t="shared" si="136"/>
        <v>67829.5</v>
      </c>
      <c r="AN256" s="56">
        <f t="shared" si="149"/>
        <v>70</v>
      </c>
      <c r="AO256" s="57">
        <f t="shared" si="150"/>
        <v>68965</v>
      </c>
      <c r="AP256" s="23">
        <f t="shared" si="137"/>
        <v>68895</v>
      </c>
      <c r="AQ256" s="23">
        <f t="shared" si="138"/>
        <v>69000</v>
      </c>
      <c r="AR256" s="23">
        <f t="shared" si="139"/>
        <v>68860</v>
      </c>
      <c r="AS256" s="23">
        <f t="shared" si="140"/>
        <v>68947.5</v>
      </c>
      <c r="AT256" s="23">
        <f t="shared" si="141"/>
        <v>68912.5</v>
      </c>
      <c r="AU256" s="23">
        <f t="shared" si="142"/>
        <v>69070</v>
      </c>
      <c r="AV256" s="23">
        <f t="shared" si="143"/>
        <v>68790</v>
      </c>
      <c r="AW256" s="23">
        <f t="shared" si="144"/>
        <v>68941.666666666672</v>
      </c>
      <c r="AX256" s="23">
        <f t="shared" si="145"/>
        <v>68918.333333333328</v>
      </c>
      <c r="AY256" s="23">
        <f t="shared" si="146"/>
        <v>69140</v>
      </c>
      <c r="AZ256" s="23">
        <f t="shared" si="147"/>
        <v>68720</v>
      </c>
      <c r="BA256" s="23">
        <f t="shared" si="158"/>
        <v>68764.75</v>
      </c>
      <c r="BB256" s="43"/>
      <c r="BC256" s="51">
        <f t="shared" si="129"/>
        <v>68930</v>
      </c>
      <c r="BD256" s="52">
        <f t="shared" si="133"/>
        <v>68764.75</v>
      </c>
      <c r="BE256" s="37">
        <f t="shared" si="151"/>
        <v>165.25</v>
      </c>
      <c r="BF256">
        <f t="shared" si="152"/>
        <v>165.25</v>
      </c>
      <c r="BG256">
        <f t="shared" si="153"/>
        <v>2.3973596402147106E-3</v>
      </c>
    </row>
    <row r="257" spans="1:59">
      <c r="A257" s="1" t="s">
        <v>258</v>
      </c>
      <c r="B257" s="1">
        <v>69980</v>
      </c>
      <c r="Q257">
        <v>254</v>
      </c>
      <c r="R257" s="27" t="str">
        <f t="shared" si="130"/>
        <v>11/05/2024</v>
      </c>
      <c r="S257" s="27">
        <f t="shared" si="130"/>
        <v>69110</v>
      </c>
      <c r="T257" s="4" t="str">
        <f t="shared" si="131"/>
        <v>A5</v>
      </c>
      <c r="V257">
        <v>254</v>
      </c>
      <c r="W257" s="28" t="str">
        <f t="shared" si="128"/>
        <v>11/05/2024</v>
      </c>
      <c r="X257" s="28">
        <f t="shared" si="128"/>
        <v>69110</v>
      </c>
      <c r="Y257" s="28" t="str">
        <f t="shared" si="128"/>
        <v>A5</v>
      </c>
      <c r="Z257" s="5" t="str">
        <f t="shared" si="134"/>
        <v>A5</v>
      </c>
      <c r="AA257" s="5" t="str">
        <f t="shared" si="132"/>
        <v>A5</v>
      </c>
      <c r="AG257" s="49" t="str">
        <f t="shared" si="159"/>
        <v>11/05/2024</v>
      </c>
      <c r="AH257" s="46">
        <f t="shared" si="159"/>
        <v>69110</v>
      </c>
      <c r="AI257" s="49" t="str">
        <f t="shared" si="159"/>
        <v>A5</v>
      </c>
      <c r="AJ257" s="49" t="str">
        <f t="shared" si="135"/>
        <v>A5</v>
      </c>
      <c r="AK257" s="50">
        <f t="shared" si="157"/>
        <v>67829.5</v>
      </c>
      <c r="AL257" s="49" t="str">
        <f t="shared" si="148"/>
        <v>A5</v>
      </c>
      <c r="AM257" s="50">
        <f t="shared" si="136"/>
        <v>67829.5</v>
      </c>
      <c r="AN257" s="56">
        <f t="shared" si="149"/>
        <v>360</v>
      </c>
      <c r="AO257" s="57">
        <f t="shared" si="150"/>
        <v>69290</v>
      </c>
      <c r="AP257" s="23">
        <f t="shared" si="137"/>
        <v>68930</v>
      </c>
      <c r="AQ257" s="23">
        <f t="shared" si="138"/>
        <v>69470</v>
      </c>
      <c r="AR257" s="23">
        <f t="shared" si="139"/>
        <v>68750</v>
      </c>
      <c r="AS257" s="23">
        <f t="shared" si="140"/>
        <v>69200</v>
      </c>
      <c r="AT257" s="23">
        <f t="shared" si="141"/>
        <v>69020</v>
      </c>
      <c r="AU257" s="23">
        <f t="shared" si="142"/>
        <v>69830</v>
      </c>
      <c r="AV257" s="23">
        <f t="shared" si="143"/>
        <v>68390</v>
      </c>
      <c r="AW257" s="23">
        <f t="shared" si="144"/>
        <v>69170</v>
      </c>
      <c r="AX257" s="23">
        <f t="shared" si="145"/>
        <v>69050</v>
      </c>
      <c r="AY257" s="23">
        <f t="shared" si="146"/>
        <v>70190</v>
      </c>
      <c r="AZ257" s="23">
        <f t="shared" si="147"/>
        <v>68030</v>
      </c>
      <c r="BA257" s="23">
        <f t="shared" si="158"/>
        <v>68397.25</v>
      </c>
      <c r="BB257" s="43"/>
      <c r="BC257" s="51">
        <f t="shared" si="129"/>
        <v>69110</v>
      </c>
      <c r="BD257" s="52">
        <f t="shared" si="133"/>
        <v>68397.25</v>
      </c>
      <c r="BE257" s="37">
        <f t="shared" si="151"/>
        <v>712.75</v>
      </c>
      <c r="BF257">
        <f t="shared" si="152"/>
        <v>712.75</v>
      </c>
      <c r="BG257">
        <f t="shared" si="153"/>
        <v>1.0313268702069165E-2</v>
      </c>
    </row>
    <row r="258" spans="1:59">
      <c r="A258" s="1" t="s">
        <v>259</v>
      </c>
      <c r="B258" s="1">
        <v>71620</v>
      </c>
      <c r="Q258">
        <v>255</v>
      </c>
      <c r="R258" s="27" t="str">
        <f t="shared" si="130"/>
        <v>12/05/2024</v>
      </c>
      <c r="S258" s="27">
        <f t="shared" si="130"/>
        <v>69630</v>
      </c>
      <c r="T258" s="4" t="str">
        <f t="shared" si="131"/>
        <v>A5</v>
      </c>
      <c r="V258">
        <v>255</v>
      </c>
      <c r="W258" s="28" t="str">
        <f t="shared" si="128"/>
        <v>12/05/2024</v>
      </c>
      <c r="X258" s="28">
        <f t="shared" si="128"/>
        <v>69630</v>
      </c>
      <c r="Y258" s="28" t="str">
        <f t="shared" si="128"/>
        <v>A5</v>
      </c>
      <c r="Z258" s="5" t="str">
        <f t="shared" si="134"/>
        <v>A5</v>
      </c>
      <c r="AA258" s="5" t="str">
        <f t="shared" si="132"/>
        <v>A5</v>
      </c>
      <c r="AG258" s="49" t="str">
        <f t="shared" si="159"/>
        <v>12/05/2024</v>
      </c>
      <c r="AH258" s="46">
        <f t="shared" si="159"/>
        <v>69630</v>
      </c>
      <c r="AI258" s="49" t="str">
        <f t="shared" si="159"/>
        <v>A5</v>
      </c>
      <c r="AJ258" s="49" t="str">
        <f t="shared" si="135"/>
        <v>A5</v>
      </c>
      <c r="AK258" s="50">
        <f t="shared" si="157"/>
        <v>67829.5</v>
      </c>
      <c r="AL258" s="49" t="str">
        <f t="shared" si="148"/>
        <v>A5</v>
      </c>
      <c r="AM258" s="50">
        <f t="shared" si="136"/>
        <v>67829.5</v>
      </c>
      <c r="AN258" s="56">
        <f t="shared" si="149"/>
        <v>340</v>
      </c>
      <c r="AO258" s="57">
        <f t="shared" si="150"/>
        <v>69800</v>
      </c>
      <c r="AP258" s="23">
        <f t="shared" si="137"/>
        <v>69460</v>
      </c>
      <c r="AQ258" s="23">
        <f t="shared" si="138"/>
        <v>69970</v>
      </c>
      <c r="AR258" s="23">
        <f t="shared" si="139"/>
        <v>69290</v>
      </c>
      <c r="AS258" s="23">
        <f t="shared" si="140"/>
        <v>69715</v>
      </c>
      <c r="AT258" s="23">
        <f t="shared" si="141"/>
        <v>69545</v>
      </c>
      <c r="AU258" s="23">
        <f t="shared" si="142"/>
        <v>70310</v>
      </c>
      <c r="AV258" s="23">
        <f t="shared" si="143"/>
        <v>68950</v>
      </c>
      <c r="AW258" s="23">
        <f t="shared" si="144"/>
        <v>69686.666666666672</v>
      </c>
      <c r="AX258" s="23">
        <f t="shared" si="145"/>
        <v>69573.333333333328</v>
      </c>
      <c r="AY258" s="23">
        <f t="shared" si="146"/>
        <v>70650</v>
      </c>
      <c r="AZ258" s="23">
        <f t="shared" si="147"/>
        <v>68610</v>
      </c>
      <c r="BA258" s="23">
        <f t="shared" si="158"/>
        <v>68559.75</v>
      </c>
      <c r="BB258" s="43"/>
      <c r="BC258" s="51">
        <f t="shared" si="129"/>
        <v>69630</v>
      </c>
      <c r="BD258" s="52">
        <f t="shared" si="133"/>
        <v>68559.75</v>
      </c>
      <c r="BE258" s="37">
        <f t="shared" si="151"/>
        <v>1070.25</v>
      </c>
      <c r="BF258">
        <f t="shared" si="152"/>
        <v>1070.25</v>
      </c>
      <c r="BG258">
        <f t="shared" si="153"/>
        <v>1.537052994398966E-2</v>
      </c>
    </row>
    <row r="259" spans="1:59">
      <c r="A259" s="1" t="s">
        <v>260</v>
      </c>
      <c r="B259" s="1">
        <v>69370</v>
      </c>
      <c r="Q259">
        <v>256</v>
      </c>
      <c r="R259" s="27" t="str">
        <f t="shared" si="130"/>
        <v>13/05/2024</v>
      </c>
      <c r="S259" s="27">
        <f t="shared" si="130"/>
        <v>69980</v>
      </c>
      <c r="T259" s="4" t="str">
        <f t="shared" si="131"/>
        <v>A5</v>
      </c>
      <c r="V259">
        <v>256</v>
      </c>
      <c r="W259" s="28" t="str">
        <f t="shared" si="128"/>
        <v>13/05/2024</v>
      </c>
      <c r="X259" s="28">
        <f t="shared" si="128"/>
        <v>69980</v>
      </c>
      <c r="Y259" s="28" t="str">
        <f t="shared" si="128"/>
        <v>A5</v>
      </c>
      <c r="Z259" s="5" t="str">
        <f t="shared" si="134"/>
        <v>A5</v>
      </c>
      <c r="AA259" s="5" t="str">
        <f t="shared" si="132"/>
        <v>A5</v>
      </c>
      <c r="AG259" s="49" t="str">
        <f t="shared" si="159"/>
        <v>13/05/2024</v>
      </c>
      <c r="AH259" s="46">
        <f t="shared" si="159"/>
        <v>69980</v>
      </c>
      <c r="AI259" s="49" t="str">
        <f t="shared" si="159"/>
        <v>A5</v>
      </c>
      <c r="AJ259" s="49" t="str">
        <f t="shared" si="135"/>
        <v>A5</v>
      </c>
      <c r="AK259" s="50">
        <f t="shared" si="157"/>
        <v>67829.5</v>
      </c>
      <c r="AL259" s="49" t="str">
        <f t="shared" si="148"/>
        <v>A5</v>
      </c>
      <c r="AM259" s="50">
        <f t="shared" si="136"/>
        <v>67829.5</v>
      </c>
      <c r="AN259" s="56">
        <f t="shared" si="149"/>
        <v>170</v>
      </c>
      <c r="AO259" s="57">
        <f t="shared" si="150"/>
        <v>70065</v>
      </c>
      <c r="AP259" s="23">
        <f t="shared" si="137"/>
        <v>69895</v>
      </c>
      <c r="AQ259" s="23">
        <f t="shared" si="138"/>
        <v>70150</v>
      </c>
      <c r="AR259" s="23">
        <f t="shared" si="139"/>
        <v>69810</v>
      </c>
      <c r="AS259" s="23">
        <f t="shared" si="140"/>
        <v>70022.5</v>
      </c>
      <c r="AT259" s="23">
        <f t="shared" si="141"/>
        <v>69937.5</v>
      </c>
      <c r="AU259" s="23">
        <f t="shared" si="142"/>
        <v>70320</v>
      </c>
      <c r="AV259" s="23">
        <f t="shared" si="143"/>
        <v>69640</v>
      </c>
      <c r="AW259" s="23">
        <f t="shared" si="144"/>
        <v>70008.333333333328</v>
      </c>
      <c r="AX259" s="23">
        <f t="shared" si="145"/>
        <v>69951.666666666672</v>
      </c>
      <c r="AY259" s="23">
        <f t="shared" si="146"/>
        <v>70490</v>
      </c>
      <c r="AZ259" s="23">
        <f t="shared" si="147"/>
        <v>69470</v>
      </c>
      <c r="BA259" s="23">
        <f t="shared" si="158"/>
        <v>68814.75</v>
      </c>
      <c r="BB259" s="43"/>
      <c r="BC259" s="51">
        <f t="shared" si="129"/>
        <v>69980</v>
      </c>
      <c r="BD259" s="52">
        <f t="shared" si="133"/>
        <v>68814.75</v>
      </c>
      <c r="BE259" s="37">
        <f t="shared" si="151"/>
        <v>1165.25</v>
      </c>
      <c r="BF259">
        <f t="shared" si="152"/>
        <v>1165.25</v>
      </c>
      <c r="BG259">
        <f t="shared" si="153"/>
        <v>1.6651186053158046E-2</v>
      </c>
    </row>
    <row r="260" spans="1:59">
      <c r="A260" s="1" t="s">
        <v>261</v>
      </c>
      <c r="B260" s="1">
        <v>69580</v>
      </c>
      <c r="Q260">
        <v>257</v>
      </c>
      <c r="R260" s="27" t="str">
        <f t="shared" si="130"/>
        <v>14/05/2024</v>
      </c>
      <c r="S260" s="27">
        <f t="shared" si="130"/>
        <v>71620</v>
      </c>
      <c r="T260" s="4" t="str">
        <f t="shared" si="131"/>
        <v>A6</v>
      </c>
      <c r="V260">
        <v>257</v>
      </c>
      <c r="W260" s="28" t="str">
        <f t="shared" ref="W260:Y323" si="160">R260</f>
        <v>14/05/2024</v>
      </c>
      <c r="X260" s="28">
        <f t="shared" si="160"/>
        <v>71620</v>
      </c>
      <c r="Y260" s="28" t="str">
        <f t="shared" si="160"/>
        <v>A6</v>
      </c>
      <c r="Z260" s="5" t="str">
        <f t="shared" si="134"/>
        <v>A5</v>
      </c>
      <c r="AA260" s="5" t="str">
        <f t="shared" si="132"/>
        <v>A6</v>
      </c>
      <c r="AG260" s="49" t="str">
        <f t="shared" si="159"/>
        <v>14/05/2024</v>
      </c>
      <c r="AH260" s="46">
        <f t="shared" si="159"/>
        <v>71620</v>
      </c>
      <c r="AI260" s="49" t="str">
        <f t="shared" si="159"/>
        <v>A6</v>
      </c>
      <c r="AJ260" s="49" t="str">
        <f t="shared" si="135"/>
        <v>A5</v>
      </c>
      <c r="AK260" s="50">
        <f t="shared" si="157"/>
        <v>67829.5</v>
      </c>
      <c r="AL260" s="49" t="str">
        <f t="shared" si="148"/>
        <v>A6</v>
      </c>
      <c r="AM260" s="50">
        <f t="shared" si="136"/>
        <v>73860.5</v>
      </c>
      <c r="AN260" s="56">
        <f t="shared" si="149"/>
        <v>1290</v>
      </c>
      <c r="AO260" s="57">
        <f t="shared" si="150"/>
        <v>72265</v>
      </c>
      <c r="AP260" s="23">
        <f t="shared" si="137"/>
        <v>70975</v>
      </c>
      <c r="AQ260" s="23">
        <f t="shared" si="138"/>
        <v>72910</v>
      </c>
      <c r="AR260" s="23">
        <f t="shared" si="139"/>
        <v>70330</v>
      </c>
      <c r="AS260" s="23">
        <f t="shared" si="140"/>
        <v>71942.5</v>
      </c>
      <c r="AT260" s="23">
        <f t="shared" si="141"/>
        <v>71297.5</v>
      </c>
      <c r="AU260" s="23">
        <f t="shared" si="142"/>
        <v>74200</v>
      </c>
      <c r="AV260" s="23">
        <f t="shared" si="143"/>
        <v>69040</v>
      </c>
      <c r="AW260" s="23">
        <f t="shared" si="144"/>
        <v>71835</v>
      </c>
      <c r="AX260" s="23">
        <f t="shared" si="145"/>
        <v>71405</v>
      </c>
      <c r="AY260" s="23">
        <f t="shared" si="146"/>
        <v>75490</v>
      </c>
      <c r="AZ260" s="23">
        <f t="shared" si="147"/>
        <v>67750</v>
      </c>
      <c r="BA260" s="23">
        <f t="shared" si="158"/>
        <v>68947.25</v>
      </c>
      <c r="BB260" s="43"/>
      <c r="BC260" s="51">
        <f t="shared" ref="BC260:BC323" si="161">AH260</f>
        <v>71620</v>
      </c>
      <c r="BD260" s="52">
        <f t="shared" si="133"/>
        <v>68947.25</v>
      </c>
      <c r="BE260" s="37">
        <f t="shared" si="151"/>
        <v>2672.75</v>
      </c>
      <c r="BF260">
        <f t="shared" si="152"/>
        <v>2672.75</v>
      </c>
      <c r="BG260">
        <f t="shared" si="153"/>
        <v>3.7318486456297123E-2</v>
      </c>
    </row>
    <row r="261" spans="1:59">
      <c r="A261" s="1" t="s">
        <v>262</v>
      </c>
      <c r="B261" s="1">
        <v>69750</v>
      </c>
      <c r="Q261">
        <v>258</v>
      </c>
      <c r="R261" s="27" t="str">
        <f t="shared" ref="R261:S324" si="162">A259</f>
        <v>15/05/2024</v>
      </c>
      <c r="S261" s="27">
        <f t="shared" si="162"/>
        <v>69370</v>
      </c>
      <c r="T261" s="4" t="str">
        <f t="shared" ref="T261:T324" si="163">VLOOKUP(S261,$N$5:$O$14,2,TRUE)</f>
        <v>A5</v>
      </c>
      <c r="V261">
        <v>258</v>
      </c>
      <c r="W261" s="28" t="str">
        <f t="shared" si="160"/>
        <v>15/05/2024</v>
      </c>
      <c r="X261" s="28">
        <f t="shared" si="160"/>
        <v>69370</v>
      </c>
      <c r="Y261" s="28" t="str">
        <f t="shared" si="160"/>
        <v>A5</v>
      </c>
      <c r="Z261" s="5" t="str">
        <f t="shared" si="134"/>
        <v>A6</v>
      </c>
      <c r="AA261" s="5" t="str">
        <f t="shared" ref="AA261:AA324" si="164">Y261</f>
        <v>A5</v>
      </c>
      <c r="AG261" s="49" t="str">
        <f t="shared" si="159"/>
        <v>15/05/2024</v>
      </c>
      <c r="AH261" s="46">
        <f t="shared" si="159"/>
        <v>69370</v>
      </c>
      <c r="AI261" s="49" t="str">
        <f t="shared" si="159"/>
        <v>A5</v>
      </c>
      <c r="AJ261" s="49" t="str">
        <f t="shared" si="135"/>
        <v>A6</v>
      </c>
      <c r="AK261" s="50">
        <f t="shared" si="157"/>
        <v>73860.5</v>
      </c>
      <c r="AL261" s="49" t="str">
        <f t="shared" si="148"/>
        <v>A5</v>
      </c>
      <c r="AM261" s="50">
        <f t="shared" si="136"/>
        <v>67829.5</v>
      </c>
      <c r="AN261" s="56">
        <f t="shared" si="149"/>
        <v>610</v>
      </c>
      <c r="AO261" s="57">
        <f t="shared" si="150"/>
        <v>69675</v>
      </c>
      <c r="AP261" s="23">
        <f t="shared" si="137"/>
        <v>69065</v>
      </c>
      <c r="AQ261" s="23">
        <f t="shared" si="138"/>
        <v>69980</v>
      </c>
      <c r="AR261" s="23">
        <f t="shared" si="139"/>
        <v>68760</v>
      </c>
      <c r="AS261" s="23">
        <f t="shared" si="140"/>
        <v>69522.5</v>
      </c>
      <c r="AT261" s="23">
        <f t="shared" si="141"/>
        <v>69217.5</v>
      </c>
      <c r="AU261" s="23">
        <f t="shared" si="142"/>
        <v>70590</v>
      </c>
      <c r="AV261" s="23">
        <f t="shared" si="143"/>
        <v>68150</v>
      </c>
      <c r="AW261" s="23">
        <f t="shared" si="144"/>
        <v>69471.666666666672</v>
      </c>
      <c r="AX261" s="23">
        <f t="shared" si="145"/>
        <v>69268.333333333328</v>
      </c>
      <c r="AY261" s="23">
        <f t="shared" si="146"/>
        <v>71200</v>
      </c>
      <c r="AZ261" s="23">
        <f t="shared" si="147"/>
        <v>67540</v>
      </c>
      <c r="BA261" s="23">
        <f t="shared" si="158"/>
        <v>73062.75</v>
      </c>
      <c r="BB261" s="43"/>
      <c r="BC261" s="51">
        <f t="shared" si="161"/>
        <v>69370</v>
      </c>
      <c r="BD261" s="52">
        <f t="shared" ref="BD261:BD324" si="165">BA261</f>
        <v>73062.75</v>
      </c>
      <c r="BE261" s="37">
        <f t="shared" si="151"/>
        <v>-3692.75</v>
      </c>
      <c r="BF261">
        <f t="shared" si="152"/>
        <v>3692.75</v>
      </c>
      <c r="BG261">
        <f t="shared" si="153"/>
        <v>5.3232665417327373E-2</v>
      </c>
    </row>
    <row r="262" spans="1:59">
      <c r="A262" s="1" t="s">
        <v>263</v>
      </c>
      <c r="B262" s="1">
        <v>69760</v>
      </c>
      <c r="Q262">
        <v>259</v>
      </c>
      <c r="R262" s="27" t="str">
        <f t="shared" si="162"/>
        <v>16/05/2024</v>
      </c>
      <c r="S262" s="27">
        <f t="shared" si="162"/>
        <v>69580</v>
      </c>
      <c r="T262" s="4" t="str">
        <f t="shared" si="163"/>
        <v>A5</v>
      </c>
      <c r="V262">
        <v>259</v>
      </c>
      <c r="W262" s="28" t="str">
        <f t="shared" si="160"/>
        <v>16/05/2024</v>
      </c>
      <c r="X262" s="28">
        <f t="shared" si="160"/>
        <v>69580</v>
      </c>
      <c r="Y262" s="28" t="str">
        <f t="shared" si="160"/>
        <v>A5</v>
      </c>
      <c r="Z262" s="5" t="str">
        <f t="shared" ref="Z262:Z279" si="166">Y261</f>
        <v>A5</v>
      </c>
      <c r="AA262" s="5" t="str">
        <f t="shared" si="164"/>
        <v>A5</v>
      </c>
      <c r="AG262" s="49" t="str">
        <f t="shared" si="159"/>
        <v>16/05/2024</v>
      </c>
      <c r="AH262" s="46">
        <f t="shared" si="159"/>
        <v>69580</v>
      </c>
      <c r="AI262" s="49" t="str">
        <f t="shared" si="159"/>
        <v>A5</v>
      </c>
      <c r="AJ262" s="49" t="str">
        <f t="shared" ref="AJ262:AJ325" si="167">AI261</f>
        <v>A5</v>
      </c>
      <c r="AK262" s="50">
        <f t="shared" si="157"/>
        <v>67829.5</v>
      </c>
      <c r="AL262" s="49" t="str">
        <f t="shared" si="148"/>
        <v>A5</v>
      </c>
      <c r="AM262" s="50">
        <f t="shared" ref="AM262:AM325" si="168">VLOOKUP(AL262,$AC$18:$AD$27,2,FALSE)</f>
        <v>67829.5</v>
      </c>
      <c r="AN262" s="56">
        <f t="shared" si="149"/>
        <v>2040</v>
      </c>
      <c r="AO262" s="57">
        <f t="shared" si="150"/>
        <v>70600</v>
      </c>
      <c r="AP262" s="23">
        <f t="shared" ref="AP262:AP325" si="169">AH262-AN262/2</f>
        <v>68560</v>
      </c>
      <c r="AQ262" s="23">
        <f t="shared" ref="AQ262:AQ325" si="170">AH262+AN262</f>
        <v>71620</v>
      </c>
      <c r="AR262" s="23">
        <f t="shared" ref="AR262:AR325" si="171">AH262-AN262</f>
        <v>67540</v>
      </c>
      <c r="AS262" s="23">
        <f t="shared" ref="AS262:AS325" si="172">AH262+AN262/4</f>
        <v>70090</v>
      </c>
      <c r="AT262" s="23">
        <f t="shared" ref="AT262:AT325" si="173">AH262-AN262/4</f>
        <v>69070</v>
      </c>
      <c r="AU262" s="23">
        <f t="shared" ref="AU262:AU325" si="174">AH262+2*AN262</f>
        <v>73660</v>
      </c>
      <c r="AV262" s="23">
        <f t="shared" ref="AV262:AV325" si="175">AH262-2*AN262</f>
        <v>65500</v>
      </c>
      <c r="AW262" s="23">
        <f t="shared" ref="AW262:AW325" si="176">AH262+AN262/6</f>
        <v>69920</v>
      </c>
      <c r="AX262" s="23">
        <f t="shared" ref="AX262:AX325" si="177">AH262-AN262/6</f>
        <v>69240</v>
      </c>
      <c r="AY262" s="23">
        <f t="shared" ref="AY262:AY325" si="178">AH262+3*AN262</f>
        <v>75700</v>
      </c>
      <c r="AZ262" s="23">
        <f t="shared" ref="AZ262:AZ325" si="179">AH262-3*AN262</f>
        <v>63460</v>
      </c>
      <c r="BA262" s="23">
        <f t="shared" si="158"/>
        <v>68752.25</v>
      </c>
      <c r="BB262" s="43"/>
      <c r="BC262" s="51">
        <f t="shared" si="161"/>
        <v>69580</v>
      </c>
      <c r="BD262" s="52">
        <f t="shared" si="165"/>
        <v>68752.25</v>
      </c>
      <c r="BE262" s="37">
        <f t="shared" si="151"/>
        <v>827.75</v>
      </c>
      <c r="BF262">
        <f t="shared" si="152"/>
        <v>827.75</v>
      </c>
      <c r="BG262">
        <f t="shared" si="153"/>
        <v>1.1896378269617706E-2</v>
      </c>
    </row>
    <row r="263" spans="1:59">
      <c r="A263" s="1" t="s">
        <v>264</v>
      </c>
      <c r="B263" s="1">
        <v>69900</v>
      </c>
      <c r="Q263">
        <v>260</v>
      </c>
      <c r="R263" s="27" t="str">
        <f t="shared" si="162"/>
        <v>17/05/2024</v>
      </c>
      <c r="S263" s="27">
        <f t="shared" si="162"/>
        <v>69750</v>
      </c>
      <c r="T263" s="4" t="str">
        <f t="shared" si="163"/>
        <v>A5</v>
      </c>
      <c r="V263">
        <v>260</v>
      </c>
      <c r="W263" s="28" t="str">
        <f t="shared" si="160"/>
        <v>17/05/2024</v>
      </c>
      <c r="X263" s="28">
        <f t="shared" si="160"/>
        <v>69750</v>
      </c>
      <c r="Y263" s="28" t="str">
        <f t="shared" si="160"/>
        <v>A5</v>
      </c>
      <c r="Z263" s="5" t="str">
        <f t="shared" si="166"/>
        <v>A5</v>
      </c>
      <c r="AA263" s="5" t="str">
        <f t="shared" si="164"/>
        <v>A5</v>
      </c>
      <c r="AG263" s="49" t="str">
        <f t="shared" si="159"/>
        <v>17/05/2024</v>
      </c>
      <c r="AH263" s="46">
        <f t="shared" si="159"/>
        <v>69750</v>
      </c>
      <c r="AI263" s="49" t="str">
        <f t="shared" si="159"/>
        <v>A5</v>
      </c>
      <c r="AJ263" s="49" t="str">
        <f t="shared" si="167"/>
        <v>A5</v>
      </c>
      <c r="AK263" s="50">
        <f t="shared" si="157"/>
        <v>67829.5</v>
      </c>
      <c r="AL263" s="49" t="str">
        <f t="shared" ref="AL263:AL326" si="180">AI263</f>
        <v>A5</v>
      </c>
      <c r="AM263" s="50">
        <f t="shared" si="168"/>
        <v>67829.5</v>
      </c>
      <c r="AN263" s="56">
        <f t="shared" ref="AN263:AN326" si="181">ABS(ABS(AH263-AH262)-ABS(AH262-AH261))</f>
        <v>40</v>
      </c>
      <c r="AO263" s="57">
        <f t="shared" ref="AO263:AO326" si="182">AH263+AN263/2</f>
        <v>69770</v>
      </c>
      <c r="AP263" s="23">
        <f t="shared" si="169"/>
        <v>69730</v>
      </c>
      <c r="AQ263" s="23">
        <f t="shared" si="170"/>
        <v>69790</v>
      </c>
      <c r="AR263" s="23">
        <f t="shared" si="171"/>
        <v>69710</v>
      </c>
      <c r="AS263" s="23">
        <f t="shared" si="172"/>
        <v>69760</v>
      </c>
      <c r="AT263" s="23">
        <f t="shared" si="173"/>
        <v>69740</v>
      </c>
      <c r="AU263" s="23">
        <f t="shared" si="174"/>
        <v>69830</v>
      </c>
      <c r="AV263" s="23">
        <f t="shared" si="175"/>
        <v>69670</v>
      </c>
      <c r="AW263" s="23">
        <f t="shared" si="176"/>
        <v>69756.666666666672</v>
      </c>
      <c r="AX263" s="23">
        <f t="shared" si="177"/>
        <v>69743.333333333328</v>
      </c>
      <c r="AY263" s="23">
        <f t="shared" si="178"/>
        <v>69870</v>
      </c>
      <c r="AZ263" s="23">
        <f t="shared" si="179"/>
        <v>69630</v>
      </c>
      <c r="BA263" s="23">
        <f t="shared" si="158"/>
        <v>69214.75</v>
      </c>
      <c r="BB263" s="43"/>
      <c r="BC263" s="51">
        <f t="shared" si="161"/>
        <v>69750</v>
      </c>
      <c r="BD263" s="52">
        <f t="shared" si="165"/>
        <v>69214.75</v>
      </c>
      <c r="BE263" s="37">
        <f t="shared" ref="BE263:BE326" si="183">BC263-BD263</f>
        <v>535.25</v>
      </c>
      <c r="BF263">
        <f t="shared" ref="BF263:BF326" si="184">ABS(BE263)</f>
        <v>535.25</v>
      </c>
      <c r="BG263">
        <f t="shared" ref="BG263:BG326" si="185">BF263/BC263</f>
        <v>7.6738351254480291E-3</v>
      </c>
    </row>
    <row r="264" spans="1:59">
      <c r="A264" s="1" t="s">
        <v>265</v>
      </c>
      <c r="B264" s="1">
        <v>67560</v>
      </c>
      <c r="Q264">
        <v>261</v>
      </c>
      <c r="R264" s="27" t="str">
        <f t="shared" si="162"/>
        <v>18/05/2024</v>
      </c>
      <c r="S264" s="27">
        <f t="shared" si="162"/>
        <v>69760</v>
      </c>
      <c r="T264" s="4" t="str">
        <f t="shared" si="163"/>
        <v>A5</v>
      </c>
      <c r="V264">
        <v>261</v>
      </c>
      <c r="W264" s="28" t="str">
        <f t="shared" si="160"/>
        <v>18/05/2024</v>
      </c>
      <c r="X264" s="28">
        <f t="shared" si="160"/>
        <v>69760</v>
      </c>
      <c r="Y264" s="28" t="str">
        <f t="shared" si="160"/>
        <v>A5</v>
      </c>
      <c r="Z264" s="5" t="str">
        <f t="shared" si="166"/>
        <v>A5</v>
      </c>
      <c r="AA264" s="5" t="str">
        <f t="shared" si="164"/>
        <v>A5</v>
      </c>
      <c r="AG264" s="49" t="str">
        <f t="shared" si="159"/>
        <v>18/05/2024</v>
      </c>
      <c r="AH264" s="46">
        <f t="shared" si="159"/>
        <v>69760</v>
      </c>
      <c r="AI264" s="49" t="str">
        <f t="shared" si="159"/>
        <v>A5</v>
      </c>
      <c r="AJ264" s="49" t="str">
        <f t="shared" si="167"/>
        <v>A5</v>
      </c>
      <c r="AK264" s="50">
        <f t="shared" si="157"/>
        <v>67829.5</v>
      </c>
      <c r="AL264" s="49" t="str">
        <f t="shared" si="180"/>
        <v>A5</v>
      </c>
      <c r="AM264" s="50">
        <f t="shared" si="168"/>
        <v>67829.5</v>
      </c>
      <c r="AN264" s="56">
        <f t="shared" si="181"/>
        <v>160</v>
      </c>
      <c r="AO264" s="57">
        <f t="shared" si="182"/>
        <v>69840</v>
      </c>
      <c r="AP264" s="23">
        <f t="shared" si="169"/>
        <v>69680</v>
      </c>
      <c r="AQ264" s="23">
        <f t="shared" si="170"/>
        <v>69920</v>
      </c>
      <c r="AR264" s="23">
        <f t="shared" si="171"/>
        <v>69600</v>
      </c>
      <c r="AS264" s="23">
        <f t="shared" si="172"/>
        <v>69800</v>
      </c>
      <c r="AT264" s="23">
        <f t="shared" si="173"/>
        <v>69720</v>
      </c>
      <c r="AU264" s="23">
        <f t="shared" si="174"/>
        <v>70080</v>
      </c>
      <c r="AV264" s="23">
        <f t="shared" si="175"/>
        <v>69440</v>
      </c>
      <c r="AW264" s="23">
        <f t="shared" si="176"/>
        <v>69786.666666666672</v>
      </c>
      <c r="AX264" s="23">
        <f t="shared" si="177"/>
        <v>69733.333333333328</v>
      </c>
      <c r="AY264" s="23">
        <f t="shared" si="178"/>
        <v>70240</v>
      </c>
      <c r="AZ264" s="23">
        <f t="shared" si="179"/>
        <v>69280</v>
      </c>
      <c r="BA264" s="23">
        <f t="shared" si="158"/>
        <v>68799.75</v>
      </c>
      <c r="BB264" s="43"/>
      <c r="BC264" s="51">
        <f t="shared" si="161"/>
        <v>69760</v>
      </c>
      <c r="BD264" s="52">
        <f t="shared" si="165"/>
        <v>68799.75</v>
      </c>
      <c r="BE264" s="37">
        <f t="shared" si="183"/>
        <v>960.25</v>
      </c>
      <c r="BF264">
        <f t="shared" si="184"/>
        <v>960.25</v>
      </c>
      <c r="BG264">
        <f t="shared" si="185"/>
        <v>1.3765051605504588E-2</v>
      </c>
    </row>
    <row r="265" spans="1:59">
      <c r="A265" s="1" t="s">
        <v>266</v>
      </c>
      <c r="B265" s="1">
        <v>65140</v>
      </c>
      <c r="Q265">
        <v>262</v>
      </c>
      <c r="R265" s="27" t="str">
        <f t="shared" si="162"/>
        <v>19/05/2024</v>
      </c>
      <c r="S265" s="27">
        <f t="shared" si="162"/>
        <v>69900</v>
      </c>
      <c r="T265" s="4" t="str">
        <f t="shared" si="163"/>
        <v>A5</v>
      </c>
      <c r="V265">
        <v>262</v>
      </c>
      <c r="W265" s="28" t="str">
        <f t="shared" si="160"/>
        <v>19/05/2024</v>
      </c>
      <c r="X265" s="28">
        <f t="shared" si="160"/>
        <v>69900</v>
      </c>
      <c r="Y265" s="28" t="str">
        <f t="shared" si="160"/>
        <v>A5</v>
      </c>
      <c r="Z265" s="5" t="str">
        <f t="shared" si="166"/>
        <v>A5</v>
      </c>
      <c r="AA265" s="5" t="str">
        <f t="shared" si="164"/>
        <v>A5</v>
      </c>
      <c r="AG265" s="49" t="str">
        <f t="shared" si="159"/>
        <v>19/05/2024</v>
      </c>
      <c r="AH265" s="46">
        <f t="shared" si="159"/>
        <v>69900</v>
      </c>
      <c r="AI265" s="49" t="str">
        <f t="shared" si="159"/>
        <v>A5</v>
      </c>
      <c r="AJ265" s="49" t="str">
        <f t="shared" si="167"/>
        <v>A5</v>
      </c>
      <c r="AK265" s="50">
        <f t="shared" si="157"/>
        <v>67829.5</v>
      </c>
      <c r="AL265" s="49" t="str">
        <f t="shared" si="180"/>
        <v>A5</v>
      </c>
      <c r="AM265" s="50">
        <f t="shared" si="168"/>
        <v>67829.5</v>
      </c>
      <c r="AN265" s="56">
        <f t="shared" si="181"/>
        <v>130</v>
      </c>
      <c r="AO265" s="57">
        <f t="shared" si="182"/>
        <v>69965</v>
      </c>
      <c r="AP265" s="23">
        <f t="shared" si="169"/>
        <v>69835</v>
      </c>
      <c r="AQ265" s="23">
        <f t="shared" si="170"/>
        <v>70030</v>
      </c>
      <c r="AR265" s="23">
        <f t="shared" si="171"/>
        <v>69770</v>
      </c>
      <c r="AS265" s="23">
        <f t="shared" si="172"/>
        <v>69932.5</v>
      </c>
      <c r="AT265" s="23">
        <f t="shared" si="173"/>
        <v>69867.5</v>
      </c>
      <c r="AU265" s="23">
        <f t="shared" si="174"/>
        <v>70160</v>
      </c>
      <c r="AV265" s="23">
        <f t="shared" si="175"/>
        <v>69640</v>
      </c>
      <c r="AW265" s="23">
        <f t="shared" si="176"/>
        <v>69921.666666666672</v>
      </c>
      <c r="AX265" s="23">
        <f t="shared" si="177"/>
        <v>69878.333333333328</v>
      </c>
      <c r="AY265" s="23">
        <f t="shared" si="178"/>
        <v>70290</v>
      </c>
      <c r="AZ265" s="23">
        <f t="shared" si="179"/>
        <v>69510</v>
      </c>
      <c r="BA265" s="23">
        <f t="shared" si="158"/>
        <v>68834.75</v>
      </c>
      <c r="BB265" s="43"/>
      <c r="BC265" s="51">
        <f t="shared" si="161"/>
        <v>69900</v>
      </c>
      <c r="BD265" s="52">
        <f t="shared" si="165"/>
        <v>68834.75</v>
      </c>
      <c r="BE265" s="37">
        <f t="shared" si="183"/>
        <v>1065.25</v>
      </c>
      <c r="BF265">
        <f t="shared" si="184"/>
        <v>1065.25</v>
      </c>
      <c r="BG265">
        <f t="shared" si="185"/>
        <v>1.5239628040057225E-2</v>
      </c>
    </row>
    <row r="266" spans="1:59">
      <c r="A266" s="1" t="s">
        <v>267</v>
      </c>
      <c r="B266" s="1">
        <v>66350</v>
      </c>
      <c r="Q266">
        <v>263</v>
      </c>
      <c r="R266" s="27" t="str">
        <f t="shared" si="162"/>
        <v>20/05/2024</v>
      </c>
      <c r="S266" s="27">
        <f t="shared" si="162"/>
        <v>67560</v>
      </c>
      <c r="T266" s="4" t="str">
        <f t="shared" si="163"/>
        <v>A5</v>
      </c>
      <c r="V266">
        <v>263</v>
      </c>
      <c r="W266" s="28" t="str">
        <f t="shared" si="160"/>
        <v>20/05/2024</v>
      </c>
      <c r="X266" s="28">
        <f t="shared" si="160"/>
        <v>67560</v>
      </c>
      <c r="Y266" s="28" t="str">
        <f t="shared" si="160"/>
        <v>A5</v>
      </c>
      <c r="Z266" s="5" t="str">
        <f t="shared" si="166"/>
        <v>A5</v>
      </c>
      <c r="AA266" s="5" t="str">
        <f t="shared" si="164"/>
        <v>A5</v>
      </c>
      <c r="AG266" s="49" t="str">
        <f t="shared" si="159"/>
        <v>20/05/2024</v>
      </c>
      <c r="AH266" s="46">
        <f t="shared" si="159"/>
        <v>67560</v>
      </c>
      <c r="AI266" s="49" t="str">
        <f t="shared" si="159"/>
        <v>A5</v>
      </c>
      <c r="AJ266" s="49" t="str">
        <f t="shared" si="167"/>
        <v>A5</v>
      </c>
      <c r="AK266" s="50">
        <f t="shared" si="157"/>
        <v>67829.5</v>
      </c>
      <c r="AL266" s="49" t="str">
        <f t="shared" si="180"/>
        <v>A5</v>
      </c>
      <c r="AM266" s="50">
        <f t="shared" si="168"/>
        <v>67829.5</v>
      </c>
      <c r="AN266" s="56">
        <f t="shared" si="181"/>
        <v>2200</v>
      </c>
      <c r="AO266" s="23">
        <f t="shared" si="182"/>
        <v>68660</v>
      </c>
      <c r="AP266" s="57">
        <f t="shared" si="169"/>
        <v>66460</v>
      </c>
      <c r="AQ266" s="23">
        <f t="shared" si="170"/>
        <v>69760</v>
      </c>
      <c r="AR266" s="23">
        <f t="shared" si="171"/>
        <v>65360</v>
      </c>
      <c r="AS266" s="23">
        <f t="shared" si="172"/>
        <v>68110</v>
      </c>
      <c r="AT266" s="23">
        <f t="shared" si="173"/>
        <v>67010</v>
      </c>
      <c r="AU266" s="23">
        <f t="shared" si="174"/>
        <v>71960</v>
      </c>
      <c r="AV266" s="23">
        <f t="shared" si="175"/>
        <v>63160</v>
      </c>
      <c r="AW266" s="23">
        <f t="shared" si="176"/>
        <v>67926.666666666672</v>
      </c>
      <c r="AX266" s="23">
        <f t="shared" si="177"/>
        <v>67193.333333333328</v>
      </c>
      <c r="AY266" s="23">
        <f t="shared" si="178"/>
        <v>74160</v>
      </c>
      <c r="AZ266" s="23">
        <f t="shared" si="179"/>
        <v>60960</v>
      </c>
      <c r="BA266" s="23">
        <f t="shared" si="158"/>
        <v>68897.25</v>
      </c>
      <c r="BB266" s="43"/>
      <c r="BC266" s="51">
        <f t="shared" si="161"/>
        <v>67560</v>
      </c>
      <c r="BD266" s="52">
        <f t="shared" si="165"/>
        <v>68897.25</v>
      </c>
      <c r="BE266" s="37">
        <f t="shared" si="183"/>
        <v>-1337.25</v>
      </c>
      <c r="BF266">
        <f t="shared" si="184"/>
        <v>1337.25</v>
      </c>
      <c r="BG266">
        <f t="shared" si="185"/>
        <v>1.9793516873889874E-2</v>
      </c>
    </row>
    <row r="267" spans="1:59">
      <c r="A267" s="1" t="s">
        <v>268</v>
      </c>
      <c r="B267" s="1">
        <v>67460</v>
      </c>
      <c r="Q267">
        <v>264</v>
      </c>
      <c r="R267" s="27" t="str">
        <f t="shared" si="162"/>
        <v>21/05/2024</v>
      </c>
      <c r="S267" s="27">
        <f t="shared" si="162"/>
        <v>65140</v>
      </c>
      <c r="T267" s="4" t="str">
        <f t="shared" si="163"/>
        <v>A5</v>
      </c>
      <c r="V267">
        <v>264</v>
      </c>
      <c r="W267" s="28" t="str">
        <f t="shared" si="160"/>
        <v>21/05/2024</v>
      </c>
      <c r="X267" s="28">
        <f t="shared" si="160"/>
        <v>65140</v>
      </c>
      <c r="Y267" s="28" t="str">
        <f t="shared" si="160"/>
        <v>A5</v>
      </c>
      <c r="Z267" s="5" t="str">
        <f t="shared" si="166"/>
        <v>A5</v>
      </c>
      <c r="AA267" s="5" t="str">
        <f t="shared" si="164"/>
        <v>A5</v>
      </c>
      <c r="AG267" s="49" t="str">
        <f t="shared" si="159"/>
        <v>21/05/2024</v>
      </c>
      <c r="AH267" s="46">
        <f t="shared" si="159"/>
        <v>65140</v>
      </c>
      <c r="AI267" s="49" t="str">
        <f t="shared" si="159"/>
        <v>A5</v>
      </c>
      <c r="AJ267" s="49" t="str">
        <f t="shared" si="167"/>
        <v>A5</v>
      </c>
      <c r="AK267" s="50">
        <f t="shared" si="157"/>
        <v>67829.5</v>
      </c>
      <c r="AL267" s="49" t="str">
        <f t="shared" si="180"/>
        <v>A5</v>
      </c>
      <c r="AM267" s="50">
        <f t="shared" si="168"/>
        <v>67829.5</v>
      </c>
      <c r="AN267" s="56">
        <f t="shared" si="181"/>
        <v>80</v>
      </c>
      <c r="AO267" s="57">
        <f t="shared" si="182"/>
        <v>65180</v>
      </c>
      <c r="AP267" s="23">
        <f t="shared" si="169"/>
        <v>65100</v>
      </c>
      <c r="AQ267" s="23">
        <f t="shared" si="170"/>
        <v>65220</v>
      </c>
      <c r="AR267" s="23">
        <f t="shared" si="171"/>
        <v>65060</v>
      </c>
      <c r="AS267" s="23">
        <f t="shared" si="172"/>
        <v>65160</v>
      </c>
      <c r="AT267" s="23">
        <f t="shared" si="173"/>
        <v>65120</v>
      </c>
      <c r="AU267" s="23">
        <f t="shared" si="174"/>
        <v>65300</v>
      </c>
      <c r="AV267" s="23">
        <f t="shared" si="175"/>
        <v>64980</v>
      </c>
      <c r="AW267" s="23">
        <f t="shared" si="176"/>
        <v>65153.333333333336</v>
      </c>
      <c r="AX267" s="23">
        <f t="shared" si="177"/>
        <v>65126.666666666664</v>
      </c>
      <c r="AY267" s="23">
        <f t="shared" si="178"/>
        <v>65380</v>
      </c>
      <c r="AZ267" s="23">
        <f t="shared" si="179"/>
        <v>64900</v>
      </c>
      <c r="BA267" s="23">
        <f>(AP266+AM266)/(1+1)</f>
        <v>67144.75</v>
      </c>
      <c r="BB267" s="43"/>
      <c r="BC267" s="51">
        <f t="shared" si="161"/>
        <v>65140</v>
      </c>
      <c r="BD267" s="52">
        <f t="shared" si="165"/>
        <v>67144.75</v>
      </c>
      <c r="BE267" s="37">
        <f t="shared" si="183"/>
        <v>-2004.75</v>
      </c>
      <c r="BF267">
        <f t="shared" si="184"/>
        <v>2004.75</v>
      </c>
      <c r="BG267">
        <f t="shared" si="185"/>
        <v>3.0776020878108688E-2</v>
      </c>
    </row>
    <row r="268" spans="1:59">
      <c r="A268" s="1" t="s">
        <v>269</v>
      </c>
      <c r="B268" s="1">
        <v>69620</v>
      </c>
      <c r="Q268">
        <v>265</v>
      </c>
      <c r="R268" s="27" t="str">
        <f t="shared" si="162"/>
        <v>22/05/2024</v>
      </c>
      <c r="S268" s="27">
        <f t="shared" si="162"/>
        <v>66350</v>
      </c>
      <c r="T268" s="4" t="str">
        <f t="shared" si="163"/>
        <v>A5</v>
      </c>
      <c r="V268">
        <v>265</v>
      </c>
      <c r="W268" s="28" t="str">
        <f t="shared" si="160"/>
        <v>22/05/2024</v>
      </c>
      <c r="X268" s="28">
        <f t="shared" si="160"/>
        <v>66350</v>
      </c>
      <c r="Y268" s="28" t="str">
        <f t="shared" si="160"/>
        <v>A5</v>
      </c>
      <c r="Z268" s="5" t="str">
        <f t="shared" si="166"/>
        <v>A5</v>
      </c>
      <c r="AA268" s="5" t="str">
        <f t="shared" si="164"/>
        <v>A5</v>
      </c>
      <c r="AG268" s="49" t="str">
        <f t="shared" si="159"/>
        <v>22/05/2024</v>
      </c>
      <c r="AH268" s="46">
        <f t="shared" si="159"/>
        <v>66350</v>
      </c>
      <c r="AI268" s="49" t="str">
        <f t="shared" si="159"/>
        <v>A5</v>
      </c>
      <c r="AJ268" s="49" t="str">
        <f t="shared" si="167"/>
        <v>A5</v>
      </c>
      <c r="AK268" s="50">
        <f t="shared" si="157"/>
        <v>67829.5</v>
      </c>
      <c r="AL268" s="49" t="str">
        <f t="shared" si="180"/>
        <v>A5</v>
      </c>
      <c r="AM268" s="50">
        <f t="shared" si="168"/>
        <v>67829.5</v>
      </c>
      <c r="AN268" s="56">
        <f t="shared" si="181"/>
        <v>1210</v>
      </c>
      <c r="AO268" s="57">
        <f t="shared" si="182"/>
        <v>66955</v>
      </c>
      <c r="AP268" s="23">
        <f t="shared" si="169"/>
        <v>65745</v>
      </c>
      <c r="AQ268" s="23">
        <f t="shared" si="170"/>
        <v>67560</v>
      </c>
      <c r="AR268" s="23">
        <f t="shared" si="171"/>
        <v>65140</v>
      </c>
      <c r="AS268" s="23">
        <f t="shared" si="172"/>
        <v>66652.5</v>
      </c>
      <c r="AT268" s="23">
        <f t="shared" si="173"/>
        <v>66047.5</v>
      </c>
      <c r="AU268" s="23">
        <f t="shared" si="174"/>
        <v>68770</v>
      </c>
      <c r="AV268" s="23">
        <f t="shared" si="175"/>
        <v>63930</v>
      </c>
      <c r="AW268" s="23">
        <f t="shared" si="176"/>
        <v>66551.666666666672</v>
      </c>
      <c r="AX268" s="23">
        <f t="shared" si="177"/>
        <v>66148.333333333328</v>
      </c>
      <c r="AY268" s="23">
        <f t="shared" si="178"/>
        <v>69980</v>
      </c>
      <c r="AZ268" s="23">
        <f t="shared" si="179"/>
        <v>62720</v>
      </c>
      <c r="BA268" s="23">
        <f t="shared" ref="BA268:BA282" si="186">(AO267+AM267)/(1+1)</f>
        <v>66504.75</v>
      </c>
      <c r="BB268" s="43"/>
      <c r="BC268" s="51">
        <f t="shared" si="161"/>
        <v>66350</v>
      </c>
      <c r="BD268" s="52">
        <f t="shared" si="165"/>
        <v>66504.75</v>
      </c>
      <c r="BE268" s="37">
        <f t="shared" si="183"/>
        <v>-154.75</v>
      </c>
      <c r="BF268">
        <f t="shared" si="184"/>
        <v>154.75</v>
      </c>
      <c r="BG268">
        <f t="shared" si="185"/>
        <v>2.3323285606631499E-3</v>
      </c>
    </row>
    <row r="269" spans="1:59">
      <c r="A269" s="1" t="s">
        <v>270</v>
      </c>
      <c r="B269" s="1">
        <v>69370</v>
      </c>
      <c r="Q269">
        <v>266</v>
      </c>
      <c r="R269" s="27" t="str">
        <f t="shared" si="162"/>
        <v>23/05/2024</v>
      </c>
      <c r="S269" s="27">
        <f t="shared" si="162"/>
        <v>67460</v>
      </c>
      <c r="T269" s="4" t="str">
        <f t="shared" si="163"/>
        <v>A5</v>
      </c>
      <c r="V269">
        <v>266</v>
      </c>
      <c r="W269" s="28" t="str">
        <f t="shared" si="160"/>
        <v>23/05/2024</v>
      </c>
      <c r="X269" s="28">
        <f t="shared" si="160"/>
        <v>67460</v>
      </c>
      <c r="Y269" s="28" t="str">
        <f t="shared" si="160"/>
        <v>A5</v>
      </c>
      <c r="Z269" s="5" t="str">
        <f t="shared" si="166"/>
        <v>A5</v>
      </c>
      <c r="AA269" s="5" t="str">
        <f t="shared" si="164"/>
        <v>A5</v>
      </c>
      <c r="AG269" s="49" t="str">
        <f t="shared" si="159"/>
        <v>23/05/2024</v>
      </c>
      <c r="AH269" s="46">
        <f t="shared" si="159"/>
        <v>67460</v>
      </c>
      <c r="AI269" s="49" t="str">
        <f t="shared" si="159"/>
        <v>A5</v>
      </c>
      <c r="AJ269" s="49" t="str">
        <f t="shared" si="167"/>
        <v>A5</v>
      </c>
      <c r="AK269" s="50">
        <f t="shared" si="157"/>
        <v>67829.5</v>
      </c>
      <c r="AL269" s="49" t="str">
        <f t="shared" si="180"/>
        <v>A5</v>
      </c>
      <c r="AM269" s="50">
        <f t="shared" si="168"/>
        <v>67829.5</v>
      </c>
      <c r="AN269" s="56">
        <f t="shared" si="181"/>
        <v>100</v>
      </c>
      <c r="AO269" s="57">
        <f t="shared" si="182"/>
        <v>67510</v>
      </c>
      <c r="AP269" s="23">
        <f t="shared" si="169"/>
        <v>67410</v>
      </c>
      <c r="AQ269" s="23">
        <f t="shared" si="170"/>
        <v>67560</v>
      </c>
      <c r="AR269" s="23">
        <f t="shared" si="171"/>
        <v>67360</v>
      </c>
      <c r="AS269" s="23">
        <f t="shared" si="172"/>
        <v>67485</v>
      </c>
      <c r="AT269" s="23">
        <f t="shared" si="173"/>
        <v>67435</v>
      </c>
      <c r="AU269" s="23">
        <f t="shared" si="174"/>
        <v>67660</v>
      </c>
      <c r="AV269" s="23">
        <f t="shared" si="175"/>
        <v>67260</v>
      </c>
      <c r="AW269" s="23">
        <f t="shared" si="176"/>
        <v>67476.666666666672</v>
      </c>
      <c r="AX269" s="23">
        <f t="shared" si="177"/>
        <v>67443.333333333328</v>
      </c>
      <c r="AY269" s="23">
        <f t="shared" si="178"/>
        <v>67760</v>
      </c>
      <c r="AZ269" s="23">
        <f t="shared" si="179"/>
        <v>67160</v>
      </c>
      <c r="BA269" s="23">
        <f t="shared" si="186"/>
        <v>67392.25</v>
      </c>
      <c r="BB269" s="43"/>
      <c r="BC269" s="51">
        <f t="shared" si="161"/>
        <v>67460</v>
      </c>
      <c r="BD269" s="52">
        <f t="shared" si="165"/>
        <v>67392.25</v>
      </c>
      <c r="BE269" s="37">
        <f t="shared" si="183"/>
        <v>67.75</v>
      </c>
      <c r="BF269">
        <f t="shared" si="184"/>
        <v>67.75</v>
      </c>
      <c r="BG269">
        <f t="shared" si="185"/>
        <v>1.0042988437592648E-3</v>
      </c>
    </row>
    <row r="270" spans="1:59">
      <c r="A270" s="1" t="s">
        <v>271</v>
      </c>
      <c r="B270" s="1">
        <v>68620</v>
      </c>
      <c r="Q270">
        <v>267</v>
      </c>
      <c r="R270" s="27" t="str">
        <f t="shared" si="162"/>
        <v>24/05/2024</v>
      </c>
      <c r="S270" s="27">
        <f t="shared" si="162"/>
        <v>69620</v>
      </c>
      <c r="T270" s="4" t="str">
        <f t="shared" si="163"/>
        <v>A5</v>
      </c>
      <c r="V270">
        <v>267</v>
      </c>
      <c r="W270" s="28" t="str">
        <f t="shared" si="160"/>
        <v>24/05/2024</v>
      </c>
      <c r="X270" s="28">
        <f t="shared" si="160"/>
        <v>69620</v>
      </c>
      <c r="Y270" s="28" t="str">
        <f t="shared" si="160"/>
        <v>A5</v>
      </c>
      <c r="Z270" s="5" t="str">
        <f t="shared" si="166"/>
        <v>A5</v>
      </c>
      <c r="AA270" s="5" t="str">
        <f t="shared" si="164"/>
        <v>A5</v>
      </c>
      <c r="AG270" s="49" t="str">
        <f t="shared" si="159"/>
        <v>24/05/2024</v>
      </c>
      <c r="AH270" s="46">
        <f t="shared" si="159"/>
        <v>69620</v>
      </c>
      <c r="AI270" s="49" t="str">
        <f t="shared" si="159"/>
        <v>A5</v>
      </c>
      <c r="AJ270" s="49" t="str">
        <f t="shared" si="167"/>
        <v>A5</v>
      </c>
      <c r="AK270" s="50">
        <f t="shared" si="157"/>
        <v>67829.5</v>
      </c>
      <c r="AL270" s="49" t="str">
        <f t="shared" si="180"/>
        <v>A5</v>
      </c>
      <c r="AM270" s="50">
        <f t="shared" si="168"/>
        <v>67829.5</v>
      </c>
      <c r="AN270" s="56">
        <f t="shared" si="181"/>
        <v>1050</v>
      </c>
      <c r="AO270" s="57">
        <f t="shared" si="182"/>
        <v>70145</v>
      </c>
      <c r="AP270" s="23">
        <f t="shared" si="169"/>
        <v>69095</v>
      </c>
      <c r="AQ270" s="23">
        <f t="shared" si="170"/>
        <v>70670</v>
      </c>
      <c r="AR270" s="23">
        <f t="shared" si="171"/>
        <v>68570</v>
      </c>
      <c r="AS270" s="23">
        <f t="shared" si="172"/>
        <v>69882.5</v>
      </c>
      <c r="AT270" s="23">
        <f t="shared" si="173"/>
        <v>69357.5</v>
      </c>
      <c r="AU270" s="23">
        <f t="shared" si="174"/>
        <v>71720</v>
      </c>
      <c r="AV270" s="23">
        <f t="shared" si="175"/>
        <v>67520</v>
      </c>
      <c r="AW270" s="23">
        <f t="shared" si="176"/>
        <v>69795</v>
      </c>
      <c r="AX270" s="23">
        <f t="shared" si="177"/>
        <v>69445</v>
      </c>
      <c r="AY270" s="23">
        <f t="shared" si="178"/>
        <v>72770</v>
      </c>
      <c r="AZ270" s="23">
        <f t="shared" si="179"/>
        <v>66470</v>
      </c>
      <c r="BA270" s="23">
        <f t="shared" si="186"/>
        <v>67669.75</v>
      </c>
      <c r="BB270" s="43"/>
      <c r="BC270" s="51">
        <f t="shared" si="161"/>
        <v>69620</v>
      </c>
      <c r="BD270" s="52">
        <f t="shared" si="165"/>
        <v>67669.75</v>
      </c>
      <c r="BE270" s="37">
        <f t="shared" si="183"/>
        <v>1950.25</v>
      </c>
      <c r="BF270">
        <f t="shared" si="184"/>
        <v>1950.25</v>
      </c>
      <c r="BG270">
        <f t="shared" si="185"/>
        <v>2.8012783682849755E-2</v>
      </c>
    </row>
    <row r="271" spans="1:59">
      <c r="A271" s="1" t="s">
        <v>272</v>
      </c>
      <c r="B271" s="1">
        <v>72130</v>
      </c>
      <c r="Q271">
        <v>268</v>
      </c>
      <c r="R271" s="27" t="str">
        <f t="shared" si="162"/>
        <v>25/05/2024</v>
      </c>
      <c r="S271" s="27">
        <f t="shared" si="162"/>
        <v>69370</v>
      </c>
      <c r="T271" s="4" t="str">
        <f t="shared" si="163"/>
        <v>A5</v>
      </c>
      <c r="V271">
        <v>268</v>
      </c>
      <c r="W271" s="28" t="str">
        <f t="shared" si="160"/>
        <v>25/05/2024</v>
      </c>
      <c r="X271" s="28">
        <f t="shared" si="160"/>
        <v>69370</v>
      </c>
      <c r="Y271" s="28" t="str">
        <f t="shared" si="160"/>
        <v>A5</v>
      </c>
      <c r="Z271" s="5" t="str">
        <f t="shared" si="166"/>
        <v>A5</v>
      </c>
      <c r="AA271" s="5" t="str">
        <f t="shared" si="164"/>
        <v>A5</v>
      </c>
      <c r="AG271" s="49" t="str">
        <f t="shared" si="159"/>
        <v>25/05/2024</v>
      </c>
      <c r="AH271" s="46">
        <f t="shared" si="159"/>
        <v>69370</v>
      </c>
      <c r="AI271" s="49" t="str">
        <f t="shared" si="159"/>
        <v>A5</v>
      </c>
      <c r="AJ271" s="49" t="str">
        <f t="shared" si="167"/>
        <v>A5</v>
      </c>
      <c r="AK271" s="50">
        <f t="shared" si="157"/>
        <v>67829.5</v>
      </c>
      <c r="AL271" s="49" t="str">
        <f t="shared" si="180"/>
        <v>A5</v>
      </c>
      <c r="AM271" s="50">
        <f t="shared" si="168"/>
        <v>67829.5</v>
      </c>
      <c r="AN271" s="56">
        <f t="shared" si="181"/>
        <v>1910</v>
      </c>
      <c r="AO271" s="57">
        <f t="shared" si="182"/>
        <v>70325</v>
      </c>
      <c r="AP271" s="23">
        <f t="shared" si="169"/>
        <v>68415</v>
      </c>
      <c r="AQ271" s="23">
        <f t="shared" si="170"/>
        <v>71280</v>
      </c>
      <c r="AR271" s="23">
        <f t="shared" si="171"/>
        <v>67460</v>
      </c>
      <c r="AS271" s="23">
        <f t="shared" si="172"/>
        <v>69847.5</v>
      </c>
      <c r="AT271" s="23">
        <f t="shared" si="173"/>
        <v>68892.5</v>
      </c>
      <c r="AU271" s="23">
        <f t="shared" si="174"/>
        <v>73190</v>
      </c>
      <c r="AV271" s="23">
        <f t="shared" si="175"/>
        <v>65550</v>
      </c>
      <c r="AW271" s="23">
        <f t="shared" si="176"/>
        <v>69688.333333333328</v>
      </c>
      <c r="AX271" s="23">
        <f t="shared" si="177"/>
        <v>69051.666666666672</v>
      </c>
      <c r="AY271" s="23">
        <f t="shared" si="178"/>
        <v>75100</v>
      </c>
      <c r="AZ271" s="23">
        <f t="shared" si="179"/>
        <v>63640</v>
      </c>
      <c r="BA271" s="23">
        <f t="shared" si="186"/>
        <v>68987.25</v>
      </c>
      <c r="BB271" s="43"/>
      <c r="BC271" s="51">
        <f t="shared" si="161"/>
        <v>69370</v>
      </c>
      <c r="BD271" s="52">
        <f t="shared" si="165"/>
        <v>68987.25</v>
      </c>
      <c r="BE271" s="37">
        <f t="shared" si="183"/>
        <v>382.75</v>
      </c>
      <c r="BF271">
        <f t="shared" si="184"/>
        <v>382.75</v>
      </c>
      <c r="BG271">
        <f t="shared" si="185"/>
        <v>5.5175147758397E-3</v>
      </c>
    </row>
    <row r="272" spans="1:59">
      <c r="A272" s="1" t="s">
        <v>273</v>
      </c>
      <c r="B272" s="1">
        <v>71840</v>
      </c>
      <c r="Q272">
        <v>269</v>
      </c>
      <c r="R272" s="27" t="str">
        <f t="shared" si="162"/>
        <v>26/05/2024</v>
      </c>
      <c r="S272" s="27">
        <f t="shared" si="162"/>
        <v>68620</v>
      </c>
      <c r="T272" s="4" t="str">
        <f t="shared" si="163"/>
        <v>A5</v>
      </c>
      <c r="V272">
        <v>269</v>
      </c>
      <c r="W272" s="28" t="str">
        <f t="shared" si="160"/>
        <v>26/05/2024</v>
      </c>
      <c r="X272" s="28">
        <f t="shared" si="160"/>
        <v>68620</v>
      </c>
      <c r="Y272" s="28" t="str">
        <f t="shared" si="160"/>
        <v>A5</v>
      </c>
      <c r="Z272" s="5" t="str">
        <f t="shared" si="166"/>
        <v>A5</v>
      </c>
      <c r="AA272" s="5" t="str">
        <f t="shared" si="164"/>
        <v>A5</v>
      </c>
      <c r="AG272" s="49" t="str">
        <f t="shared" si="159"/>
        <v>26/05/2024</v>
      </c>
      <c r="AH272" s="46">
        <f t="shared" si="159"/>
        <v>68620</v>
      </c>
      <c r="AI272" s="49" t="str">
        <f t="shared" si="159"/>
        <v>A5</v>
      </c>
      <c r="AJ272" s="49" t="str">
        <f t="shared" si="167"/>
        <v>A5</v>
      </c>
      <c r="AK272" s="50">
        <f t="shared" si="157"/>
        <v>67829.5</v>
      </c>
      <c r="AL272" s="49" t="str">
        <f t="shared" si="180"/>
        <v>A5</v>
      </c>
      <c r="AM272" s="50">
        <f t="shared" si="168"/>
        <v>67829.5</v>
      </c>
      <c r="AN272" s="56">
        <f t="shared" si="181"/>
        <v>500</v>
      </c>
      <c r="AO272" s="57">
        <f t="shared" si="182"/>
        <v>68870</v>
      </c>
      <c r="AP272" s="23">
        <f t="shared" si="169"/>
        <v>68370</v>
      </c>
      <c r="AQ272" s="23">
        <f t="shared" si="170"/>
        <v>69120</v>
      </c>
      <c r="AR272" s="23">
        <f t="shared" si="171"/>
        <v>68120</v>
      </c>
      <c r="AS272" s="23">
        <f t="shared" si="172"/>
        <v>68745</v>
      </c>
      <c r="AT272" s="23">
        <f t="shared" si="173"/>
        <v>68495</v>
      </c>
      <c r="AU272" s="23">
        <f t="shared" si="174"/>
        <v>69620</v>
      </c>
      <c r="AV272" s="23">
        <f t="shared" si="175"/>
        <v>67620</v>
      </c>
      <c r="AW272" s="23">
        <f t="shared" si="176"/>
        <v>68703.333333333328</v>
      </c>
      <c r="AX272" s="23">
        <f t="shared" si="177"/>
        <v>68536.666666666672</v>
      </c>
      <c r="AY272" s="23">
        <f t="shared" si="178"/>
        <v>70120</v>
      </c>
      <c r="AZ272" s="23">
        <f t="shared" si="179"/>
        <v>67120</v>
      </c>
      <c r="BA272" s="23">
        <f t="shared" si="186"/>
        <v>69077.25</v>
      </c>
      <c r="BB272" s="43"/>
      <c r="BC272" s="51">
        <f t="shared" si="161"/>
        <v>68620</v>
      </c>
      <c r="BD272" s="52">
        <f t="shared" si="165"/>
        <v>69077.25</v>
      </c>
      <c r="BE272" s="37">
        <f t="shared" si="183"/>
        <v>-457.25</v>
      </c>
      <c r="BF272">
        <f t="shared" si="184"/>
        <v>457.25</v>
      </c>
      <c r="BG272">
        <f t="shared" si="185"/>
        <v>6.6635091809967937E-3</v>
      </c>
    </row>
    <row r="273" spans="1:59">
      <c r="A273" s="1" t="s">
        <v>274</v>
      </c>
      <c r="B273" s="1">
        <v>70780</v>
      </c>
      <c r="Q273">
        <v>270</v>
      </c>
      <c r="R273" s="27" t="str">
        <f t="shared" si="162"/>
        <v>27/05/2024</v>
      </c>
      <c r="S273" s="27">
        <f t="shared" si="162"/>
        <v>72130</v>
      </c>
      <c r="T273" s="4" t="str">
        <f t="shared" si="163"/>
        <v>A6</v>
      </c>
      <c r="V273">
        <v>270</v>
      </c>
      <c r="W273" s="28" t="str">
        <f t="shared" si="160"/>
        <v>27/05/2024</v>
      </c>
      <c r="X273" s="28">
        <f t="shared" si="160"/>
        <v>72130</v>
      </c>
      <c r="Y273" s="28" t="str">
        <f t="shared" si="160"/>
        <v>A6</v>
      </c>
      <c r="Z273" s="5" t="str">
        <f t="shared" si="166"/>
        <v>A5</v>
      </c>
      <c r="AA273" s="5" t="str">
        <f t="shared" si="164"/>
        <v>A6</v>
      </c>
      <c r="AG273" s="49" t="str">
        <f t="shared" si="159"/>
        <v>27/05/2024</v>
      </c>
      <c r="AH273" s="46">
        <f t="shared" si="159"/>
        <v>72130</v>
      </c>
      <c r="AI273" s="49" t="str">
        <f t="shared" si="159"/>
        <v>A6</v>
      </c>
      <c r="AJ273" s="49" t="str">
        <f t="shared" si="167"/>
        <v>A5</v>
      </c>
      <c r="AK273" s="50">
        <f t="shared" si="157"/>
        <v>67829.5</v>
      </c>
      <c r="AL273" s="49" t="str">
        <f t="shared" si="180"/>
        <v>A6</v>
      </c>
      <c r="AM273" s="50">
        <f t="shared" si="168"/>
        <v>73860.5</v>
      </c>
      <c r="AN273" s="56">
        <f t="shared" si="181"/>
        <v>2760</v>
      </c>
      <c r="AO273" s="57">
        <f t="shared" si="182"/>
        <v>73510</v>
      </c>
      <c r="AP273" s="23">
        <f t="shared" si="169"/>
        <v>70750</v>
      </c>
      <c r="AQ273" s="23">
        <f t="shared" si="170"/>
        <v>74890</v>
      </c>
      <c r="AR273" s="23">
        <f t="shared" si="171"/>
        <v>69370</v>
      </c>
      <c r="AS273" s="23">
        <f t="shared" si="172"/>
        <v>72820</v>
      </c>
      <c r="AT273" s="23">
        <f t="shared" si="173"/>
        <v>71440</v>
      </c>
      <c r="AU273" s="23">
        <f t="shared" si="174"/>
        <v>77650</v>
      </c>
      <c r="AV273" s="23">
        <f t="shared" si="175"/>
        <v>66610</v>
      </c>
      <c r="AW273" s="23">
        <f t="shared" si="176"/>
        <v>72590</v>
      </c>
      <c r="AX273" s="23">
        <f t="shared" si="177"/>
        <v>71670</v>
      </c>
      <c r="AY273" s="23">
        <f t="shared" si="178"/>
        <v>80410</v>
      </c>
      <c r="AZ273" s="23">
        <f t="shared" si="179"/>
        <v>63850</v>
      </c>
      <c r="BA273" s="23">
        <f t="shared" si="186"/>
        <v>68349.75</v>
      </c>
      <c r="BB273" s="43"/>
      <c r="BC273" s="51">
        <f t="shared" si="161"/>
        <v>72130</v>
      </c>
      <c r="BD273" s="52">
        <f t="shared" si="165"/>
        <v>68349.75</v>
      </c>
      <c r="BE273" s="37">
        <f t="shared" si="183"/>
        <v>3780.25</v>
      </c>
      <c r="BF273">
        <f t="shared" si="184"/>
        <v>3780.25</v>
      </c>
      <c r="BG273">
        <f t="shared" si="185"/>
        <v>5.2408845140718148E-2</v>
      </c>
    </row>
    <row r="274" spans="1:59">
      <c r="A274" s="1" t="s">
        <v>275</v>
      </c>
      <c r="B274" s="1">
        <v>70440</v>
      </c>
      <c r="Q274">
        <v>271</v>
      </c>
      <c r="R274" s="27" t="str">
        <f t="shared" si="162"/>
        <v>28/05/2024</v>
      </c>
      <c r="S274" s="27">
        <f t="shared" si="162"/>
        <v>71840</v>
      </c>
      <c r="T274" s="4" t="str">
        <f t="shared" si="163"/>
        <v>A6</v>
      </c>
      <c r="V274">
        <v>271</v>
      </c>
      <c r="W274" s="28" t="str">
        <f t="shared" si="160"/>
        <v>28/05/2024</v>
      </c>
      <c r="X274" s="28">
        <f t="shared" si="160"/>
        <v>71840</v>
      </c>
      <c r="Y274" s="28" t="str">
        <f t="shared" si="160"/>
        <v>A6</v>
      </c>
      <c r="Z274" s="5" t="str">
        <f t="shared" si="166"/>
        <v>A6</v>
      </c>
      <c r="AA274" s="5" t="str">
        <f t="shared" si="164"/>
        <v>A6</v>
      </c>
      <c r="AG274" s="49" t="str">
        <f t="shared" si="159"/>
        <v>28/05/2024</v>
      </c>
      <c r="AH274" s="46">
        <f t="shared" si="159"/>
        <v>71840</v>
      </c>
      <c r="AI274" s="49" t="str">
        <f t="shared" si="159"/>
        <v>A6</v>
      </c>
      <c r="AJ274" s="49" t="str">
        <f t="shared" si="167"/>
        <v>A6</v>
      </c>
      <c r="AK274" s="50">
        <f t="shared" si="157"/>
        <v>73860.5</v>
      </c>
      <c r="AL274" s="49" t="str">
        <f t="shared" si="180"/>
        <v>A6</v>
      </c>
      <c r="AM274" s="50">
        <f t="shared" si="168"/>
        <v>73860.5</v>
      </c>
      <c r="AN274" s="56">
        <f t="shared" si="181"/>
        <v>3220</v>
      </c>
      <c r="AO274" s="57">
        <f t="shared" si="182"/>
        <v>73450</v>
      </c>
      <c r="AP274" s="23">
        <f t="shared" si="169"/>
        <v>70230</v>
      </c>
      <c r="AQ274" s="23">
        <f t="shared" si="170"/>
        <v>75060</v>
      </c>
      <c r="AR274" s="23">
        <f t="shared" si="171"/>
        <v>68620</v>
      </c>
      <c r="AS274" s="23">
        <f t="shared" si="172"/>
        <v>72645</v>
      </c>
      <c r="AT274" s="23">
        <f t="shared" si="173"/>
        <v>71035</v>
      </c>
      <c r="AU274" s="23">
        <f t="shared" si="174"/>
        <v>78280</v>
      </c>
      <c r="AV274" s="23">
        <f t="shared" si="175"/>
        <v>65400</v>
      </c>
      <c r="AW274" s="23">
        <f t="shared" si="176"/>
        <v>72376.666666666672</v>
      </c>
      <c r="AX274" s="23">
        <f t="shared" si="177"/>
        <v>71303.333333333328</v>
      </c>
      <c r="AY274" s="23">
        <f t="shared" si="178"/>
        <v>81500</v>
      </c>
      <c r="AZ274" s="23">
        <f t="shared" si="179"/>
        <v>62180</v>
      </c>
      <c r="BA274" s="23">
        <f t="shared" si="186"/>
        <v>73685.25</v>
      </c>
      <c r="BB274" s="43"/>
      <c r="BC274" s="51">
        <f t="shared" si="161"/>
        <v>71840</v>
      </c>
      <c r="BD274" s="52">
        <f t="shared" si="165"/>
        <v>73685.25</v>
      </c>
      <c r="BE274" s="37">
        <f t="shared" si="183"/>
        <v>-1845.25</v>
      </c>
      <c r="BF274">
        <f t="shared" si="184"/>
        <v>1845.25</v>
      </c>
      <c r="BG274">
        <f t="shared" si="185"/>
        <v>2.5685551224944321E-2</v>
      </c>
    </row>
    <row r="275" spans="1:59">
      <c r="A275" s="1" t="s">
        <v>276</v>
      </c>
      <c r="B275" s="1">
        <v>70180</v>
      </c>
      <c r="Q275">
        <v>272</v>
      </c>
      <c r="R275" s="27" t="str">
        <f t="shared" si="162"/>
        <v>29/05/2024</v>
      </c>
      <c r="S275" s="27">
        <f t="shared" si="162"/>
        <v>70780</v>
      </c>
      <c r="T275" s="4" t="str">
        <f t="shared" si="163"/>
        <v>A5</v>
      </c>
      <c r="V275">
        <v>272</v>
      </c>
      <c r="W275" s="28" t="str">
        <f t="shared" si="160"/>
        <v>29/05/2024</v>
      </c>
      <c r="X275" s="28">
        <f t="shared" si="160"/>
        <v>70780</v>
      </c>
      <c r="Y275" s="28" t="str">
        <f t="shared" si="160"/>
        <v>A5</v>
      </c>
      <c r="Z275" s="5" t="str">
        <f t="shared" si="166"/>
        <v>A6</v>
      </c>
      <c r="AA275" s="5" t="str">
        <f t="shared" si="164"/>
        <v>A5</v>
      </c>
      <c r="AG275" s="49" t="str">
        <f t="shared" si="159"/>
        <v>29/05/2024</v>
      </c>
      <c r="AH275" s="46">
        <f t="shared" si="159"/>
        <v>70780</v>
      </c>
      <c r="AI275" s="49" t="str">
        <f t="shared" si="159"/>
        <v>A5</v>
      </c>
      <c r="AJ275" s="49" t="str">
        <f t="shared" si="167"/>
        <v>A6</v>
      </c>
      <c r="AK275" s="50">
        <f t="shared" si="157"/>
        <v>73860.5</v>
      </c>
      <c r="AL275" s="49" t="str">
        <f t="shared" si="180"/>
        <v>A5</v>
      </c>
      <c r="AM275" s="50">
        <f t="shared" si="168"/>
        <v>67829.5</v>
      </c>
      <c r="AN275" s="56">
        <f t="shared" si="181"/>
        <v>770</v>
      </c>
      <c r="AO275" s="57">
        <f t="shared" si="182"/>
        <v>71165</v>
      </c>
      <c r="AP275" s="23">
        <f t="shared" si="169"/>
        <v>70395</v>
      </c>
      <c r="AQ275" s="23">
        <f t="shared" si="170"/>
        <v>71550</v>
      </c>
      <c r="AR275" s="23">
        <f t="shared" si="171"/>
        <v>70010</v>
      </c>
      <c r="AS275" s="23">
        <f t="shared" si="172"/>
        <v>70972.5</v>
      </c>
      <c r="AT275" s="23">
        <f t="shared" si="173"/>
        <v>70587.5</v>
      </c>
      <c r="AU275" s="23">
        <f t="shared" si="174"/>
        <v>72320</v>
      </c>
      <c r="AV275" s="23">
        <f t="shared" si="175"/>
        <v>69240</v>
      </c>
      <c r="AW275" s="23">
        <f t="shared" si="176"/>
        <v>70908.333333333328</v>
      </c>
      <c r="AX275" s="23">
        <f t="shared" si="177"/>
        <v>70651.666666666672</v>
      </c>
      <c r="AY275" s="23">
        <f t="shared" si="178"/>
        <v>73090</v>
      </c>
      <c r="AZ275" s="23">
        <f t="shared" si="179"/>
        <v>68470</v>
      </c>
      <c r="BA275" s="23">
        <f t="shared" si="186"/>
        <v>73655.25</v>
      </c>
      <c r="BB275" s="43"/>
      <c r="BC275" s="51">
        <f t="shared" si="161"/>
        <v>70780</v>
      </c>
      <c r="BD275" s="52">
        <f t="shared" si="165"/>
        <v>73655.25</v>
      </c>
      <c r="BE275" s="37">
        <f t="shared" si="183"/>
        <v>-2875.25</v>
      </c>
      <c r="BF275">
        <f t="shared" si="184"/>
        <v>2875.25</v>
      </c>
      <c r="BG275">
        <f t="shared" si="185"/>
        <v>4.0622350946595082E-2</v>
      </c>
    </row>
    <row r="276" spans="1:59">
      <c r="A276" s="1" t="s">
        <v>277</v>
      </c>
      <c r="B276" s="1">
        <v>70090</v>
      </c>
      <c r="Q276">
        <v>273</v>
      </c>
      <c r="R276" s="27" t="str">
        <f t="shared" si="162"/>
        <v>30/05/2024</v>
      </c>
      <c r="S276" s="27">
        <f t="shared" si="162"/>
        <v>70440</v>
      </c>
      <c r="T276" s="4" t="str">
        <f t="shared" si="163"/>
        <v>A5</v>
      </c>
      <c r="V276">
        <v>273</v>
      </c>
      <c r="W276" s="28" t="str">
        <f t="shared" si="160"/>
        <v>30/05/2024</v>
      </c>
      <c r="X276" s="28">
        <f t="shared" si="160"/>
        <v>70440</v>
      </c>
      <c r="Y276" s="28" t="str">
        <f t="shared" si="160"/>
        <v>A5</v>
      </c>
      <c r="Z276" s="5" t="str">
        <f t="shared" si="166"/>
        <v>A5</v>
      </c>
      <c r="AA276" s="5" t="str">
        <f t="shared" si="164"/>
        <v>A5</v>
      </c>
      <c r="AG276" s="49" t="str">
        <f t="shared" si="159"/>
        <v>30/05/2024</v>
      </c>
      <c r="AH276" s="46">
        <f t="shared" si="159"/>
        <v>70440</v>
      </c>
      <c r="AI276" s="49" t="str">
        <f t="shared" si="159"/>
        <v>A5</v>
      </c>
      <c r="AJ276" s="49" t="str">
        <f t="shared" si="167"/>
        <v>A5</v>
      </c>
      <c r="AK276" s="50">
        <f t="shared" si="157"/>
        <v>67829.5</v>
      </c>
      <c r="AL276" s="49" t="str">
        <f t="shared" si="180"/>
        <v>A5</v>
      </c>
      <c r="AM276" s="50">
        <f t="shared" si="168"/>
        <v>67829.5</v>
      </c>
      <c r="AN276" s="56">
        <f t="shared" si="181"/>
        <v>720</v>
      </c>
      <c r="AO276" s="57">
        <f t="shared" si="182"/>
        <v>70800</v>
      </c>
      <c r="AP276" s="23">
        <f t="shared" si="169"/>
        <v>70080</v>
      </c>
      <c r="AQ276" s="23">
        <f t="shared" si="170"/>
        <v>71160</v>
      </c>
      <c r="AR276" s="23">
        <f t="shared" si="171"/>
        <v>69720</v>
      </c>
      <c r="AS276" s="23">
        <f t="shared" si="172"/>
        <v>70620</v>
      </c>
      <c r="AT276" s="23">
        <f t="shared" si="173"/>
        <v>70260</v>
      </c>
      <c r="AU276" s="23">
        <f t="shared" si="174"/>
        <v>71880</v>
      </c>
      <c r="AV276" s="23">
        <f t="shared" si="175"/>
        <v>69000</v>
      </c>
      <c r="AW276" s="23">
        <f t="shared" si="176"/>
        <v>70560</v>
      </c>
      <c r="AX276" s="23">
        <f t="shared" si="177"/>
        <v>70320</v>
      </c>
      <c r="AY276" s="23">
        <f t="shared" si="178"/>
        <v>72600</v>
      </c>
      <c r="AZ276" s="23">
        <f t="shared" si="179"/>
        <v>68280</v>
      </c>
      <c r="BA276" s="23">
        <f t="shared" si="186"/>
        <v>69497.25</v>
      </c>
      <c r="BB276" s="43"/>
      <c r="BC276" s="51">
        <f t="shared" si="161"/>
        <v>70440</v>
      </c>
      <c r="BD276" s="52">
        <f t="shared" si="165"/>
        <v>69497.25</v>
      </c>
      <c r="BE276" s="37">
        <f t="shared" si="183"/>
        <v>942.75</v>
      </c>
      <c r="BF276">
        <f t="shared" si="184"/>
        <v>942.75</v>
      </c>
      <c r="BG276">
        <f t="shared" si="185"/>
        <v>1.3383730834752982E-2</v>
      </c>
    </row>
    <row r="277" spans="1:59">
      <c r="A277" s="1" t="s">
        <v>278</v>
      </c>
      <c r="B277" s="1">
        <v>71120</v>
      </c>
      <c r="Q277">
        <v>274</v>
      </c>
      <c r="R277" s="27" t="str">
        <f t="shared" si="162"/>
        <v>31/05/2024</v>
      </c>
      <c r="S277" s="27">
        <f t="shared" si="162"/>
        <v>70180</v>
      </c>
      <c r="T277" s="4" t="str">
        <f t="shared" si="163"/>
        <v>A5</v>
      </c>
      <c r="V277">
        <v>274</v>
      </c>
      <c r="W277" s="28" t="str">
        <f t="shared" si="160"/>
        <v>31/05/2024</v>
      </c>
      <c r="X277" s="28">
        <f t="shared" si="160"/>
        <v>70180</v>
      </c>
      <c r="Y277" s="28" t="str">
        <f t="shared" si="160"/>
        <v>A5</v>
      </c>
      <c r="Z277" s="5" t="str">
        <f t="shared" si="166"/>
        <v>A5</v>
      </c>
      <c r="AA277" s="5" t="str">
        <f t="shared" si="164"/>
        <v>A5</v>
      </c>
      <c r="AG277" s="49" t="str">
        <f t="shared" si="159"/>
        <v>31/05/2024</v>
      </c>
      <c r="AH277" s="46">
        <f t="shared" si="159"/>
        <v>70180</v>
      </c>
      <c r="AI277" s="49" t="str">
        <f t="shared" si="159"/>
        <v>A5</v>
      </c>
      <c r="AJ277" s="49" t="str">
        <f t="shared" si="167"/>
        <v>A5</v>
      </c>
      <c r="AK277" s="50">
        <f t="shared" si="157"/>
        <v>67829.5</v>
      </c>
      <c r="AL277" s="49" t="str">
        <f t="shared" si="180"/>
        <v>A5</v>
      </c>
      <c r="AM277" s="50">
        <f t="shared" si="168"/>
        <v>67829.5</v>
      </c>
      <c r="AN277" s="56">
        <f t="shared" si="181"/>
        <v>80</v>
      </c>
      <c r="AO277" s="57">
        <f t="shared" si="182"/>
        <v>70220</v>
      </c>
      <c r="AP277" s="23">
        <f t="shared" si="169"/>
        <v>70140</v>
      </c>
      <c r="AQ277" s="23">
        <f t="shared" si="170"/>
        <v>70260</v>
      </c>
      <c r="AR277" s="23">
        <f t="shared" si="171"/>
        <v>70100</v>
      </c>
      <c r="AS277" s="23">
        <f t="shared" si="172"/>
        <v>70200</v>
      </c>
      <c r="AT277" s="23">
        <f t="shared" si="173"/>
        <v>70160</v>
      </c>
      <c r="AU277" s="23">
        <f t="shared" si="174"/>
        <v>70340</v>
      </c>
      <c r="AV277" s="23">
        <f t="shared" si="175"/>
        <v>70020</v>
      </c>
      <c r="AW277" s="23">
        <f t="shared" si="176"/>
        <v>70193.333333333328</v>
      </c>
      <c r="AX277" s="23">
        <f t="shared" si="177"/>
        <v>70166.666666666672</v>
      </c>
      <c r="AY277" s="23">
        <f t="shared" si="178"/>
        <v>70420</v>
      </c>
      <c r="AZ277" s="23">
        <f t="shared" si="179"/>
        <v>69940</v>
      </c>
      <c r="BA277" s="23">
        <f t="shared" si="186"/>
        <v>69314.75</v>
      </c>
      <c r="BB277" s="43"/>
      <c r="BC277" s="51">
        <f t="shared" si="161"/>
        <v>70180</v>
      </c>
      <c r="BD277" s="52">
        <f t="shared" si="165"/>
        <v>69314.75</v>
      </c>
      <c r="BE277" s="37">
        <f t="shared" si="183"/>
        <v>865.25</v>
      </c>
      <c r="BF277">
        <f t="shared" si="184"/>
        <v>865.25</v>
      </c>
      <c r="BG277">
        <f t="shared" si="185"/>
        <v>1.2329011114277573E-2</v>
      </c>
    </row>
    <row r="278" spans="1:59">
      <c r="A278" s="1" t="s">
        <v>279</v>
      </c>
      <c r="B278" s="1">
        <v>71110</v>
      </c>
      <c r="Q278">
        <v>275</v>
      </c>
      <c r="R278" s="27" t="str">
        <f t="shared" si="162"/>
        <v>01/06/2024</v>
      </c>
      <c r="S278" s="27">
        <f t="shared" si="162"/>
        <v>70090</v>
      </c>
      <c r="T278" s="4" t="str">
        <f t="shared" si="163"/>
        <v>A5</v>
      </c>
      <c r="V278">
        <v>275</v>
      </c>
      <c r="W278" s="28" t="str">
        <f t="shared" si="160"/>
        <v>01/06/2024</v>
      </c>
      <c r="X278" s="28">
        <f t="shared" si="160"/>
        <v>70090</v>
      </c>
      <c r="Y278" s="28" t="str">
        <f t="shared" si="160"/>
        <v>A5</v>
      </c>
      <c r="Z278" s="5" t="str">
        <f t="shared" si="166"/>
        <v>A5</v>
      </c>
      <c r="AA278" s="5" t="str">
        <f t="shared" si="164"/>
        <v>A5</v>
      </c>
      <c r="AG278" s="49" t="str">
        <f t="shared" si="159"/>
        <v>01/06/2024</v>
      </c>
      <c r="AH278" s="46">
        <f t="shared" si="159"/>
        <v>70090</v>
      </c>
      <c r="AI278" s="49" t="str">
        <f t="shared" si="159"/>
        <v>A5</v>
      </c>
      <c r="AJ278" s="49" t="str">
        <f t="shared" si="167"/>
        <v>A5</v>
      </c>
      <c r="AK278" s="50">
        <f t="shared" si="157"/>
        <v>67829.5</v>
      </c>
      <c r="AL278" s="49" t="str">
        <f t="shared" si="180"/>
        <v>A5</v>
      </c>
      <c r="AM278" s="50">
        <f t="shared" si="168"/>
        <v>67829.5</v>
      </c>
      <c r="AN278" s="56">
        <f t="shared" si="181"/>
        <v>170</v>
      </c>
      <c r="AO278" s="57">
        <f t="shared" si="182"/>
        <v>70175</v>
      </c>
      <c r="AP278" s="23">
        <f t="shared" si="169"/>
        <v>70005</v>
      </c>
      <c r="AQ278" s="23">
        <f t="shared" si="170"/>
        <v>70260</v>
      </c>
      <c r="AR278" s="23">
        <f t="shared" si="171"/>
        <v>69920</v>
      </c>
      <c r="AS278" s="23">
        <f t="shared" si="172"/>
        <v>70132.5</v>
      </c>
      <c r="AT278" s="23">
        <f t="shared" si="173"/>
        <v>70047.5</v>
      </c>
      <c r="AU278" s="23">
        <f t="shared" si="174"/>
        <v>70430</v>
      </c>
      <c r="AV278" s="23">
        <f t="shared" si="175"/>
        <v>69750</v>
      </c>
      <c r="AW278" s="23">
        <f t="shared" si="176"/>
        <v>70118.333333333328</v>
      </c>
      <c r="AX278" s="23">
        <f t="shared" si="177"/>
        <v>70061.666666666672</v>
      </c>
      <c r="AY278" s="23">
        <f t="shared" si="178"/>
        <v>70600</v>
      </c>
      <c r="AZ278" s="23">
        <f t="shared" si="179"/>
        <v>69580</v>
      </c>
      <c r="BA278" s="23">
        <f t="shared" si="186"/>
        <v>69024.75</v>
      </c>
      <c r="BB278" s="43"/>
      <c r="BC278" s="51">
        <f t="shared" si="161"/>
        <v>70090</v>
      </c>
      <c r="BD278" s="52">
        <f t="shared" si="165"/>
        <v>69024.75</v>
      </c>
      <c r="BE278" s="37">
        <f t="shared" si="183"/>
        <v>1065.25</v>
      </c>
      <c r="BF278">
        <f t="shared" si="184"/>
        <v>1065.25</v>
      </c>
      <c r="BG278">
        <f t="shared" si="185"/>
        <v>1.5198316450278214E-2</v>
      </c>
    </row>
    <row r="279" spans="1:59">
      <c r="A279" s="1" t="s">
        <v>280</v>
      </c>
      <c r="B279" s="1">
        <v>70930</v>
      </c>
      <c r="Q279">
        <v>276</v>
      </c>
      <c r="R279" s="27" t="str">
        <f t="shared" si="162"/>
        <v>02/06/2024</v>
      </c>
      <c r="S279" s="27">
        <f t="shared" si="162"/>
        <v>71120</v>
      </c>
      <c r="T279" s="4" t="str">
        <f t="shared" si="163"/>
        <v>A6</v>
      </c>
      <c r="V279">
        <v>276</v>
      </c>
      <c r="W279" s="28" t="str">
        <f t="shared" si="160"/>
        <v>02/06/2024</v>
      </c>
      <c r="X279" s="28">
        <f t="shared" si="160"/>
        <v>71120</v>
      </c>
      <c r="Y279" s="28" t="str">
        <f t="shared" si="160"/>
        <v>A6</v>
      </c>
      <c r="Z279" s="5" t="str">
        <f t="shared" si="166"/>
        <v>A5</v>
      </c>
      <c r="AA279" s="5" t="str">
        <f t="shared" si="164"/>
        <v>A6</v>
      </c>
      <c r="AG279" s="49" t="str">
        <f t="shared" si="159"/>
        <v>02/06/2024</v>
      </c>
      <c r="AH279" s="46">
        <f t="shared" si="159"/>
        <v>71120</v>
      </c>
      <c r="AI279" s="49" t="str">
        <f t="shared" si="159"/>
        <v>A6</v>
      </c>
      <c r="AJ279" s="49" t="str">
        <f t="shared" si="167"/>
        <v>A5</v>
      </c>
      <c r="AK279" s="50">
        <f t="shared" si="157"/>
        <v>67829.5</v>
      </c>
      <c r="AL279" s="49" t="str">
        <f t="shared" si="180"/>
        <v>A6</v>
      </c>
      <c r="AM279" s="50">
        <f t="shared" si="168"/>
        <v>73860.5</v>
      </c>
      <c r="AN279" s="56">
        <f t="shared" si="181"/>
        <v>940</v>
      </c>
      <c r="AO279" s="57">
        <f t="shared" si="182"/>
        <v>71590</v>
      </c>
      <c r="AP279" s="23">
        <f t="shared" si="169"/>
        <v>70650</v>
      </c>
      <c r="AQ279" s="23">
        <f t="shared" si="170"/>
        <v>72060</v>
      </c>
      <c r="AR279" s="23">
        <f t="shared" si="171"/>
        <v>70180</v>
      </c>
      <c r="AS279" s="23">
        <f t="shared" si="172"/>
        <v>71355</v>
      </c>
      <c r="AT279" s="23">
        <f t="shared" si="173"/>
        <v>70885</v>
      </c>
      <c r="AU279" s="23">
        <f t="shared" si="174"/>
        <v>73000</v>
      </c>
      <c r="AV279" s="23">
        <f t="shared" si="175"/>
        <v>69240</v>
      </c>
      <c r="AW279" s="23">
        <f t="shared" si="176"/>
        <v>71276.666666666672</v>
      </c>
      <c r="AX279" s="23">
        <f t="shared" si="177"/>
        <v>70963.333333333328</v>
      </c>
      <c r="AY279" s="23">
        <f t="shared" si="178"/>
        <v>73940</v>
      </c>
      <c r="AZ279" s="23">
        <f t="shared" si="179"/>
        <v>68300</v>
      </c>
      <c r="BA279" s="23">
        <f t="shared" si="186"/>
        <v>69002.25</v>
      </c>
      <c r="BB279" s="43"/>
      <c r="BC279" s="51">
        <f t="shared" si="161"/>
        <v>71120</v>
      </c>
      <c r="BD279" s="52">
        <f t="shared" si="165"/>
        <v>69002.25</v>
      </c>
      <c r="BE279" s="37">
        <f t="shared" si="183"/>
        <v>2117.75</v>
      </c>
      <c r="BF279">
        <f t="shared" si="184"/>
        <v>2117.75</v>
      </c>
      <c r="BG279">
        <f t="shared" si="185"/>
        <v>2.9777137232845894E-2</v>
      </c>
    </row>
    <row r="280" spans="1:59">
      <c r="A280" s="1" t="s">
        <v>281</v>
      </c>
      <c r="B280" s="1">
        <v>68580</v>
      </c>
      <c r="Q280">
        <v>277</v>
      </c>
      <c r="R280" s="27" t="str">
        <f t="shared" si="162"/>
        <v>03/06/2024</v>
      </c>
      <c r="S280" s="27">
        <f t="shared" si="162"/>
        <v>71110</v>
      </c>
      <c r="T280" s="4" t="str">
        <f t="shared" si="163"/>
        <v>A6</v>
      </c>
      <c r="V280">
        <v>277</v>
      </c>
      <c r="W280" s="28" t="str">
        <f t="shared" si="160"/>
        <v>03/06/2024</v>
      </c>
      <c r="X280" s="28">
        <f t="shared" si="160"/>
        <v>71110</v>
      </c>
      <c r="Y280" s="28" t="str">
        <f t="shared" si="160"/>
        <v>A6</v>
      </c>
      <c r="Z280" s="5" t="str">
        <f>Y279</f>
        <v>A6</v>
      </c>
      <c r="AA280" s="5" t="str">
        <f t="shared" si="164"/>
        <v>A6</v>
      </c>
      <c r="AG280" s="49" t="str">
        <f t="shared" si="159"/>
        <v>03/06/2024</v>
      </c>
      <c r="AH280" s="46">
        <f t="shared" si="159"/>
        <v>71110</v>
      </c>
      <c r="AI280" s="49" t="str">
        <f t="shared" si="159"/>
        <v>A6</v>
      </c>
      <c r="AJ280" s="49" t="str">
        <f t="shared" si="167"/>
        <v>A6</v>
      </c>
      <c r="AK280" s="50">
        <f t="shared" si="157"/>
        <v>73860.5</v>
      </c>
      <c r="AL280" s="49" t="str">
        <f t="shared" si="180"/>
        <v>A6</v>
      </c>
      <c r="AM280" s="50">
        <f t="shared" si="168"/>
        <v>73860.5</v>
      </c>
      <c r="AN280" s="56">
        <f t="shared" si="181"/>
        <v>1020</v>
      </c>
      <c r="AO280" s="57">
        <f t="shared" si="182"/>
        <v>71620</v>
      </c>
      <c r="AP280" s="23">
        <f t="shared" si="169"/>
        <v>70600</v>
      </c>
      <c r="AQ280" s="23">
        <f t="shared" si="170"/>
        <v>72130</v>
      </c>
      <c r="AR280" s="23">
        <f t="shared" si="171"/>
        <v>70090</v>
      </c>
      <c r="AS280" s="23">
        <f t="shared" si="172"/>
        <v>71365</v>
      </c>
      <c r="AT280" s="23">
        <f t="shared" si="173"/>
        <v>70855</v>
      </c>
      <c r="AU280" s="23">
        <f t="shared" si="174"/>
        <v>73150</v>
      </c>
      <c r="AV280" s="23">
        <f t="shared" si="175"/>
        <v>69070</v>
      </c>
      <c r="AW280" s="23">
        <f t="shared" si="176"/>
        <v>71280</v>
      </c>
      <c r="AX280" s="23">
        <f t="shared" si="177"/>
        <v>70940</v>
      </c>
      <c r="AY280" s="23">
        <f t="shared" si="178"/>
        <v>74170</v>
      </c>
      <c r="AZ280" s="23">
        <f t="shared" si="179"/>
        <v>68050</v>
      </c>
      <c r="BA280" s="23">
        <f t="shared" si="186"/>
        <v>72725.25</v>
      </c>
      <c r="BB280" s="43"/>
      <c r="BC280" s="51">
        <f t="shared" si="161"/>
        <v>71110</v>
      </c>
      <c r="BD280" s="52">
        <f t="shared" si="165"/>
        <v>72725.25</v>
      </c>
      <c r="BE280" s="37">
        <f t="shared" si="183"/>
        <v>-1615.25</v>
      </c>
      <c r="BF280">
        <f t="shared" si="184"/>
        <v>1615.25</v>
      </c>
      <c r="BG280">
        <f t="shared" si="185"/>
        <v>2.2714808043875684E-2</v>
      </c>
    </row>
    <row r="281" spans="1:59">
      <c r="A281" s="1" t="s">
        <v>282</v>
      </c>
      <c r="B281" s="1">
        <v>69810</v>
      </c>
      <c r="Q281">
        <v>278</v>
      </c>
      <c r="R281" s="27" t="str">
        <f t="shared" si="162"/>
        <v>04/06/2024</v>
      </c>
      <c r="S281" s="27">
        <f t="shared" si="162"/>
        <v>70930</v>
      </c>
      <c r="T281" s="4" t="str">
        <f t="shared" si="163"/>
        <v>A6</v>
      </c>
      <c r="V281">
        <v>278</v>
      </c>
      <c r="W281" s="28" t="str">
        <f t="shared" si="160"/>
        <v>04/06/2024</v>
      </c>
      <c r="X281" s="28">
        <f t="shared" si="160"/>
        <v>70930</v>
      </c>
      <c r="Y281" s="28" t="str">
        <f t="shared" si="160"/>
        <v>A6</v>
      </c>
      <c r="Z281" s="5" t="str">
        <f t="shared" ref="Z281:Z344" si="187">Y280</f>
        <v>A6</v>
      </c>
      <c r="AA281" s="5" t="str">
        <f t="shared" si="164"/>
        <v>A6</v>
      </c>
      <c r="AG281" s="49" t="str">
        <f t="shared" si="159"/>
        <v>04/06/2024</v>
      </c>
      <c r="AH281" s="46">
        <f t="shared" si="159"/>
        <v>70930</v>
      </c>
      <c r="AI281" s="49" t="str">
        <f t="shared" si="159"/>
        <v>A6</v>
      </c>
      <c r="AJ281" s="49" t="str">
        <f t="shared" si="167"/>
        <v>A6</v>
      </c>
      <c r="AK281" s="50">
        <f t="shared" si="157"/>
        <v>73860.5</v>
      </c>
      <c r="AL281" s="49" t="str">
        <f t="shared" si="180"/>
        <v>A6</v>
      </c>
      <c r="AM281" s="50">
        <f t="shared" si="168"/>
        <v>73860.5</v>
      </c>
      <c r="AN281" s="56">
        <f t="shared" si="181"/>
        <v>170</v>
      </c>
      <c r="AO281" s="57">
        <f t="shared" si="182"/>
        <v>71015</v>
      </c>
      <c r="AP281" s="23">
        <f t="shared" si="169"/>
        <v>70845</v>
      </c>
      <c r="AQ281" s="23">
        <f t="shared" si="170"/>
        <v>71100</v>
      </c>
      <c r="AR281" s="23">
        <f t="shared" si="171"/>
        <v>70760</v>
      </c>
      <c r="AS281" s="23">
        <f t="shared" si="172"/>
        <v>70972.5</v>
      </c>
      <c r="AT281" s="23">
        <f t="shared" si="173"/>
        <v>70887.5</v>
      </c>
      <c r="AU281" s="23">
        <f t="shared" si="174"/>
        <v>71270</v>
      </c>
      <c r="AV281" s="23">
        <f t="shared" si="175"/>
        <v>70590</v>
      </c>
      <c r="AW281" s="23">
        <f t="shared" si="176"/>
        <v>70958.333333333328</v>
      </c>
      <c r="AX281" s="23">
        <f t="shared" si="177"/>
        <v>70901.666666666672</v>
      </c>
      <c r="AY281" s="23">
        <f t="shared" si="178"/>
        <v>71440</v>
      </c>
      <c r="AZ281" s="23">
        <f t="shared" si="179"/>
        <v>70420</v>
      </c>
      <c r="BA281" s="23">
        <f t="shared" si="186"/>
        <v>72740.25</v>
      </c>
      <c r="BB281" s="43"/>
      <c r="BC281" s="51">
        <f t="shared" si="161"/>
        <v>70930</v>
      </c>
      <c r="BD281" s="52">
        <f t="shared" si="165"/>
        <v>72740.25</v>
      </c>
      <c r="BE281" s="37">
        <f t="shared" si="183"/>
        <v>-1810.25</v>
      </c>
      <c r="BF281">
        <f t="shared" si="184"/>
        <v>1810.25</v>
      </c>
      <c r="BG281">
        <f t="shared" si="185"/>
        <v>2.5521641054560836E-2</v>
      </c>
    </row>
    <row r="282" spans="1:59">
      <c r="A282" s="1" t="s">
        <v>283</v>
      </c>
      <c r="B282" s="1">
        <v>69620</v>
      </c>
      <c r="Q282">
        <v>279</v>
      </c>
      <c r="R282" s="27" t="str">
        <f t="shared" si="162"/>
        <v>05/06/2024</v>
      </c>
      <c r="S282" s="27">
        <f t="shared" si="162"/>
        <v>68580</v>
      </c>
      <c r="T282" s="4" t="str">
        <f t="shared" si="163"/>
        <v>A5</v>
      </c>
      <c r="V282">
        <v>279</v>
      </c>
      <c r="W282" s="28" t="str">
        <f t="shared" si="160"/>
        <v>05/06/2024</v>
      </c>
      <c r="X282" s="28">
        <f t="shared" si="160"/>
        <v>68580</v>
      </c>
      <c r="Y282" s="28" t="str">
        <f t="shared" si="160"/>
        <v>A5</v>
      </c>
      <c r="Z282" s="5" t="str">
        <f t="shared" si="187"/>
        <v>A6</v>
      </c>
      <c r="AA282" s="5" t="str">
        <f t="shared" si="164"/>
        <v>A5</v>
      </c>
      <c r="AG282" s="49" t="str">
        <f t="shared" si="159"/>
        <v>05/06/2024</v>
      </c>
      <c r="AH282" s="46">
        <f t="shared" si="159"/>
        <v>68580</v>
      </c>
      <c r="AI282" s="49" t="str">
        <f t="shared" si="159"/>
        <v>A5</v>
      </c>
      <c r="AJ282" s="49" t="str">
        <f t="shared" si="167"/>
        <v>A6</v>
      </c>
      <c r="AK282" s="50">
        <f t="shared" si="157"/>
        <v>73860.5</v>
      </c>
      <c r="AL282" s="49" t="str">
        <f t="shared" si="180"/>
        <v>A5</v>
      </c>
      <c r="AM282" s="50">
        <f t="shared" si="168"/>
        <v>67829.5</v>
      </c>
      <c r="AN282" s="56">
        <f t="shared" si="181"/>
        <v>2170</v>
      </c>
      <c r="AO282" s="23">
        <f t="shared" si="182"/>
        <v>69665</v>
      </c>
      <c r="AP282" s="57">
        <f t="shared" si="169"/>
        <v>67495</v>
      </c>
      <c r="AQ282" s="23">
        <f t="shared" si="170"/>
        <v>70750</v>
      </c>
      <c r="AR282" s="23">
        <f t="shared" si="171"/>
        <v>66410</v>
      </c>
      <c r="AS282" s="23">
        <f t="shared" si="172"/>
        <v>69122.5</v>
      </c>
      <c r="AT282" s="23">
        <f t="shared" si="173"/>
        <v>68037.5</v>
      </c>
      <c r="AU282" s="23">
        <f t="shared" si="174"/>
        <v>72920</v>
      </c>
      <c r="AV282" s="23">
        <f t="shared" si="175"/>
        <v>64240</v>
      </c>
      <c r="AW282" s="23">
        <f t="shared" si="176"/>
        <v>68941.666666666672</v>
      </c>
      <c r="AX282" s="23">
        <f t="shared" si="177"/>
        <v>68218.333333333328</v>
      </c>
      <c r="AY282" s="23">
        <f t="shared" si="178"/>
        <v>75090</v>
      </c>
      <c r="AZ282" s="23">
        <f t="shared" si="179"/>
        <v>62070</v>
      </c>
      <c r="BA282" s="23">
        <f t="shared" si="186"/>
        <v>72437.75</v>
      </c>
      <c r="BB282" s="43"/>
      <c r="BC282" s="51">
        <f t="shared" si="161"/>
        <v>68580</v>
      </c>
      <c r="BD282" s="52">
        <f t="shared" si="165"/>
        <v>72437.75</v>
      </c>
      <c r="BE282" s="37">
        <f t="shared" si="183"/>
        <v>-3857.75</v>
      </c>
      <c r="BF282">
        <f t="shared" si="184"/>
        <v>3857.75</v>
      </c>
      <c r="BG282">
        <f t="shared" si="185"/>
        <v>5.6251822688830562E-2</v>
      </c>
    </row>
    <row r="283" spans="1:59">
      <c r="A283" s="1" t="s">
        <v>284</v>
      </c>
      <c r="B283" s="1">
        <v>70180</v>
      </c>
      <c r="Q283">
        <v>280</v>
      </c>
      <c r="R283" s="27" t="str">
        <f t="shared" si="162"/>
        <v>06/06/2024</v>
      </c>
      <c r="S283" s="27">
        <f t="shared" si="162"/>
        <v>69810</v>
      </c>
      <c r="T283" s="4" t="str">
        <f t="shared" si="163"/>
        <v>A5</v>
      </c>
      <c r="V283">
        <v>280</v>
      </c>
      <c r="W283" s="28" t="str">
        <f t="shared" si="160"/>
        <v>06/06/2024</v>
      </c>
      <c r="X283" s="28">
        <f t="shared" si="160"/>
        <v>69810</v>
      </c>
      <c r="Y283" s="28" t="str">
        <f t="shared" si="160"/>
        <v>A5</v>
      </c>
      <c r="Z283" s="5" t="str">
        <f t="shared" si="187"/>
        <v>A5</v>
      </c>
      <c r="AA283" s="5" t="str">
        <f t="shared" si="164"/>
        <v>A5</v>
      </c>
      <c r="AG283" s="49" t="str">
        <f t="shared" si="159"/>
        <v>06/06/2024</v>
      </c>
      <c r="AH283" s="46">
        <f t="shared" si="159"/>
        <v>69810</v>
      </c>
      <c r="AI283" s="49" t="str">
        <f t="shared" si="159"/>
        <v>A5</v>
      </c>
      <c r="AJ283" s="49" t="str">
        <f t="shared" si="167"/>
        <v>A5</v>
      </c>
      <c r="AK283" s="50">
        <f t="shared" si="157"/>
        <v>67829.5</v>
      </c>
      <c r="AL283" s="49" t="str">
        <f t="shared" si="180"/>
        <v>A5</v>
      </c>
      <c r="AM283" s="50">
        <f t="shared" si="168"/>
        <v>67829.5</v>
      </c>
      <c r="AN283" s="56">
        <f t="shared" si="181"/>
        <v>1120</v>
      </c>
      <c r="AO283" s="57">
        <f t="shared" si="182"/>
        <v>70370</v>
      </c>
      <c r="AP283" s="23">
        <f t="shared" si="169"/>
        <v>69250</v>
      </c>
      <c r="AQ283" s="23">
        <f t="shared" si="170"/>
        <v>70930</v>
      </c>
      <c r="AR283" s="23">
        <f t="shared" si="171"/>
        <v>68690</v>
      </c>
      <c r="AS283" s="23">
        <f t="shared" si="172"/>
        <v>70090</v>
      </c>
      <c r="AT283" s="23">
        <f t="shared" si="173"/>
        <v>69530</v>
      </c>
      <c r="AU283" s="23">
        <f t="shared" si="174"/>
        <v>72050</v>
      </c>
      <c r="AV283" s="23">
        <f t="shared" si="175"/>
        <v>67570</v>
      </c>
      <c r="AW283" s="23">
        <f t="shared" si="176"/>
        <v>69996.666666666672</v>
      </c>
      <c r="AX283" s="23">
        <f t="shared" si="177"/>
        <v>69623.333333333328</v>
      </c>
      <c r="AY283" s="23">
        <f t="shared" si="178"/>
        <v>73170</v>
      </c>
      <c r="AZ283" s="23">
        <f t="shared" si="179"/>
        <v>66450</v>
      </c>
      <c r="BA283" s="23">
        <f>(AP282+AM282)/(1+1)</f>
        <v>67662.25</v>
      </c>
      <c r="BB283" s="43"/>
      <c r="BC283" s="51">
        <f t="shared" si="161"/>
        <v>69810</v>
      </c>
      <c r="BD283" s="52">
        <f t="shared" si="165"/>
        <v>67662.25</v>
      </c>
      <c r="BE283" s="37">
        <f t="shared" si="183"/>
        <v>2147.75</v>
      </c>
      <c r="BF283">
        <f t="shared" si="184"/>
        <v>2147.75</v>
      </c>
      <c r="BG283">
        <f t="shared" si="185"/>
        <v>3.0765649620398225E-2</v>
      </c>
    </row>
    <row r="284" spans="1:59">
      <c r="A284" s="1" t="s">
        <v>285</v>
      </c>
      <c r="B284" s="1">
        <v>70350</v>
      </c>
      <c r="Q284">
        <v>281</v>
      </c>
      <c r="R284" s="27" t="str">
        <f t="shared" si="162"/>
        <v>07/06/2024</v>
      </c>
      <c r="S284" s="27">
        <f t="shared" si="162"/>
        <v>69620</v>
      </c>
      <c r="T284" s="4" t="str">
        <f t="shared" si="163"/>
        <v>A5</v>
      </c>
      <c r="V284">
        <v>281</v>
      </c>
      <c r="W284" s="28" t="str">
        <f t="shared" si="160"/>
        <v>07/06/2024</v>
      </c>
      <c r="X284" s="28">
        <f t="shared" si="160"/>
        <v>69620</v>
      </c>
      <c r="Y284" s="28" t="str">
        <f t="shared" si="160"/>
        <v>A5</v>
      </c>
      <c r="Z284" s="5" t="str">
        <f t="shared" si="187"/>
        <v>A5</v>
      </c>
      <c r="AA284" s="5" t="str">
        <f t="shared" si="164"/>
        <v>A5</v>
      </c>
      <c r="AG284" s="49" t="str">
        <f t="shared" si="159"/>
        <v>07/06/2024</v>
      </c>
      <c r="AH284" s="46">
        <f t="shared" si="159"/>
        <v>69620</v>
      </c>
      <c r="AI284" s="49" t="str">
        <f t="shared" si="159"/>
        <v>A5</v>
      </c>
      <c r="AJ284" s="49" t="str">
        <f t="shared" si="167"/>
        <v>A5</v>
      </c>
      <c r="AK284" s="50">
        <f t="shared" si="157"/>
        <v>67829.5</v>
      </c>
      <c r="AL284" s="49" t="str">
        <f t="shared" si="180"/>
        <v>A5</v>
      </c>
      <c r="AM284" s="50">
        <f t="shared" si="168"/>
        <v>67829.5</v>
      </c>
      <c r="AN284" s="56">
        <f t="shared" si="181"/>
        <v>1040</v>
      </c>
      <c r="AO284" s="57">
        <f t="shared" si="182"/>
        <v>70140</v>
      </c>
      <c r="AP284" s="23">
        <f t="shared" si="169"/>
        <v>69100</v>
      </c>
      <c r="AQ284" s="23">
        <f t="shared" si="170"/>
        <v>70660</v>
      </c>
      <c r="AR284" s="23">
        <f t="shared" si="171"/>
        <v>68580</v>
      </c>
      <c r="AS284" s="23">
        <f t="shared" si="172"/>
        <v>69880</v>
      </c>
      <c r="AT284" s="23">
        <f t="shared" si="173"/>
        <v>69360</v>
      </c>
      <c r="AU284" s="23">
        <f t="shared" si="174"/>
        <v>71700</v>
      </c>
      <c r="AV284" s="23">
        <f t="shared" si="175"/>
        <v>67540</v>
      </c>
      <c r="AW284" s="23">
        <f t="shared" si="176"/>
        <v>69793.333333333328</v>
      </c>
      <c r="AX284" s="23">
        <f t="shared" si="177"/>
        <v>69446.666666666672</v>
      </c>
      <c r="AY284" s="23">
        <f t="shared" si="178"/>
        <v>72740</v>
      </c>
      <c r="AZ284" s="23">
        <f t="shared" si="179"/>
        <v>66500</v>
      </c>
      <c r="BA284" s="23">
        <f t="shared" ref="BA284:BA311" si="188">(AO283+AM283)/(1+1)</f>
        <v>69099.75</v>
      </c>
      <c r="BB284" s="43"/>
      <c r="BC284" s="51">
        <f t="shared" si="161"/>
        <v>69620</v>
      </c>
      <c r="BD284" s="52">
        <f t="shared" si="165"/>
        <v>69099.75</v>
      </c>
      <c r="BE284" s="37">
        <f t="shared" si="183"/>
        <v>520.25</v>
      </c>
      <c r="BF284">
        <f t="shared" si="184"/>
        <v>520.25</v>
      </c>
      <c r="BG284">
        <f t="shared" si="185"/>
        <v>7.4727089916690609E-3</v>
      </c>
    </row>
    <row r="285" spans="1:59">
      <c r="A285" s="1" t="s">
        <v>286</v>
      </c>
      <c r="B285" s="1">
        <v>70360</v>
      </c>
      <c r="Q285">
        <v>282</v>
      </c>
      <c r="R285" s="27" t="str">
        <f t="shared" si="162"/>
        <v>08/06/2024</v>
      </c>
      <c r="S285" s="27">
        <f t="shared" si="162"/>
        <v>70180</v>
      </c>
      <c r="T285" s="4" t="str">
        <f t="shared" si="163"/>
        <v>A5</v>
      </c>
      <c r="V285">
        <v>282</v>
      </c>
      <c r="W285" s="28" t="str">
        <f t="shared" si="160"/>
        <v>08/06/2024</v>
      </c>
      <c r="X285" s="28">
        <f t="shared" si="160"/>
        <v>70180</v>
      </c>
      <c r="Y285" s="28" t="str">
        <f t="shared" si="160"/>
        <v>A5</v>
      </c>
      <c r="Z285" s="5" t="str">
        <f t="shared" si="187"/>
        <v>A5</v>
      </c>
      <c r="AA285" s="5" t="str">
        <f t="shared" si="164"/>
        <v>A5</v>
      </c>
      <c r="AG285" s="49" t="str">
        <f t="shared" si="159"/>
        <v>08/06/2024</v>
      </c>
      <c r="AH285" s="46">
        <f t="shared" si="159"/>
        <v>70180</v>
      </c>
      <c r="AI285" s="49" t="str">
        <f t="shared" si="159"/>
        <v>A5</v>
      </c>
      <c r="AJ285" s="49" t="str">
        <f t="shared" si="167"/>
        <v>A5</v>
      </c>
      <c r="AK285" s="50">
        <f t="shared" si="157"/>
        <v>67829.5</v>
      </c>
      <c r="AL285" s="49" t="str">
        <f t="shared" si="180"/>
        <v>A5</v>
      </c>
      <c r="AM285" s="50">
        <f t="shared" si="168"/>
        <v>67829.5</v>
      </c>
      <c r="AN285" s="56">
        <f t="shared" si="181"/>
        <v>370</v>
      </c>
      <c r="AO285" s="57">
        <f t="shared" si="182"/>
        <v>70365</v>
      </c>
      <c r="AP285" s="23">
        <f t="shared" si="169"/>
        <v>69995</v>
      </c>
      <c r="AQ285" s="23">
        <f t="shared" si="170"/>
        <v>70550</v>
      </c>
      <c r="AR285" s="23">
        <f t="shared" si="171"/>
        <v>69810</v>
      </c>
      <c r="AS285" s="23">
        <f t="shared" si="172"/>
        <v>70272.5</v>
      </c>
      <c r="AT285" s="23">
        <f t="shared" si="173"/>
        <v>70087.5</v>
      </c>
      <c r="AU285" s="23">
        <f t="shared" si="174"/>
        <v>70920</v>
      </c>
      <c r="AV285" s="23">
        <f t="shared" si="175"/>
        <v>69440</v>
      </c>
      <c r="AW285" s="23">
        <f t="shared" si="176"/>
        <v>70241.666666666672</v>
      </c>
      <c r="AX285" s="23">
        <f t="shared" si="177"/>
        <v>70118.333333333328</v>
      </c>
      <c r="AY285" s="23">
        <f t="shared" si="178"/>
        <v>71290</v>
      </c>
      <c r="AZ285" s="23">
        <f t="shared" si="179"/>
        <v>69070</v>
      </c>
      <c r="BA285" s="23">
        <f t="shared" si="188"/>
        <v>68984.75</v>
      </c>
      <c r="BB285" s="43"/>
      <c r="BC285" s="51">
        <f t="shared" si="161"/>
        <v>70180</v>
      </c>
      <c r="BD285" s="52">
        <f t="shared" si="165"/>
        <v>68984.75</v>
      </c>
      <c r="BE285" s="37">
        <f t="shared" si="183"/>
        <v>1195.25</v>
      </c>
      <c r="BF285">
        <f t="shared" si="184"/>
        <v>1195.25</v>
      </c>
      <c r="BG285">
        <f t="shared" si="185"/>
        <v>1.7031205471644342E-2</v>
      </c>
    </row>
    <row r="286" spans="1:59">
      <c r="A286" s="1" t="s">
        <v>287</v>
      </c>
      <c r="B286" s="1">
        <v>71210</v>
      </c>
      <c r="Q286">
        <v>283</v>
      </c>
      <c r="R286" s="27" t="str">
        <f t="shared" si="162"/>
        <v>09/06/2024</v>
      </c>
      <c r="S286" s="27">
        <f t="shared" si="162"/>
        <v>70350</v>
      </c>
      <c r="T286" s="4" t="str">
        <f t="shared" si="163"/>
        <v>A5</v>
      </c>
      <c r="V286">
        <v>283</v>
      </c>
      <c r="W286" s="28" t="str">
        <f t="shared" si="160"/>
        <v>09/06/2024</v>
      </c>
      <c r="X286" s="28">
        <f t="shared" si="160"/>
        <v>70350</v>
      </c>
      <c r="Y286" s="28" t="str">
        <f t="shared" si="160"/>
        <v>A5</v>
      </c>
      <c r="Z286" s="5" t="str">
        <f t="shared" si="187"/>
        <v>A5</v>
      </c>
      <c r="AA286" s="5" t="str">
        <f t="shared" si="164"/>
        <v>A5</v>
      </c>
      <c r="AG286" s="49" t="str">
        <f t="shared" si="159"/>
        <v>09/06/2024</v>
      </c>
      <c r="AH286" s="46">
        <f t="shared" si="159"/>
        <v>70350</v>
      </c>
      <c r="AI286" s="49" t="str">
        <f t="shared" si="159"/>
        <v>A5</v>
      </c>
      <c r="AJ286" s="49" t="str">
        <f t="shared" si="167"/>
        <v>A5</v>
      </c>
      <c r="AK286" s="50">
        <f t="shared" si="157"/>
        <v>67829.5</v>
      </c>
      <c r="AL286" s="49" t="str">
        <f t="shared" si="180"/>
        <v>A5</v>
      </c>
      <c r="AM286" s="50">
        <f t="shared" si="168"/>
        <v>67829.5</v>
      </c>
      <c r="AN286" s="56">
        <f t="shared" si="181"/>
        <v>390</v>
      </c>
      <c r="AO286" s="57">
        <f t="shared" si="182"/>
        <v>70545</v>
      </c>
      <c r="AP286" s="23">
        <f t="shared" si="169"/>
        <v>70155</v>
      </c>
      <c r="AQ286" s="23">
        <f t="shared" si="170"/>
        <v>70740</v>
      </c>
      <c r="AR286" s="23">
        <f t="shared" si="171"/>
        <v>69960</v>
      </c>
      <c r="AS286" s="23">
        <f t="shared" si="172"/>
        <v>70447.5</v>
      </c>
      <c r="AT286" s="23">
        <f t="shared" si="173"/>
        <v>70252.5</v>
      </c>
      <c r="AU286" s="23">
        <f t="shared" si="174"/>
        <v>71130</v>
      </c>
      <c r="AV286" s="23">
        <f t="shared" si="175"/>
        <v>69570</v>
      </c>
      <c r="AW286" s="23">
        <f t="shared" si="176"/>
        <v>70415</v>
      </c>
      <c r="AX286" s="23">
        <f t="shared" si="177"/>
        <v>70285</v>
      </c>
      <c r="AY286" s="23">
        <f t="shared" si="178"/>
        <v>71520</v>
      </c>
      <c r="AZ286" s="23">
        <f t="shared" si="179"/>
        <v>69180</v>
      </c>
      <c r="BA286" s="23">
        <f t="shared" si="188"/>
        <v>69097.25</v>
      </c>
      <c r="BB286" s="43"/>
      <c r="BC286" s="51">
        <f t="shared" si="161"/>
        <v>70350</v>
      </c>
      <c r="BD286" s="52">
        <f t="shared" si="165"/>
        <v>69097.25</v>
      </c>
      <c r="BE286" s="37">
        <f t="shared" si="183"/>
        <v>1252.75</v>
      </c>
      <c r="BF286">
        <f t="shared" si="184"/>
        <v>1252.75</v>
      </c>
      <c r="BG286">
        <f t="shared" si="185"/>
        <v>1.7807391613361763E-2</v>
      </c>
    </row>
    <row r="287" spans="1:59">
      <c r="A287" s="1" t="s">
        <v>288</v>
      </c>
      <c r="B287" s="1">
        <v>70310</v>
      </c>
      <c r="Q287">
        <v>284</v>
      </c>
      <c r="R287" s="27" t="str">
        <f t="shared" si="162"/>
        <v>10/06/2024</v>
      </c>
      <c r="S287" s="27">
        <f t="shared" si="162"/>
        <v>70360</v>
      </c>
      <c r="T287" s="4" t="str">
        <f t="shared" si="163"/>
        <v>A5</v>
      </c>
      <c r="V287">
        <v>284</v>
      </c>
      <c r="W287" s="28" t="str">
        <f t="shared" si="160"/>
        <v>10/06/2024</v>
      </c>
      <c r="X287" s="28">
        <f t="shared" si="160"/>
        <v>70360</v>
      </c>
      <c r="Y287" s="28" t="str">
        <f t="shared" si="160"/>
        <v>A5</v>
      </c>
      <c r="Z287" s="5" t="str">
        <f t="shared" si="187"/>
        <v>A5</v>
      </c>
      <c r="AA287" s="5" t="str">
        <f t="shared" si="164"/>
        <v>A5</v>
      </c>
      <c r="AG287" s="49" t="str">
        <f t="shared" si="159"/>
        <v>10/06/2024</v>
      </c>
      <c r="AH287" s="46">
        <f t="shared" si="159"/>
        <v>70360</v>
      </c>
      <c r="AI287" s="49" t="str">
        <f t="shared" si="159"/>
        <v>A5</v>
      </c>
      <c r="AJ287" s="49" t="str">
        <f t="shared" si="167"/>
        <v>A5</v>
      </c>
      <c r="AK287" s="50">
        <f t="shared" si="157"/>
        <v>67829.5</v>
      </c>
      <c r="AL287" s="49" t="str">
        <f t="shared" si="180"/>
        <v>A5</v>
      </c>
      <c r="AM287" s="50">
        <f t="shared" si="168"/>
        <v>67829.5</v>
      </c>
      <c r="AN287" s="56">
        <f t="shared" si="181"/>
        <v>160</v>
      </c>
      <c r="AO287" s="57">
        <f t="shared" si="182"/>
        <v>70440</v>
      </c>
      <c r="AP287" s="23">
        <f t="shared" si="169"/>
        <v>70280</v>
      </c>
      <c r="AQ287" s="23">
        <f t="shared" si="170"/>
        <v>70520</v>
      </c>
      <c r="AR287" s="23">
        <f t="shared" si="171"/>
        <v>70200</v>
      </c>
      <c r="AS287" s="23">
        <f t="shared" si="172"/>
        <v>70400</v>
      </c>
      <c r="AT287" s="23">
        <f t="shared" si="173"/>
        <v>70320</v>
      </c>
      <c r="AU287" s="23">
        <f t="shared" si="174"/>
        <v>70680</v>
      </c>
      <c r="AV287" s="23">
        <f t="shared" si="175"/>
        <v>70040</v>
      </c>
      <c r="AW287" s="23">
        <f t="shared" si="176"/>
        <v>70386.666666666672</v>
      </c>
      <c r="AX287" s="23">
        <f t="shared" si="177"/>
        <v>70333.333333333328</v>
      </c>
      <c r="AY287" s="23">
        <f t="shared" si="178"/>
        <v>70840</v>
      </c>
      <c r="AZ287" s="23">
        <f t="shared" si="179"/>
        <v>69880</v>
      </c>
      <c r="BA287" s="23">
        <f t="shared" si="188"/>
        <v>69187.25</v>
      </c>
      <c r="BB287" s="43"/>
      <c r="BC287" s="51">
        <f t="shared" si="161"/>
        <v>70360</v>
      </c>
      <c r="BD287" s="52">
        <f t="shared" si="165"/>
        <v>69187.25</v>
      </c>
      <c r="BE287" s="37">
        <f t="shared" si="183"/>
        <v>1172.75</v>
      </c>
      <c r="BF287">
        <f t="shared" si="184"/>
        <v>1172.75</v>
      </c>
      <c r="BG287">
        <f t="shared" si="185"/>
        <v>1.6667851051733941E-2</v>
      </c>
    </row>
    <row r="288" spans="1:59">
      <c r="A288" s="1" t="s">
        <v>289</v>
      </c>
      <c r="B288" s="1">
        <v>70830</v>
      </c>
      <c r="Q288">
        <v>285</v>
      </c>
      <c r="R288" s="27" t="str">
        <f t="shared" si="162"/>
        <v>11/06/2024</v>
      </c>
      <c r="S288" s="27">
        <f t="shared" si="162"/>
        <v>71210</v>
      </c>
      <c r="T288" s="4" t="str">
        <f t="shared" si="163"/>
        <v>A6</v>
      </c>
      <c r="V288">
        <v>285</v>
      </c>
      <c r="W288" s="28" t="str">
        <f t="shared" si="160"/>
        <v>11/06/2024</v>
      </c>
      <c r="X288" s="28">
        <f t="shared" si="160"/>
        <v>71210</v>
      </c>
      <c r="Y288" s="28" t="str">
        <f t="shared" si="160"/>
        <v>A6</v>
      </c>
      <c r="Z288" s="5" t="str">
        <f t="shared" si="187"/>
        <v>A5</v>
      </c>
      <c r="AA288" s="5" t="str">
        <f t="shared" si="164"/>
        <v>A6</v>
      </c>
      <c r="AG288" s="49" t="str">
        <f t="shared" si="159"/>
        <v>11/06/2024</v>
      </c>
      <c r="AH288" s="46">
        <f t="shared" si="159"/>
        <v>71210</v>
      </c>
      <c r="AI288" s="49" t="str">
        <f t="shared" si="159"/>
        <v>A6</v>
      </c>
      <c r="AJ288" s="49" t="str">
        <f t="shared" si="167"/>
        <v>A5</v>
      </c>
      <c r="AK288" s="50">
        <f t="shared" si="157"/>
        <v>67829.5</v>
      </c>
      <c r="AL288" s="49" t="str">
        <f t="shared" si="180"/>
        <v>A6</v>
      </c>
      <c r="AM288" s="50">
        <f t="shared" si="168"/>
        <v>73860.5</v>
      </c>
      <c r="AN288" s="56">
        <f t="shared" si="181"/>
        <v>840</v>
      </c>
      <c r="AO288" s="57">
        <f t="shared" si="182"/>
        <v>71630</v>
      </c>
      <c r="AP288" s="23">
        <f t="shared" si="169"/>
        <v>70790</v>
      </c>
      <c r="AQ288" s="23">
        <f t="shared" si="170"/>
        <v>72050</v>
      </c>
      <c r="AR288" s="23">
        <f t="shared" si="171"/>
        <v>70370</v>
      </c>
      <c r="AS288" s="23">
        <f t="shared" si="172"/>
        <v>71420</v>
      </c>
      <c r="AT288" s="23">
        <f t="shared" si="173"/>
        <v>71000</v>
      </c>
      <c r="AU288" s="23">
        <f t="shared" si="174"/>
        <v>72890</v>
      </c>
      <c r="AV288" s="23">
        <f t="shared" si="175"/>
        <v>69530</v>
      </c>
      <c r="AW288" s="23">
        <f t="shared" si="176"/>
        <v>71350</v>
      </c>
      <c r="AX288" s="23">
        <f t="shared" si="177"/>
        <v>71070</v>
      </c>
      <c r="AY288" s="23">
        <f t="shared" si="178"/>
        <v>73730</v>
      </c>
      <c r="AZ288" s="23">
        <f t="shared" si="179"/>
        <v>68690</v>
      </c>
      <c r="BA288" s="23">
        <f t="shared" si="188"/>
        <v>69134.75</v>
      </c>
      <c r="BB288" s="43"/>
      <c r="BC288" s="51">
        <f t="shared" si="161"/>
        <v>71210</v>
      </c>
      <c r="BD288" s="52">
        <f t="shared" si="165"/>
        <v>69134.75</v>
      </c>
      <c r="BE288" s="37">
        <f t="shared" si="183"/>
        <v>2075.25</v>
      </c>
      <c r="BF288">
        <f t="shared" si="184"/>
        <v>2075.25</v>
      </c>
      <c r="BG288">
        <f t="shared" si="185"/>
        <v>2.9142676590366522E-2</v>
      </c>
    </row>
    <row r="289" spans="1:59">
      <c r="A289" s="1" t="s">
        <v>290</v>
      </c>
      <c r="B289" s="1">
        <v>70790</v>
      </c>
      <c r="Q289">
        <v>286</v>
      </c>
      <c r="R289" s="27" t="str">
        <f t="shared" si="162"/>
        <v>12/06/2024</v>
      </c>
      <c r="S289" s="27">
        <f t="shared" si="162"/>
        <v>70310</v>
      </c>
      <c r="T289" s="4" t="str">
        <f t="shared" si="163"/>
        <v>A5</v>
      </c>
      <c r="V289">
        <v>286</v>
      </c>
      <c r="W289" s="28" t="str">
        <f t="shared" si="160"/>
        <v>12/06/2024</v>
      </c>
      <c r="X289" s="28">
        <f t="shared" si="160"/>
        <v>70310</v>
      </c>
      <c r="Y289" s="28" t="str">
        <f t="shared" si="160"/>
        <v>A5</v>
      </c>
      <c r="Z289" s="5" t="str">
        <f t="shared" si="187"/>
        <v>A6</v>
      </c>
      <c r="AA289" s="5" t="str">
        <f t="shared" si="164"/>
        <v>A5</v>
      </c>
      <c r="AG289" s="49" t="str">
        <f t="shared" si="159"/>
        <v>12/06/2024</v>
      </c>
      <c r="AH289" s="46">
        <f t="shared" si="159"/>
        <v>70310</v>
      </c>
      <c r="AI289" s="49" t="str">
        <f t="shared" si="159"/>
        <v>A5</v>
      </c>
      <c r="AJ289" s="49" t="str">
        <f t="shared" si="167"/>
        <v>A6</v>
      </c>
      <c r="AK289" s="50">
        <f t="shared" si="157"/>
        <v>73860.5</v>
      </c>
      <c r="AL289" s="49" t="str">
        <f t="shared" si="180"/>
        <v>A5</v>
      </c>
      <c r="AM289" s="50">
        <f t="shared" si="168"/>
        <v>67829.5</v>
      </c>
      <c r="AN289" s="56">
        <f t="shared" si="181"/>
        <v>50</v>
      </c>
      <c r="AO289" s="57">
        <f t="shared" si="182"/>
        <v>70335</v>
      </c>
      <c r="AP289" s="23">
        <f t="shared" si="169"/>
        <v>70285</v>
      </c>
      <c r="AQ289" s="23">
        <f t="shared" si="170"/>
        <v>70360</v>
      </c>
      <c r="AR289" s="23">
        <f t="shared" si="171"/>
        <v>70260</v>
      </c>
      <c r="AS289" s="23">
        <f t="shared" si="172"/>
        <v>70322.5</v>
      </c>
      <c r="AT289" s="23">
        <f t="shared" si="173"/>
        <v>70297.5</v>
      </c>
      <c r="AU289" s="23">
        <f t="shared" si="174"/>
        <v>70410</v>
      </c>
      <c r="AV289" s="23">
        <f t="shared" si="175"/>
        <v>70210</v>
      </c>
      <c r="AW289" s="23">
        <f t="shared" si="176"/>
        <v>70318.333333333328</v>
      </c>
      <c r="AX289" s="23">
        <f t="shared" si="177"/>
        <v>70301.666666666672</v>
      </c>
      <c r="AY289" s="23">
        <f t="shared" si="178"/>
        <v>70460</v>
      </c>
      <c r="AZ289" s="23">
        <f t="shared" si="179"/>
        <v>70160</v>
      </c>
      <c r="BA289" s="23">
        <f t="shared" si="188"/>
        <v>72745.25</v>
      </c>
      <c r="BB289" s="43"/>
      <c r="BC289" s="51">
        <f t="shared" si="161"/>
        <v>70310</v>
      </c>
      <c r="BD289" s="52">
        <f t="shared" si="165"/>
        <v>72745.25</v>
      </c>
      <c r="BE289" s="37">
        <f t="shared" si="183"/>
        <v>-2435.25</v>
      </c>
      <c r="BF289">
        <f t="shared" si="184"/>
        <v>2435.25</v>
      </c>
      <c r="BG289">
        <f t="shared" si="185"/>
        <v>3.4635898165268096E-2</v>
      </c>
    </row>
    <row r="290" spans="1:59">
      <c r="A290" s="1" t="s">
        <v>291</v>
      </c>
      <c r="B290" s="1">
        <v>72650</v>
      </c>
      <c r="Q290">
        <v>287</v>
      </c>
      <c r="R290" s="27" t="str">
        <f t="shared" si="162"/>
        <v>13/06/2024</v>
      </c>
      <c r="S290" s="27">
        <f t="shared" si="162"/>
        <v>70830</v>
      </c>
      <c r="T290" s="4" t="str">
        <f t="shared" si="163"/>
        <v>A5</v>
      </c>
      <c r="V290">
        <v>287</v>
      </c>
      <c r="W290" s="28" t="str">
        <f t="shared" si="160"/>
        <v>13/06/2024</v>
      </c>
      <c r="X290" s="28">
        <f t="shared" si="160"/>
        <v>70830</v>
      </c>
      <c r="Y290" s="28" t="str">
        <f t="shared" si="160"/>
        <v>A5</v>
      </c>
      <c r="Z290" s="5" t="str">
        <f t="shared" si="187"/>
        <v>A5</v>
      </c>
      <c r="AA290" s="5" t="str">
        <f t="shared" si="164"/>
        <v>A5</v>
      </c>
      <c r="AG290" s="49" t="str">
        <f t="shared" si="159"/>
        <v>13/06/2024</v>
      </c>
      <c r="AH290" s="46">
        <f t="shared" si="159"/>
        <v>70830</v>
      </c>
      <c r="AI290" s="49" t="str">
        <f t="shared" si="159"/>
        <v>A5</v>
      </c>
      <c r="AJ290" s="49" t="str">
        <f t="shared" si="167"/>
        <v>A5</v>
      </c>
      <c r="AK290" s="50">
        <f t="shared" si="157"/>
        <v>67829.5</v>
      </c>
      <c r="AL290" s="49" t="str">
        <f t="shared" si="180"/>
        <v>A5</v>
      </c>
      <c r="AM290" s="50">
        <f t="shared" si="168"/>
        <v>67829.5</v>
      </c>
      <c r="AN290" s="56">
        <f t="shared" si="181"/>
        <v>380</v>
      </c>
      <c r="AO290" s="57">
        <f t="shared" si="182"/>
        <v>71020</v>
      </c>
      <c r="AP290" s="23">
        <f t="shared" si="169"/>
        <v>70640</v>
      </c>
      <c r="AQ290" s="23">
        <f t="shared" si="170"/>
        <v>71210</v>
      </c>
      <c r="AR290" s="23">
        <f t="shared" si="171"/>
        <v>70450</v>
      </c>
      <c r="AS290" s="23">
        <f t="shared" si="172"/>
        <v>70925</v>
      </c>
      <c r="AT290" s="23">
        <f t="shared" si="173"/>
        <v>70735</v>
      </c>
      <c r="AU290" s="23">
        <f t="shared" si="174"/>
        <v>71590</v>
      </c>
      <c r="AV290" s="23">
        <f t="shared" si="175"/>
        <v>70070</v>
      </c>
      <c r="AW290" s="23">
        <f t="shared" si="176"/>
        <v>70893.333333333328</v>
      </c>
      <c r="AX290" s="23">
        <f t="shared" si="177"/>
        <v>70766.666666666672</v>
      </c>
      <c r="AY290" s="23">
        <f t="shared" si="178"/>
        <v>71970</v>
      </c>
      <c r="AZ290" s="23">
        <f t="shared" si="179"/>
        <v>69690</v>
      </c>
      <c r="BA290" s="23">
        <f t="shared" si="188"/>
        <v>69082.25</v>
      </c>
      <c r="BB290" s="43"/>
      <c r="BC290" s="51">
        <f t="shared" si="161"/>
        <v>70830</v>
      </c>
      <c r="BD290" s="52">
        <f t="shared" si="165"/>
        <v>69082.25</v>
      </c>
      <c r="BE290" s="37">
        <f t="shared" si="183"/>
        <v>1747.75</v>
      </c>
      <c r="BF290">
        <f t="shared" si="184"/>
        <v>1747.75</v>
      </c>
      <c r="BG290">
        <f t="shared" si="185"/>
        <v>2.4675278836651136E-2</v>
      </c>
    </row>
    <row r="291" spans="1:59">
      <c r="A291" s="1" t="s">
        <v>292</v>
      </c>
      <c r="B291" s="1">
        <v>73580</v>
      </c>
      <c r="Q291">
        <v>288</v>
      </c>
      <c r="R291" s="27" t="str">
        <f t="shared" si="162"/>
        <v>14/06/2024</v>
      </c>
      <c r="S291" s="27">
        <f t="shared" si="162"/>
        <v>70790</v>
      </c>
      <c r="T291" s="4" t="str">
        <f t="shared" si="163"/>
        <v>A5</v>
      </c>
      <c r="V291">
        <v>288</v>
      </c>
      <c r="W291" s="28" t="str">
        <f t="shared" si="160"/>
        <v>14/06/2024</v>
      </c>
      <c r="X291" s="28">
        <f t="shared" si="160"/>
        <v>70790</v>
      </c>
      <c r="Y291" s="28" t="str">
        <f t="shared" si="160"/>
        <v>A5</v>
      </c>
      <c r="Z291" s="5" t="str">
        <f t="shared" si="187"/>
        <v>A5</v>
      </c>
      <c r="AA291" s="5" t="str">
        <f t="shared" si="164"/>
        <v>A5</v>
      </c>
      <c r="AG291" s="49" t="str">
        <f t="shared" si="159"/>
        <v>14/06/2024</v>
      </c>
      <c r="AH291" s="46">
        <f t="shared" si="159"/>
        <v>70790</v>
      </c>
      <c r="AI291" s="49" t="str">
        <f t="shared" si="159"/>
        <v>A5</v>
      </c>
      <c r="AJ291" s="49" t="str">
        <f t="shared" si="167"/>
        <v>A5</v>
      </c>
      <c r="AK291" s="50">
        <f t="shared" si="157"/>
        <v>67829.5</v>
      </c>
      <c r="AL291" s="49" t="str">
        <f t="shared" si="180"/>
        <v>A5</v>
      </c>
      <c r="AM291" s="50">
        <f t="shared" si="168"/>
        <v>67829.5</v>
      </c>
      <c r="AN291" s="56">
        <f t="shared" si="181"/>
        <v>480</v>
      </c>
      <c r="AO291" s="57">
        <f t="shared" si="182"/>
        <v>71030</v>
      </c>
      <c r="AP291" s="23">
        <f t="shared" si="169"/>
        <v>70550</v>
      </c>
      <c r="AQ291" s="23">
        <f t="shared" si="170"/>
        <v>71270</v>
      </c>
      <c r="AR291" s="23">
        <f t="shared" si="171"/>
        <v>70310</v>
      </c>
      <c r="AS291" s="23">
        <f t="shared" si="172"/>
        <v>70910</v>
      </c>
      <c r="AT291" s="23">
        <f t="shared" si="173"/>
        <v>70670</v>
      </c>
      <c r="AU291" s="23">
        <f t="shared" si="174"/>
        <v>71750</v>
      </c>
      <c r="AV291" s="23">
        <f t="shared" si="175"/>
        <v>69830</v>
      </c>
      <c r="AW291" s="23">
        <f t="shared" si="176"/>
        <v>70870</v>
      </c>
      <c r="AX291" s="23">
        <f t="shared" si="177"/>
        <v>70710</v>
      </c>
      <c r="AY291" s="23">
        <f t="shared" si="178"/>
        <v>72230</v>
      </c>
      <c r="AZ291" s="23">
        <f t="shared" si="179"/>
        <v>69350</v>
      </c>
      <c r="BA291" s="23">
        <f t="shared" si="188"/>
        <v>69424.75</v>
      </c>
      <c r="BB291" s="43"/>
      <c r="BC291" s="51">
        <f t="shared" si="161"/>
        <v>70790</v>
      </c>
      <c r="BD291" s="52">
        <f t="shared" si="165"/>
        <v>69424.75</v>
      </c>
      <c r="BE291" s="37">
        <f t="shared" si="183"/>
        <v>1365.25</v>
      </c>
      <c r="BF291">
        <f t="shared" si="184"/>
        <v>1365.25</v>
      </c>
      <c r="BG291">
        <f t="shared" si="185"/>
        <v>1.9285916089843199E-2</v>
      </c>
    </row>
    <row r="292" spans="1:59">
      <c r="A292" s="1" t="s">
        <v>293</v>
      </c>
      <c r="B292" s="1">
        <v>73070</v>
      </c>
      <c r="Q292">
        <v>289</v>
      </c>
      <c r="R292" s="27" t="str">
        <f t="shared" si="162"/>
        <v>15/06/2024</v>
      </c>
      <c r="S292" s="27">
        <f t="shared" si="162"/>
        <v>72650</v>
      </c>
      <c r="T292" s="4" t="str">
        <f t="shared" si="163"/>
        <v>A6</v>
      </c>
      <c r="V292">
        <v>289</v>
      </c>
      <c r="W292" s="28" t="str">
        <f t="shared" si="160"/>
        <v>15/06/2024</v>
      </c>
      <c r="X292" s="28">
        <f t="shared" si="160"/>
        <v>72650</v>
      </c>
      <c r="Y292" s="28" t="str">
        <f t="shared" si="160"/>
        <v>A6</v>
      </c>
      <c r="Z292" s="5" t="str">
        <f t="shared" si="187"/>
        <v>A5</v>
      </c>
      <c r="AA292" s="5" t="str">
        <f t="shared" si="164"/>
        <v>A6</v>
      </c>
      <c r="AG292" s="49" t="str">
        <f t="shared" si="159"/>
        <v>15/06/2024</v>
      </c>
      <c r="AH292" s="46">
        <f t="shared" si="159"/>
        <v>72650</v>
      </c>
      <c r="AI292" s="49" t="str">
        <f t="shared" si="159"/>
        <v>A6</v>
      </c>
      <c r="AJ292" s="49" t="str">
        <f t="shared" si="167"/>
        <v>A5</v>
      </c>
      <c r="AK292" s="50">
        <f t="shared" si="157"/>
        <v>67829.5</v>
      </c>
      <c r="AL292" s="49" t="str">
        <f t="shared" si="180"/>
        <v>A6</v>
      </c>
      <c r="AM292" s="50">
        <f t="shared" si="168"/>
        <v>73860.5</v>
      </c>
      <c r="AN292" s="56">
        <f t="shared" si="181"/>
        <v>1820</v>
      </c>
      <c r="AO292" s="57">
        <f t="shared" si="182"/>
        <v>73560</v>
      </c>
      <c r="AP292" s="23">
        <f t="shared" si="169"/>
        <v>71740</v>
      </c>
      <c r="AQ292" s="23">
        <f t="shared" si="170"/>
        <v>74470</v>
      </c>
      <c r="AR292" s="23">
        <f t="shared" si="171"/>
        <v>70830</v>
      </c>
      <c r="AS292" s="23">
        <f t="shared" si="172"/>
        <v>73105</v>
      </c>
      <c r="AT292" s="23">
        <f t="shared" si="173"/>
        <v>72195</v>
      </c>
      <c r="AU292" s="23">
        <f t="shared" si="174"/>
        <v>76290</v>
      </c>
      <c r="AV292" s="23">
        <f t="shared" si="175"/>
        <v>69010</v>
      </c>
      <c r="AW292" s="23">
        <f t="shared" si="176"/>
        <v>72953.333333333328</v>
      </c>
      <c r="AX292" s="23">
        <f t="shared" si="177"/>
        <v>72346.666666666672</v>
      </c>
      <c r="AY292" s="23">
        <f t="shared" si="178"/>
        <v>78110</v>
      </c>
      <c r="AZ292" s="23">
        <f t="shared" si="179"/>
        <v>67190</v>
      </c>
      <c r="BA292" s="23">
        <f t="shared" si="188"/>
        <v>69429.75</v>
      </c>
      <c r="BB292" s="43"/>
      <c r="BC292" s="51">
        <f t="shared" si="161"/>
        <v>72650</v>
      </c>
      <c r="BD292" s="52">
        <f t="shared" si="165"/>
        <v>69429.75</v>
      </c>
      <c r="BE292" s="37">
        <f t="shared" si="183"/>
        <v>3220.25</v>
      </c>
      <c r="BF292">
        <f t="shared" si="184"/>
        <v>3220.25</v>
      </c>
      <c r="BG292">
        <f t="shared" si="185"/>
        <v>4.4325533379215416E-2</v>
      </c>
    </row>
    <row r="293" spans="1:59">
      <c r="A293" s="1" t="s">
        <v>294</v>
      </c>
      <c r="B293" s="1">
        <v>73020</v>
      </c>
      <c r="Q293">
        <v>290</v>
      </c>
      <c r="R293" s="27" t="str">
        <f t="shared" si="162"/>
        <v>16/06/2024</v>
      </c>
      <c r="S293" s="27">
        <f t="shared" si="162"/>
        <v>73580</v>
      </c>
      <c r="T293" s="4" t="str">
        <f t="shared" si="163"/>
        <v>A6</v>
      </c>
      <c r="V293">
        <v>290</v>
      </c>
      <c r="W293" s="28" t="str">
        <f t="shared" si="160"/>
        <v>16/06/2024</v>
      </c>
      <c r="X293" s="28">
        <f t="shared" si="160"/>
        <v>73580</v>
      </c>
      <c r="Y293" s="28" t="str">
        <f t="shared" si="160"/>
        <v>A6</v>
      </c>
      <c r="Z293" s="5" t="str">
        <f t="shared" si="187"/>
        <v>A6</v>
      </c>
      <c r="AA293" s="5" t="str">
        <f t="shared" si="164"/>
        <v>A6</v>
      </c>
      <c r="AG293" s="49" t="str">
        <f t="shared" si="159"/>
        <v>16/06/2024</v>
      </c>
      <c r="AH293" s="46">
        <f t="shared" si="159"/>
        <v>73580</v>
      </c>
      <c r="AI293" s="49" t="str">
        <f t="shared" si="159"/>
        <v>A6</v>
      </c>
      <c r="AJ293" s="49" t="str">
        <f t="shared" si="167"/>
        <v>A6</v>
      </c>
      <c r="AK293" s="50">
        <f t="shared" si="157"/>
        <v>73860.5</v>
      </c>
      <c r="AL293" s="49" t="str">
        <f t="shared" si="180"/>
        <v>A6</v>
      </c>
      <c r="AM293" s="50">
        <f t="shared" si="168"/>
        <v>73860.5</v>
      </c>
      <c r="AN293" s="56">
        <f t="shared" si="181"/>
        <v>930</v>
      </c>
      <c r="AO293" s="57">
        <f t="shared" si="182"/>
        <v>74045</v>
      </c>
      <c r="AP293" s="23">
        <f t="shared" si="169"/>
        <v>73115</v>
      </c>
      <c r="AQ293" s="23">
        <f t="shared" si="170"/>
        <v>74510</v>
      </c>
      <c r="AR293" s="23">
        <f t="shared" si="171"/>
        <v>72650</v>
      </c>
      <c r="AS293" s="23">
        <f t="shared" si="172"/>
        <v>73812.5</v>
      </c>
      <c r="AT293" s="23">
        <f t="shared" si="173"/>
        <v>73347.5</v>
      </c>
      <c r="AU293" s="23">
        <f t="shared" si="174"/>
        <v>75440</v>
      </c>
      <c r="AV293" s="23">
        <f t="shared" si="175"/>
        <v>71720</v>
      </c>
      <c r="AW293" s="23">
        <f t="shared" si="176"/>
        <v>73735</v>
      </c>
      <c r="AX293" s="23">
        <f t="shared" si="177"/>
        <v>73425</v>
      </c>
      <c r="AY293" s="23">
        <f t="shared" si="178"/>
        <v>76370</v>
      </c>
      <c r="AZ293" s="23">
        <f t="shared" si="179"/>
        <v>70790</v>
      </c>
      <c r="BA293" s="23">
        <f t="shared" si="188"/>
        <v>73710.25</v>
      </c>
      <c r="BB293" s="43"/>
      <c r="BC293" s="51">
        <f t="shared" si="161"/>
        <v>73580</v>
      </c>
      <c r="BD293" s="52">
        <f t="shared" si="165"/>
        <v>73710.25</v>
      </c>
      <c r="BE293" s="37">
        <f t="shared" si="183"/>
        <v>-130.25</v>
      </c>
      <c r="BF293">
        <f t="shared" si="184"/>
        <v>130.25</v>
      </c>
      <c r="BG293">
        <f t="shared" si="185"/>
        <v>1.7701821147050828E-3</v>
      </c>
    </row>
    <row r="294" spans="1:59">
      <c r="A294" s="1" t="s">
        <v>295</v>
      </c>
      <c r="B294" s="1">
        <v>69870</v>
      </c>
      <c r="Q294">
        <v>291</v>
      </c>
      <c r="R294" s="27" t="str">
        <f t="shared" si="162"/>
        <v>19/06/2024</v>
      </c>
      <c r="S294" s="27">
        <f t="shared" si="162"/>
        <v>73070</v>
      </c>
      <c r="T294" s="4" t="str">
        <f t="shared" si="163"/>
        <v>A6</v>
      </c>
      <c r="V294">
        <v>291</v>
      </c>
      <c r="W294" s="28" t="str">
        <f t="shared" si="160"/>
        <v>19/06/2024</v>
      </c>
      <c r="X294" s="28">
        <f t="shared" si="160"/>
        <v>73070</v>
      </c>
      <c r="Y294" s="28" t="str">
        <f t="shared" si="160"/>
        <v>A6</v>
      </c>
      <c r="Z294" s="5" t="str">
        <f t="shared" si="187"/>
        <v>A6</v>
      </c>
      <c r="AA294" s="5" t="str">
        <f t="shared" si="164"/>
        <v>A6</v>
      </c>
      <c r="AG294" s="49" t="str">
        <f t="shared" si="159"/>
        <v>19/06/2024</v>
      </c>
      <c r="AH294" s="46">
        <f t="shared" si="159"/>
        <v>73070</v>
      </c>
      <c r="AI294" s="49" t="str">
        <f t="shared" si="159"/>
        <v>A6</v>
      </c>
      <c r="AJ294" s="49" t="str">
        <f t="shared" si="167"/>
        <v>A6</v>
      </c>
      <c r="AK294" s="50">
        <f t="shared" si="157"/>
        <v>73860.5</v>
      </c>
      <c r="AL294" s="49" t="str">
        <f t="shared" si="180"/>
        <v>A6</v>
      </c>
      <c r="AM294" s="50">
        <f t="shared" si="168"/>
        <v>73860.5</v>
      </c>
      <c r="AN294" s="56">
        <f t="shared" si="181"/>
        <v>420</v>
      </c>
      <c r="AO294" s="57">
        <f t="shared" si="182"/>
        <v>73280</v>
      </c>
      <c r="AP294" s="23">
        <f t="shared" si="169"/>
        <v>72860</v>
      </c>
      <c r="AQ294" s="23">
        <f t="shared" si="170"/>
        <v>73490</v>
      </c>
      <c r="AR294" s="23">
        <f t="shared" si="171"/>
        <v>72650</v>
      </c>
      <c r="AS294" s="23">
        <f t="shared" si="172"/>
        <v>73175</v>
      </c>
      <c r="AT294" s="23">
        <f t="shared" si="173"/>
        <v>72965</v>
      </c>
      <c r="AU294" s="23">
        <f t="shared" si="174"/>
        <v>73910</v>
      </c>
      <c r="AV294" s="23">
        <f t="shared" si="175"/>
        <v>72230</v>
      </c>
      <c r="AW294" s="23">
        <f t="shared" si="176"/>
        <v>73140</v>
      </c>
      <c r="AX294" s="23">
        <f t="shared" si="177"/>
        <v>73000</v>
      </c>
      <c r="AY294" s="23">
        <f t="shared" si="178"/>
        <v>74330</v>
      </c>
      <c r="AZ294" s="23">
        <f t="shared" si="179"/>
        <v>71810</v>
      </c>
      <c r="BA294" s="23">
        <f t="shared" si="188"/>
        <v>73952.75</v>
      </c>
      <c r="BB294" s="43"/>
      <c r="BC294" s="51">
        <f t="shared" si="161"/>
        <v>73070</v>
      </c>
      <c r="BD294" s="52">
        <f t="shared" si="165"/>
        <v>73952.75</v>
      </c>
      <c r="BE294" s="37">
        <f t="shared" si="183"/>
        <v>-882.75</v>
      </c>
      <c r="BF294">
        <f t="shared" si="184"/>
        <v>882.75</v>
      </c>
      <c r="BG294">
        <f t="shared" si="185"/>
        <v>1.2080881346653893E-2</v>
      </c>
    </row>
    <row r="295" spans="1:59">
      <c r="A295" s="1" t="s">
        <v>296</v>
      </c>
      <c r="B295" s="1">
        <v>70950</v>
      </c>
      <c r="Q295">
        <v>292</v>
      </c>
      <c r="R295" s="27" t="str">
        <f t="shared" si="162"/>
        <v>20/06/2024</v>
      </c>
      <c r="S295" s="27">
        <f t="shared" si="162"/>
        <v>73020</v>
      </c>
      <c r="T295" s="4" t="str">
        <f t="shared" si="163"/>
        <v>A6</v>
      </c>
      <c r="V295">
        <v>292</v>
      </c>
      <c r="W295" s="28" t="str">
        <f t="shared" si="160"/>
        <v>20/06/2024</v>
      </c>
      <c r="X295" s="28">
        <f t="shared" si="160"/>
        <v>73020</v>
      </c>
      <c r="Y295" s="28" t="str">
        <f t="shared" si="160"/>
        <v>A6</v>
      </c>
      <c r="Z295" s="5" t="str">
        <f t="shared" si="187"/>
        <v>A6</v>
      </c>
      <c r="AA295" s="5" t="str">
        <f t="shared" si="164"/>
        <v>A6</v>
      </c>
      <c r="AG295" s="49" t="str">
        <f t="shared" si="159"/>
        <v>20/06/2024</v>
      </c>
      <c r="AH295" s="46">
        <f t="shared" si="159"/>
        <v>73020</v>
      </c>
      <c r="AI295" s="49" t="str">
        <f t="shared" si="159"/>
        <v>A6</v>
      </c>
      <c r="AJ295" s="49" t="str">
        <f t="shared" si="167"/>
        <v>A6</v>
      </c>
      <c r="AK295" s="50">
        <f t="shared" si="157"/>
        <v>73860.5</v>
      </c>
      <c r="AL295" s="49" t="str">
        <f t="shared" si="180"/>
        <v>A6</v>
      </c>
      <c r="AM295" s="50">
        <f t="shared" si="168"/>
        <v>73860.5</v>
      </c>
      <c r="AN295" s="56">
        <f t="shared" si="181"/>
        <v>460</v>
      </c>
      <c r="AO295" s="57">
        <f t="shared" si="182"/>
        <v>73250</v>
      </c>
      <c r="AP295" s="23">
        <f t="shared" si="169"/>
        <v>72790</v>
      </c>
      <c r="AQ295" s="23">
        <f t="shared" si="170"/>
        <v>73480</v>
      </c>
      <c r="AR295" s="23">
        <f t="shared" si="171"/>
        <v>72560</v>
      </c>
      <c r="AS295" s="23">
        <f t="shared" si="172"/>
        <v>73135</v>
      </c>
      <c r="AT295" s="23">
        <f t="shared" si="173"/>
        <v>72905</v>
      </c>
      <c r="AU295" s="23">
        <f t="shared" si="174"/>
        <v>73940</v>
      </c>
      <c r="AV295" s="23">
        <f t="shared" si="175"/>
        <v>72100</v>
      </c>
      <c r="AW295" s="23">
        <f t="shared" si="176"/>
        <v>73096.666666666672</v>
      </c>
      <c r="AX295" s="23">
        <f t="shared" si="177"/>
        <v>72943.333333333328</v>
      </c>
      <c r="AY295" s="23">
        <f t="shared" si="178"/>
        <v>74400</v>
      </c>
      <c r="AZ295" s="23">
        <f t="shared" si="179"/>
        <v>71640</v>
      </c>
      <c r="BA295" s="23">
        <f t="shared" si="188"/>
        <v>73570.25</v>
      </c>
      <c r="BB295" s="43"/>
      <c r="BC295" s="51">
        <f t="shared" si="161"/>
        <v>73020</v>
      </c>
      <c r="BD295" s="52">
        <f t="shared" si="165"/>
        <v>73570.25</v>
      </c>
      <c r="BE295" s="37">
        <f t="shared" si="183"/>
        <v>-550.25</v>
      </c>
      <c r="BF295">
        <f t="shared" si="184"/>
        <v>550.25</v>
      </c>
      <c r="BG295">
        <f t="shared" si="185"/>
        <v>7.53560668310052E-3</v>
      </c>
    </row>
    <row r="296" spans="1:59">
      <c r="A296" s="1" t="s">
        <v>297</v>
      </c>
      <c r="B296" s="1">
        <v>70730</v>
      </c>
      <c r="Q296">
        <v>293</v>
      </c>
      <c r="R296" s="27" t="str">
        <f t="shared" si="162"/>
        <v>21/06/2024</v>
      </c>
      <c r="S296" s="27">
        <f t="shared" si="162"/>
        <v>69870</v>
      </c>
      <c r="T296" s="4" t="str">
        <f t="shared" si="163"/>
        <v>A5</v>
      </c>
      <c r="V296">
        <v>293</v>
      </c>
      <c r="W296" s="28" t="str">
        <f t="shared" si="160"/>
        <v>21/06/2024</v>
      </c>
      <c r="X296" s="28">
        <f t="shared" si="160"/>
        <v>69870</v>
      </c>
      <c r="Y296" s="28" t="str">
        <f t="shared" si="160"/>
        <v>A5</v>
      </c>
      <c r="Z296" s="5" t="str">
        <f t="shared" si="187"/>
        <v>A6</v>
      </c>
      <c r="AA296" s="5" t="str">
        <f t="shared" si="164"/>
        <v>A5</v>
      </c>
      <c r="AG296" s="49" t="str">
        <f t="shared" si="159"/>
        <v>21/06/2024</v>
      </c>
      <c r="AH296" s="46">
        <f t="shared" si="159"/>
        <v>69870</v>
      </c>
      <c r="AI296" s="49" t="str">
        <f t="shared" si="159"/>
        <v>A5</v>
      </c>
      <c r="AJ296" s="49" t="str">
        <f t="shared" si="167"/>
        <v>A6</v>
      </c>
      <c r="AK296" s="50">
        <f t="shared" si="157"/>
        <v>73860.5</v>
      </c>
      <c r="AL296" s="49" t="str">
        <f t="shared" si="180"/>
        <v>A5</v>
      </c>
      <c r="AM296" s="50">
        <f t="shared" si="168"/>
        <v>67829.5</v>
      </c>
      <c r="AN296" s="56">
        <f t="shared" si="181"/>
        <v>3100</v>
      </c>
      <c r="AO296" s="57">
        <f t="shared" si="182"/>
        <v>71420</v>
      </c>
      <c r="AP296" s="23">
        <f t="shared" si="169"/>
        <v>68320</v>
      </c>
      <c r="AQ296" s="23">
        <f t="shared" si="170"/>
        <v>72970</v>
      </c>
      <c r="AR296" s="23">
        <f t="shared" si="171"/>
        <v>66770</v>
      </c>
      <c r="AS296" s="23">
        <f t="shared" si="172"/>
        <v>70645</v>
      </c>
      <c r="AT296" s="23">
        <f t="shared" si="173"/>
        <v>69095</v>
      </c>
      <c r="AU296" s="23">
        <f t="shared" si="174"/>
        <v>76070</v>
      </c>
      <c r="AV296" s="23">
        <f t="shared" si="175"/>
        <v>63670</v>
      </c>
      <c r="AW296" s="23">
        <f t="shared" si="176"/>
        <v>70386.666666666672</v>
      </c>
      <c r="AX296" s="23">
        <f t="shared" si="177"/>
        <v>69353.333333333328</v>
      </c>
      <c r="AY296" s="23">
        <f t="shared" si="178"/>
        <v>79170</v>
      </c>
      <c r="AZ296" s="23">
        <f t="shared" si="179"/>
        <v>60570</v>
      </c>
      <c r="BA296" s="23">
        <f t="shared" si="188"/>
        <v>73555.25</v>
      </c>
      <c r="BB296" s="43"/>
      <c r="BC296" s="51">
        <f t="shared" si="161"/>
        <v>69870</v>
      </c>
      <c r="BD296" s="52">
        <f t="shared" si="165"/>
        <v>73555.25</v>
      </c>
      <c r="BE296" s="37">
        <f t="shared" si="183"/>
        <v>-3685.25</v>
      </c>
      <c r="BF296">
        <f t="shared" si="184"/>
        <v>3685.25</v>
      </c>
      <c r="BG296">
        <f t="shared" si="185"/>
        <v>5.2744382424502648E-2</v>
      </c>
    </row>
    <row r="297" spans="1:59">
      <c r="A297" s="1" t="s">
        <v>298</v>
      </c>
      <c r="B297" s="1">
        <v>68600</v>
      </c>
      <c r="Q297">
        <v>294</v>
      </c>
      <c r="R297" s="27" t="str">
        <f t="shared" si="162"/>
        <v>22/06/2024</v>
      </c>
      <c r="S297" s="27">
        <f t="shared" si="162"/>
        <v>70950</v>
      </c>
      <c r="T297" s="4" t="str">
        <f t="shared" si="163"/>
        <v>A6</v>
      </c>
      <c r="V297">
        <v>294</v>
      </c>
      <c r="W297" s="28" t="str">
        <f t="shared" si="160"/>
        <v>22/06/2024</v>
      </c>
      <c r="X297" s="28">
        <f t="shared" si="160"/>
        <v>70950</v>
      </c>
      <c r="Y297" s="28" t="str">
        <f t="shared" si="160"/>
        <v>A6</v>
      </c>
      <c r="Z297" s="5" t="str">
        <f t="shared" si="187"/>
        <v>A5</v>
      </c>
      <c r="AA297" s="5" t="str">
        <f t="shared" si="164"/>
        <v>A6</v>
      </c>
      <c r="AG297" s="49" t="str">
        <f t="shared" si="159"/>
        <v>22/06/2024</v>
      </c>
      <c r="AH297" s="46">
        <f t="shared" si="159"/>
        <v>70950</v>
      </c>
      <c r="AI297" s="49" t="str">
        <f t="shared" si="159"/>
        <v>A6</v>
      </c>
      <c r="AJ297" s="49" t="str">
        <f t="shared" si="167"/>
        <v>A5</v>
      </c>
      <c r="AK297" s="50">
        <f t="shared" si="157"/>
        <v>67829.5</v>
      </c>
      <c r="AL297" s="49" t="str">
        <f t="shared" si="180"/>
        <v>A6</v>
      </c>
      <c r="AM297" s="50">
        <f t="shared" si="168"/>
        <v>73860.5</v>
      </c>
      <c r="AN297" s="56">
        <f t="shared" si="181"/>
        <v>2070</v>
      </c>
      <c r="AO297" s="57">
        <f t="shared" si="182"/>
        <v>71985</v>
      </c>
      <c r="AP297" s="23">
        <f t="shared" si="169"/>
        <v>69915</v>
      </c>
      <c r="AQ297" s="23">
        <f t="shared" si="170"/>
        <v>73020</v>
      </c>
      <c r="AR297" s="23">
        <f t="shared" si="171"/>
        <v>68880</v>
      </c>
      <c r="AS297" s="23">
        <f t="shared" si="172"/>
        <v>71467.5</v>
      </c>
      <c r="AT297" s="23">
        <f t="shared" si="173"/>
        <v>70432.5</v>
      </c>
      <c r="AU297" s="23">
        <f t="shared" si="174"/>
        <v>75090</v>
      </c>
      <c r="AV297" s="23">
        <f t="shared" si="175"/>
        <v>66810</v>
      </c>
      <c r="AW297" s="23">
        <f t="shared" si="176"/>
        <v>71295</v>
      </c>
      <c r="AX297" s="23">
        <f t="shared" si="177"/>
        <v>70605</v>
      </c>
      <c r="AY297" s="23">
        <f t="shared" si="178"/>
        <v>77160</v>
      </c>
      <c r="AZ297" s="23">
        <f t="shared" si="179"/>
        <v>64740</v>
      </c>
      <c r="BA297" s="23">
        <f t="shared" si="188"/>
        <v>69624.75</v>
      </c>
      <c r="BB297" s="43"/>
      <c r="BC297" s="51">
        <f t="shared" si="161"/>
        <v>70950</v>
      </c>
      <c r="BD297" s="52">
        <f t="shared" si="165"/>
        <v>69624.75</v>
      </c>
      <c r="BE297" s="37">
        <f t="shared" si="183"/>
        <v>1325.25</v>
      </c>
      <c r="BF297">
        <f t="shared" si="184"/>
        <v>1325.25</v>
      </c>
      <c r="BG297">
        <f t="shared" si="185"/>
        <v>1.8678646934460887E-2</v>
      </c>
    </row>
    <row r="298" spans="1:59">
      <c r="A298" s="1" t="s">
        <v>299</v>
      </c>
      <c r="B298" s="1">
        <v>67810</v>
      </c>
      <c r="Q298">
        <v>295</v>
      </c>
      <c r="R298" s="27" t="str">
        <f t="shared" si="162"/>
        <v>23/06/2024</v>
      </c>
      <c r="S298" s="27">
        <f t="shared" si="162"/>
        <v>70730</v>
      </c>
      <c r="T298" s="4" t="str">
        <f t="shared" si="163"/>
        <v>A5</v>
      </c>
      <c r="V298">
        <v>295</v>
      </c>
      <c r="W298" s="28" t="str">
        <f t="shared" si="160"/>
        <v>23/06/2024</v>
      </c>
      <c r="X298" s="28">
        <f t="shared" si="160"/>
        <v>70730</v>
      </c>
      <c r="Y298" s="28" t="str">
        <f t="shared" si="160"/>
        <v>A5</v>
      </c>
      <c r="Z298" s="5" t="str">
        <f t="shared" si="187"/>
        <v>A6</v>
      </c>
      <c r="AA298" s="5" t="str">
        <f t="shared" si="164"/>
        <v>A5</v>
      </c>
      <c r="AG298" s="49" t="str">
        <f t="shared" si="159"/>
        <v>23/06/2024</v>
      </c>
      <c r="AH298" s="46">
        <f t="shared" si="159"/>
        <v>70730</v>
      </c>
      <c r="AI298" s="49" t="str">
        <f t="shared" si="159"/>
        <v>A5</v>
      </c>
      <c r="AJ298" s="49" t="str">
        <f t="shared" si="167"/>
        <v>A6</v>
      </c>
      <c r="AK298" s="50">
        <f t="shared" si="157"/>
        <v>73860.5</v>
      </c>
      <c r="AL298" s="49" t="str">
        <f t="shared" si="180"/>
        <v>A5</v>
      </c>
      <c r="AM298" s="50">
        <f t="shared" si="168"/>
        <v>67829.5</v>
      </c>
      <c r="AN298" s="56">
        <f t="shared" si="181"/>
        <v>860</v>
      </c>
      <c r="AO298" s="57">
        <f t="shared" si="182"/>
        <v>71160</v>
      </c>
      <c r="AP298" s="23">
        <f t="shared" si="169"/>
        <v>70300</v>
      </c>
      <c r="AQ298" s="23">
        <f t="shared" si="170"/>
        <v>71590</v>
      </c>
      <c r="AR298" s="23">
        <f t="shared" si="171"/>
        <v>69870</v>
      </c>
      <c r="AS298" s="23">
        <f t="shared" si="172"/>
        <v>70945</v>
      </c>
      <c r="AT298" s="23">
        <f t="shared" si="173"/>
        <v>70515</v>
      </c>
      <c r="AU298" s="23">
        <f t="shared" si="174"/>
        <v>72450</v>
      </c>
      <c r="AV298" s="23">
        <f t="shared" si="175"/>
        <v>69010</v>
      </c>
      <c r="AW298" s="23">
        <f t="shared" si="176"/>
        <v>70873.333333333328</v>
      </c>
      <c r="AX298" s="23">
        <f t="shared" si="177"/>
        <v>70586.666666666672</v>
      </c>
      <c r="AY298" s="23">
        <f t="shared" si="178"/>
        <v>73310</v>
      </c>
      <c r="AZ298" s="23">
        <f t="shared" si="179"/>
        <v>68150</v>
      </c>
      <c r="BA298" s="23">
        <f t="shared" si="188"/>
        <v>72922.75</v>
      </c>
      <c r="BB298" s="43"/>
      <c r="BC298" s="51">
        <f t="shared" si="161"/>
        <v>70730</v>
      </c>
      <c r="BD298" s="52">
        <f t="shared" si="165"/>
        <v>72922.75</v>
      </c>
      <c r="BE298" s="37">
        <f t="shared" si="183"/>
        <v>-2192.75</v>
      </c>
      <c r="BF298">
        <f t="shared" si="184"/>
        <v>2192.75</v>
      </c>
      <c r="BG298">
        <f t="shared" si="185"/>
        <v>3.1001696592676375E-2</v>
      </c>
    </row>
    <row r="299" spans="1:59">
      <c r="A299" s="1" t="s">
        <v>300</v>
      </c>
      <c r="B299" s="1">
        <v>66630</v>
      </c>
      <c r="Q299">
        <v>296</v>
      </c>
      <c r="R299" s="27" t="str">
        <f t="shared" si="162"/>
        <v>24/06/2024</v>
      </c>
      <c r="S299" s="27">
        <f t="shared" si="162"/>
        <v>68600</v>
      </c>
      <c r="T299" s="4" t="str">
        <f t="shared" si="163"/>
        <v>A5</v>
      </c>
      <c r="V299">
        <v>296</v>
      </c>
      <c r="W299" s="28" t="str">
        <f t="shared" si="160"/>
        <v>24/06/2024</v>
      </c>
      <c r="X299" s="28">
        <f t="shared" si="160"/>
        <v>68600</v>
      </c>
      <c r="Y299" s="28" t="str">
        <f t="shared" si="160"/>
        <v>A5</v>
      </c>
      <c r="Z299" s="5" t="str">
        <f t="shared" si="187"/>
        <v>A5</v>
      </c>
      <c r="AA299" s="5" t="str">
        <f t="shared" si="164"/>
        <v>A5</v>
      </c>
      <c r="AG299" s="49" t="str">
        <f t="shared" si="159"/>
        <v>24/06/2024</v>
      </c>
      <c r="AH299" s="46">
        <f t="shared" si="159"/>
        <v>68600</v>
      </c>
      <c r="AI299" s="49" t="str">
        <f t="shared" si="159"/>
        <v>A5</v>
      </c>
      <c r="AJ299" s="49" t="str">
        <f t="shared" si="167"/>
        <v>A5</v>
      </c>
      <c r="AK299" s="50">
        <f t="shared" si="157"/>
        <v>67829.5</v>
      </c>
      <c r="AL299" s="49" t="str">
        <f t="shared" si="180"/>
        <v>A5</v>
      </c>
      <c r="AM299" s="50">
        <f t="shared" si="168"/>
        <v>67829.5</v>
      </c>
      <c r="AN299" s="56">
        <f t="shared" si="181"/>
        <v>1910</v>
      </c>
      <c r="AO299" s="57">
        <f t="shared" si="182"/>
        <v>69555</v>
      </c>
      <c r="AP299" s="23">
        <f t="shared" si="169"/>
        <v>67645</v>
      </c>
      <c r="AQ299" s="23">
        <f t="shared" si="170"/>
        <v>70510</v>
      </c>
      <c r="AR299" s="23">
        <f t="shared" si="171"/>
        <v>66690</v>
      </c>
      <c r="AS299" s="23">
        <f t="shared" si="172"/>
        <v>69077.5</v>
      </c>
      <c r="AT299" s="23">
        <f t="shared" si="173"/>
        <v>68122.5</v>
      </c>
      <c r="AU299" s="23">
        <f t="shared" si="174"/>
        <v>72420</v>
      </c>
      <c r="AV299" s="23">
        <f t="shared" si="175"/>
        <v>64780</v>
      </c>
      <c r="AW299" s="23">
        <f t="shared" si="176"/>
        <v>68918.333333333328</v>
      </c>
      <c r="AX299" s="23">
        <f t="shared" si="177"/>
        <v>68281.666666666672</v>
      </c>
      <c r="AY299" s="23">
        <f t="shared" si="178"/>
        <v>74330</v>
      </c>
      <c r="AZ299" s="23">
        <f t="shared" si="179"/>
        <v>62870</v>
      </c>
      <c r="BA299" s="23">
        <f t="shared" si="188"/>
        <v>69494.75</v>
      </c>
      <c r="BB299" s="43"/>
      <c r="BC299" s="51">
        <f t="shared" si="161"/>
        <v>68600</v>
      </c>
      <c r="BD299" s="52">
        <f t="shared" si="165"/>
        <v>69494.75</v>
      </c>
      <c r="BE299" s="37">
        <f t="shared" si="183"/>
        <v>-894.75</v>
      </c>
      <c r="BF299">
        <f t="shared" si="184"/>
        <v>894.75</v>
      </c>
      <c r="BG299">
        <f t="shared" si="185"/>
        <v>1.3043002915451895E-2</v>
      </c>
    </row>
    <row r="300" spans="1:59">
      <c r="A300" s="1" t="s">
        <v>301</v>
      </c>
      <c r="B300" s="1">
        <v>69210</v>
      </c>
      <c r="Q300">
        <v>297</v>
      </c>
      <c r="R300" s="27" t="str">
        <f t="shared" si="162"/>
        <v>25/06/2024</v>
      </c>
      <c r="S300" s="27">
        <f t="shared" si="162"/>
        <v>67810</v>
      </c>
      <c r="T300" s="4" t="str">
        <f t="shared" si="163"/>
        <v>A5</v>
      </c>
      <c r="V300">
        <v>297</v>
      </c>
      <c r="W300" s="28" t="str">
        <f t="shared" si="160"/>
        <v>25/06/2024</v>
      </c>
      <c r="X300" s="28">
        <f t="shared" si="160"/>
        <v>67810</v>
      </c>
      <c r="Y300" s="28" t="str">
        <f t="shared" si="160"/>
        <v>A5</v>
      </c>
      <c r="Z300" s="5" t="str">
        <f t="shared" si="187"/>
        <v>A5</v>
      </c>
      <c r="AA300" s="5" t="str">
        <f t="shared" si="164"/>
        <v>A5</v>
      </c>
      <c r="AG300" s="49" t="str">
        <f t="shared" si="159"/>
        <v>25/06/2024</v>
      </c>
      <c r="AH300" s="46">
        <f t="shared" si="159"/>
        <v>67810</v>
      </c>
      <c r="AI300" s="49" t="str">
        <f t="shared" si="159"/>
        <v>A5</v>
      </c>
      <c r="AJ300" s="49" t="str">
        <f t="shared" si="167"/>
        <v>A5</v>
      </c>
      <c r="AK300" s="50">
        <f t="shared" si="157"/>
        <v>67829.5</v>
      </c>
      <c r="AL300" s="49" t="str">
        <f t="shared" si="180"/>
        <v>A5</v>
      </c>
      <c r="AM300" s="50">
        <f t="shared" si="168"/>
        <v>67829.5</v>
      </c>
      <c r="AN300" s="56">
        <f t="shared" si="181"/>
        <v>1340</v>
      </c>
      <c r="AO300" s="57">
        <f t="shared" si="182"/>
        <v>68480</v>
      </c>
      <c r="AP300" s="23">
        <f t="shared" si="169"/>
        <v>67140</v>
      </c>
      <c r="AQ300" s="23">
        <f t="shared" si="170"/>
        <v>69150</v>
      </c>
      <c r="AR300" s="23">
        <f t="shared" si="171"/>
        <v>66470</v>
      </c>
      <c r="AS300" s="23">
        <f t="shared" si="172"/>
        <v>68145</v>
      </c>
      <c r="AT300" s="23">
        <f t="shared" si="173"/>
        <v>67475</v>
      </c>
      <c r="AU300" s="23">
        <f t="shared" si="174"/>
        <v>70490</v>
      </c>
      <c r="AV300" s="23">
        <f t="shared" si="175"/>
        <v>65130</v>
      </c>
      <c r="AW300" s="23">
        <f t="shared" si="176"/>
        <v>68033.333333333328</v>
      </c>
      <c r="AX300" s="23">
        <f t="shared" si="177"/>
        <v>67586.666666666672</v>
      </c>
      <c r="AY300" s="23">
        <f t="shared" si="178"/>
        <v>71830</v>
      </c>
      <c r="AZ300" s="23">
        <f t="shared" si="179"/>
        <v>63790</v>
      </c>
      <c r="BA300" s="23">
        <f t="shared" si="188"/>
        <v>68692.25</v>
      </c>
      <c r="BB300" s="43"/>
      <c r="BC300" s="51">
        <f t="shared" si="161"/>
        <v>67810</v>
      </c>
      <c r="BD300" s="52">
        <f t="shared" si="165"/>
        <v>68692.25</v>
      </c>
      <c r="BE300" s="37">
        <f t="shared" si="183"/>
        <v>-882.25</v>
      </c>
      <c r="BF300">
        <f t="shared" si="184"/>
        <v>882.25</v>
      </c>
      <c r="BG300">
        <f t="shared" si="185"/>
        <v>1.3010617902964164E-2</v>
      </c>
    </row>
    <row r="301" spans="1:59">
      <c r="A301" s="1" t="s">
        <v>302</v>
      </c>
      <c r="B301" s="1">
        <v>71620</v>
      </c>
      <c r="Q301">
        <v>298</v>
      </c>
      <c r="R301" s="27" t="str">
        <f t="shared" si="162"/>
        <v>26/06/2024</v>
      </c>
      <c r="S301" s="27">
        <f t="shared" si="162"/>
        <v>66630</v>
      </c>
      <c r="T301" s="4" t="str">
        <f t="shared" si="163"/>
        <v>A5</v>
      </c>
      <c r="V301">
        <v>298</v>
      </c>
      <c r="W301" s="28" t="str">
        <f t="shared" si="160"/>
        <v>26/06/2024</v>
      </c>
      <c r="X301" s="28">
        <f t="shared" si="160"/>
        <v>66630</v>
      </c>
      <c r="Y301" s="28" t="str">
        <f t="shared" si="160"/>
        <v>A5</v>
      </c>
      <c r="Z301" s="5" t="str">
        <f t="shared" si="187"/>
        <v>A5</v>
      </c>
      <c r="AA301" s="5" t="str">
        <f t="shared" si="164"/>
        <v>A5</v>
      </c>
      <c r="AG301" s="49" t="str">
        <f t="shared" si="159"/>
        <v>26/06/2024</v>
      </c>
      <c r="AH301" s="46">
        <f t="shared" si="159"/>
        <v>66630</v>
      </c>
      <c r="AI301" s="49" t="str">
        <f t="shared" si="159"/>
        <v>A5</v>
      </c>
      <c r="AJ301" s="49" t="str">
        <f t="shared" si="167"/>
        <v>A5</v>
      </c>
      <c r="AK301" s="50">
        <f t="shared" si="157"/>
        <v>67829.5</v>
      </c>
      <c r="AL301" s="49" t="str">
        <f t="shared" si="180"/>
        <v>A5</v>
      </c>
      <c r="AM301" s="50">
        <f t="shared" si="168"/>
        <v>67829.5</v>
      </c>
      <c r="AN301" s="56">
        <f t="shared" si="181"/>
        <v>390</v>
      </c>
      <c r="AO301" s="57">
        <f t="shared" si="182"/>
        <v>66825</v>
      </c>
      <c r="AP301" s="23">
        <f t="shared" si="169"/>
        <v>66435</v>
      </c>
      <c r="AQ301" s="23">
        <f t="shared" si="170"/>
        <v>67020</v>
      </c>
      <c r="AR301" s="23">
        <f t="shared" si="171"/>
        <v>66240</v>
      </c>
      <c r="AS301" s="23">
        <f t="shared" si="172"/>
        <v>66727.5</v>
      </c>
      <c r="AT301" s="23">
        <f t="shared" si="173"/>
        <v>66532.5</v>
      </c>
      <c r="AU301" s="23">
        <f t="shared" si="174"/>
        <v>67410</v>
      </c>
      <c r="AV301" s="23">
        <f t="shared" si="175"/>
        <v>65850</v>
      </c>
      <c r="AW301" s="23">
        <f t="shared" si="176"/>
        <v>66695</v>
      </c>
      <c r="AX301" s="23">
        <f t="shared" si="177"/>
        <v>66565</v>
      </c>
      <c r="AY301" s="23">
        <f t="shared" si="178"/>
        <v>67800</v>
      </c>
      <c r="AZ301" s="23">
        <f t="shared" si="179"/>
        <v>65460</v>
      </c>
      <c r="BA301" s="23">
        <f t="shared" si="188"/>
        <v>68154.75</v>
      </c>
      <c r="BB301" s="43"/>
      <c r="BC301" s="51">
        <f t="shared" si="161"/>
        <v>66630</v>
      </c>
      <c r="BD301" s="52">
        <f t="shared" si="165"/>
        <v>68154.75</v>
      </c>
      <c r="BE301" s="37">
        <f t="shared" si="183"/>
        <v>-1524.75</v>
      </c>
      <c r="BF301">
        <f t="shared" si="184"/>
        <v>1524.75</v>
      </c>
      <c r="BG301">
        <f t="shared" si="185"/>
        <v>2.2883836109860424E-2</v>
      </c>
    </row>
    <row r="302" spans="1:59">
      <c r="A302" s="1" t="s">
        <v>303</v>
      </c>
      <c r="B302" s="1">
        <v>68690</v>
      </c>
      <c r="Q302">
        <v>299</v>
      </c>
      <c r="R302" s="27" t="str">
        <f t="shared" si="162"/>
        <v>27/06/2024</v>
      </c>
      <c r="S302" s="27">
        <f t="shared" si="162"/>
        <v>69210</v>
      </c>
      <c r="T302" s="4" t="str">
        <f t="shared" si="163"/>
        <v>A5</v>
      </c>
      <c r="V302">
        <v>299</v>
      </c>
      <c r="W302" s="28" t="str">
        <f t="shared" si="160"/>
        <v>27/06/2024</v>
      </c>
      <c r="X302" s="28">
        <f t="shared" si="160"/>
        <v>69210</v>
      </c>
      <c r="Y302" s="28" t="str">
        <f t="shared" si="160"/>
        <v>A5</v>
      </c>
      <c r="Z302" s="5" t="str">
        <f t="shared" si="187"/>
        <v>A5</v>
      </c>
      <c r="AA302" s="5" t="str">
        <f t="shared" si="164"/>
        <v>A5</v>
      </c>
      <c r="AG302" s="49" t="str">
        <f t="shared" si="159"/>
        <v>27/06/2024</v>
      </c>
      <c r="AH302" s="46">
        <f t="shared" si="159"/>
        <v>69210</v>
      </c>
      <c r="AI302" s="49" t="str">
        <f t="shared" si="159"/>
        <v>A5</v>
      </c>
      <c r="AJ302" s="49" t="str">
        <f t="shared" si="167"/>
        <v>A5</v>
      </c>
      <c r="AK302" s="50">
        <f t="shared" si="157"/>
        <v>67829.5</v>
      </c>
      <c r="AL302" s="49" t="str">
        <f t="shared" si="180"/>
        <v>A5</v>
      </c>
      <c r="AM302" s="50">
        <f t="shared" si="168"/>
        <v>67829.5</v>
      </c>
      <c r="AN302" s="56">
        <f t="shared" si="181"/>
        <v>1400</v>
      </c>
      <c r="AO302" s="57">
        <f t="shared" si="182"/>
        <v>69910</v>
      </c>
      <c r="AP302" s="23">
        <f t="shared" si="169"/>
        <v>68510</v>
      </c>
      <c r="AQ302" s="23">
        <f t="shared" si="170"/>
        <v>70610</v>
      </c>
      <c r="AR302" s="23">
        <f t="shared" si="171"/>
        <v>67810</v>
      </c>
      <c r="AS302" s="23">
        <f t="shared" si="172"/>
        <v>69560</v>
      </c>
      <c r="AT302" s="23">
        <f t="shared" si="173"/>
        <v>68860</v>
      </c>
      <c r="AU302" s="23">
        <f t="shared" si="174"/>
        <v>72010</v>
      </c>
      <c r="AV302" s="23">
        <f t="shared" si="175"/>
        <v>66410</v>
      </c>
      <c r="AW302" s="23">
        <f t="shared" si="176"/>
        <v>69443.333333333328</v>
      </c>
      <c r="AX302" s="23">
        <f t="shared" si="177"/>
        <v>68976.666666666672</v>
      </c>
      <c r="AY302" s="23">
        <f t="shared" si="178"/>
        <v>73410</v>
      </c>
      <c r="AZ302" s="23">
        <f t="shared" si="179"/>
        <v>65010</v>
      </c>
      <c r="BA302" s="23">
        <f t="shared" si="188"/>
        <v>67327.25</v>
      </c>
      <c r="BB302" s="43"/>
      <c r="BC302" s="51">
        <f t="shared" si="161"/>
        <v>69210</v>
      </c>
      <c r="BD302" s="52">
        <f t="shared" si="165"/>
        <v>67327.25</v>
      </c>
      <c r="BE302" s="37">
        <f t="shared" si="183"/>
        <v>1882.75</v>
      </c>
      <c r="BF302">
        <f t="shared" si="184"/>
        <v>1882.75</v>
      </c>
      <c r="BG302">
        <f t="shared" si="185"/>
        <v>2.7203438809420603E-2</v>
      </c>
    </row>
    <row r="303" spans="1:59">
      <c r="A303" s="1" t="s">
        <v>304</v>
      </c>
      <c r="B303" s="1">
        <v>69200</v>
      </c>
      <c r="Q303">
        <v>300</v>
      </c>
      <c r="R303" s="27" t="str">
        <f t="shared" si="162"/>
        <v>28/06/2024</v>
      </c>
      <c r="S303" s="27">
        <f t="shared" si="162"/>
        <v>71620</v>
      </c>
      <c r="T303" s="4" t="str">
        <f t="shared" si="163"/>
        <v>A6</v>
      </c>
      <c r="V303">
        <v>300</v>
      </c>
      <c r="W303" s="28" t="str">
        <f t="shared" si="160"/>
        <v>28/06/2024</v>
      </c>
      <c r="X303" s="28">
        <f t="shared" si="160"/>
        <v>71620</v>
      </c>
      <c r="Y303" s="28" t="str">
        <f t="shared" si="160"/>
        <v>A6</v>
      </c>
      <c r="Z303" s="5" t="str">
        <f t="shared" si="187"/>
        <v>A5</v>
      </c>
      <c r="AA303" s="5" t="str">
        <f t="shared" si="164"/>
        <v>A6</v>
      </c>
      <c r="AG303" s="49" t="str">
        <f t="shared" si="159"/>
        <v>28/06/2024</v>
      </c>
      <c r="AH303" s="46">
        <f t="shared" si="159"/>
        <v>71620</v>
      </c>
      <c r="AI303" s="49" t="str">
        <f t="shared" si="159"/>
        <v>A6</v>
      </c>
      <c r="AJ303" s="49" t="str">
        <f t="shared" si="167"/>
        <v>A5</v>
      </c>
      <c r="AK303" s="50">
        <f t="shared" si="157"/>
        <v>67829.5</v>
      </c>
      <c r="AL303" s="49" t="str">
        <f t="shared" si="180"/>
        <v>A6</v>
      </c>
      <c r="AM303" s="50">
        <f t="shared" si="168"/>
        <v>73860.5</v>
      </c>
      <c r="AN303" s="56">
        <f t="shared" si="181"/>
        <v>170</v>
      </c>
      <c r="AO303" s="57">
        <f t="shared" si="182"/>
        <v>71705</v>
      </c>
      <c r="AP303" s="23">
        <f t="shared" si="169"/>
        <v>71535</v>
      </c>
      <c r="AQ303" s="23">
        <f t="shared" si="170"/>
        <v>71790</v>
      </c>
      <c r="AR303" s="23">
        <f t="shared" si="171"/>
        <v>71450</v>
      </c>
      <c r="AS303" s="23">
        <f t="shared" si="172"/>
        <v>71662.5</v>
      </c>
      <c r="AT303" s="23">
        <f t="shared" si="173"/>
        <v>71577.5</v>
      </c>
      <c r="AU303" s="23">
        <f t="shared" si="174"/>
        <v>71960</v>
      </c>
      <c r="AV303" s="23">
        <f t="shared" si="175"/>
        <v>71280</v>
      </c>
      <c r="AW303" s="23">
        <f t="shared" si="176"/>
        <v>71648.333333333328</v>
      </c>
      <c r="AX303" s="23">
        <f t="shared" si="177"/>
        <v>71591.666666666672</v>
      </c>
      <c r="AY303" s="23">
        <f t="shared" si="178"/>
        <v>72130</v>
      </c>
      <c r="AZ303" s="23">
        <f t="shared" si="179"/>
        <v>71110</v>
      </c>
      <c r="BA303" s="23">
        <f t="shared" si="188"/>
        <v>68869.75</v>
      </c>
      <c r="BB303" s="43"/>
      <c r="BC303" s="51">
        <f t="shared" si="161"/>
        <v>71620</v>
      </c>
      <c r="BD303" s="52">
        <f t="shared" si="165"/>
        <v>68869.75</v>
      </c>
      <c r="BE303" s="37">
        <f t="shared" si="183"/>
        <v>2750.25</v>
      </c>
      <c r="BF303">
        <f t="shared" si="184"/>
        <v>2750.25</v>
      </c>
      <c r="BG303">
        <f t="shared" si="185"/>
        <v>3.8400586428371963E-2</v>
      </c>
    </row>
    <row r="304" spans="1:59">
      <c r="A304" s="1" t="s">
        <v>305</v>
      </c>
      <c r="B304" s="1">
        <v>71040</v>
      </c>
      <c r="Q304">
        <v>301</v>
      </c>
      <c r="R304" s="27" t="str">
        <f t="shared" si="162"/>
        <v>29/06/2024</v>
      </c>
      <c r="S304" s="27">
        <f t="shared" si="162"/>
        <v>68690</v>
      </c>
      <c r="T304" s="4" t="str">
        <f t="shared" si="163"/>
        <v>A5</v>
      </c>
      <c r="V304">
        <v>301</v>
      </c>
      <c r="W304" s="28" t="str">
        <f t="shared" si="160"/>
        <v>29/06/2024</v>
      </c>
      <c r="X304" s="28">
        <f t="shared" si="160"/>
        <v>68690</v>
      </c>
      <c r="Y304" s="28" t="str">
        <f t="shared" si="160"/>
        <v>A5</v>
      </c>
      <c r="Z304" s="5" t="str">
        <f t="shared" si="187"/>
        <v>A6</v>
      </c>
      <c r="AA304" s="5" t="str">
        <f t="shared" si="164"/>
        <v>A5</v>
      </c>
      <c r="AG304" s="49" t="str">
        <f t="shared" si="159"/>
        <v>29/06/2024</v>
      </c>
      <c r="AH304" s="46">
        <f t="shared" si="159"/>
        <v>68690</v>
      </c>
      <c r="AI304" s="49" t="str">
        <f t="shared" si="159"/>
        <v>A5</v>
      </c>
      <c r="AJ304" s="49" t="str">
        <f t="shared" si="167"/>
        <v>A6</v>
      </c>
      <c r="AK304" s="50">
        <f t="shared" si="157"/>
        <v>73860.5</v>
      </c>
      <c r="AL304" s="49" t="str">
        <f t="shared" si="180"/>
        <v>A5</v>
      </c>
      <c r="AM304" s="50">
        <f t="shared" si="168"/>
        <v>67829.5</v>
      </c>
      <c r="AN304" s="56">
        <f t="shared" si="181"/>
        <v>520</v>
      </c>
      <c r="AO304" s="57">
        <f t="shared" si="182"/>
        <v>68950</v>
      </c>
      <c r="AP304" s="23">
        <f t="shared" si="169"/>
        <v>68430</v>
      </c>
      <c r="AQ304" s="23">
        <f t="shared" si="170"/>
        <v>69210</v>
      </c>
      <c r="AR304" s="23">
        <f t="shared" si="171"/>
        <v>68170</v>
      </c>
      <c r="AS304" s="23">
        <f t="shared" si="172"/>
        <v>68820</v>
      </c>
      <c r="AT304" s="23">
        <f t="shared" si="173"/>
        <v>68560</v>
      </c>
      <c r="AU304" s="23">
        <f t="shared" si="174"/>
        <v>69730</v>
      </c>
      <c r="AV304" s="23">
        <f t="shared" si="175"/>
        <v>67650</v>
      </c>
      <c r="AW304" s="23">
        <f t="shared" si="176"/>
        <v>68776.666666666672</v>
      </c>
      <c r="AX304" s="23">
        <f t="shared" si="177"/>
        <v>68603.333333333328</v>
      </c>
      <c r="AY304" s="23">
        <f t="shared" si="178"/>
        <v>70250</v>
      </c>
      <c r="AZ304" s="23">
        <f t="shared" si="179"/>
        <v>67130</v>
      </c>
      <c r="BA304" s="23">
        <f t="shared" si="188"/>
        <v>72782.75</v>
      </c>
      <c r="BB304" s="43"/>
      <c r="BC304" s="51">
        <f t="shared" si="161"/>
        <v>68690</v>
      </c>
      <c r="BD304" s="52">
        <f t="shared" si="165"/>
        <v>72782.75</v>
      </c>
      <c r="BE304" s="37">
        <f t="shared" si="183"/>
        <v>-4092.75</v>
      </c>
      <c r="BF304">
        <f t="shared" si="184"/>
        <v>4092.75</v>
      </c>
      <c r="BG304">
        <f t="shared" si="185"/>
        <v>5.9582908720337752E-2</v>
      </c>
    </row>
    <row r="305" spans="1:59">
      <c r="A305" s="1" t="s">
        <v>306</v>
      </c>
      <c r="B305" s="1">
        <v>71100</v>
      </c>
      <c r="Q305">
        <v>302</v>
      </c>
      <c r="R305" s="27" t="str">
        <f t="shared" si="162"/>
        <v>30/06/2024</v>
      </c>
      <c r="S305" s="27">
        <f t="shared" si="162"/>
        <v>69200</v>
      </c>
      <c r="T305" s="4" t="str">
        <f t="shared" si="163"/>
        <v>A5</v>
      </c>
      <c r="V305">
        <v>302</v>
      </c>
      <c r="W305" s="28" t="str">
        <f t="shared" si="160"/>
        <v>30/06/2024</v>
      </c>
      <c r="X305" s="28">
        <f t="shared" si="160"/>
        <v>69200</v>
      </c>
      <c r="Y305" s="28" t="str">
        <f t="shared" si="160"/>
        <v>A5</v>
      </c>
      <c r="Z305" s="5" t="str">
        <f t="shared" si="187"/>
        <v>A5</v>
      </c>
      <c r="AA305" s="5" t="str">
        <f t="shared" si="164"/>
        <v>A5</v>
      </c>
      <c r="AG305" s="49" t="str">
        <f t="shared" si="159"/>
        <v>30/06/2024</v>
      </c>
      <c r="AH305" s="46">
        <f t="shared" si="159"/>
        <v>69200</v>
      </c>
      <c r="AI305" s="49" t="str">
        <f t="shared" si="159"/>
        <v>A5</v>
      </c>
      <c r="AJ305" s="49" t="str">
        <f t="shared" si="167"/>
        <v>A5</v>
      </c>
      <c r="AK305" s="50">
        <f t="shared" si="157"/>
        <v>67829.5</v>
      </c>
      <c r="AL305" s="49" t="str">
        <f t="shared" si="180"/>
        <v>A5</v>
      </c>
      <c r="AM305" s="50">
        <f t="shared" si="168"/>
        <v>67829.5</v>
      </c>
      <c r="AN305" s="56">
        <f t="shared" si="181"/>
        <v>2420</v>
      </c>
      <c r="AO305" s="57">
        <f t="shared" si="182"/>
        <v>70410</v>
      </c>
      <c r="AP305" s="23">
        <f t="shared" si="169"/>
        <v>67990</v>
      </c>
      <c r="AQ305" s="23">
        <f t="shared" si="170"/>
        <v>71620</v>
      </c>
      <c r="AR305" s="23">
        <f t="shared" si="171"/>
        <v>66780</v>
      </c>
      <c r="AS305" s="23">
        <f t="shared" si="172"/>
        <v>69805</v>
      </c>
      <c r="AT305" s="23">
        <f t="shared" si="173"/>
        <v>68595</v>
      </c>
      <c r="AU305" s="23">
        <f t="shared" si="174"/>
        <v>74040</v>
      </c>
      <c r="AV305" s="23">
        <f t="shared" si="175"/>
        <v>64360</v>
      </c>
      <c r="AW305" s="23">
        <f t="shared" si="176"/>
        <v>69603.333333333328</v>
      </c>
      <c r="AX305" s="23">
        <f t="shared" si="177"/>
        <v>68796.666666666672</v>
      </c>
      <c r="AY305" s="23">
        <f t="shared" si="178"/>
        <v>76460</v>
      </c>
      <c r="AZ305" s="23">
        <f t="shared" si="179"/>
        <v>61940</v>
      </c>
      <c r="BA305" s="23">
        <f t="shared" si="188"/>
        <v>68389.75</v>
      </c>
      <c r="BB305" s="43"/>
      <c r="BC305" s="51">
        <f t="shared" si="161"/>
        <v>69200</v>
      </c>
      <c r="BD305" s="52">
        <f t="shared" si="165"/>
        <v>68389.75</v>
      </c>
      <c r="BE305" s="37">
        <f t="shared" si="183"/>
        <v>810.25</v>
      </c>
      <c r="BF305">
        <f t="shared" si="184"/>
        <v>810.25</v>
      </c>
      <c r="BG305">
        <f t="shared" si="185"/>
        <v>1.1708815028901734E-2</v>
      </c>
    </row>
    <row r="306" spans="1:59">
      <c r="A306" s="1" t="s">
        <v>307</v>
      </c>
      <c r="B306" s="1">
        <v>71480</v>
      </c>
      <c r="Q306">
        <v>303</v>
      </c>
      <c r="R306" s="27" t="str">
        <f t="shared" si="162"/>
        <v>01/07/2024</v>
      </c>
      <c r="S306" s="27">
        <f t="shared" si="162"/>
        <v>71040</v>
      </c>
      <c r="T306" s="4" t="str">
        <f t="shared" si="163"/>
        <v>A6</v>
      </c>
      <c r="V306">
        <v>303</v>
      </c>
      <c r="W306" s="28" t="str">
        <f t="shared" si="160"/>
        <v>01/07/2024</v>
      </c>
      <c r="X306" s="28">
        <f t="shared" si="160"/>
        <v>71040</v>
      </c>
      <c r="Y306" s="28" t="str">
        <f t="shared" si="160"/>
        <v>A6</v>
      </c>
      <c r="Z306" s="5" t="str">
        <f t="shared" si="187"/>
        <v>A5</v>
      </c>
      <c r="AA306" s="5" t="str">
        <f t="shared" si="164"/>
        <v>A6</v>
      </c>
      <c r="AG306" s="49" t="str">
        <f t="shared" si="159"/>
        <v>01/07/2024</v>
      </c>
      <c r="AH306" s="46">
        <f t="shared" si="159"/>
        <v>71040</v>
      </c>
      <c r="AI306" s="49" t="str">
        <f t="shared" si="159"/>
        <v>A6</v>
      </c>
      <c r="AJ306" s="49" t="str">
        <f t="shared" si="167"/>
        <v>A5</v>
      </c>
      <c r="AK306" s="50">
        <f t="shared" si="157"/>
        <v>67829.5</v>
      </c>
      <c r="AL306" s="49" t="str">
        <f t="shared" si="180"/>
        <v>A6</v>
      </c>
      <c r="AM306" s="50">
        <f t="shared" si="168"/>
        <v>73860.5</v>
      </c>
      <c r="AN306" s="56">
        <f t="shared" si="181"/>
        <v>1330</v>
      </c>
      <c r="AO306" s="57">
        <f t="shared" si="182"/>
        <v>71705</v>
      </c>
      <c r="AP306" s="23">
        <f t="shared" si="169"/>
        <v>70375</v>
      </c>
      <c r="AQ306" s="23">
        <f t="shared" si="170"/>
        <v>72370</v>
      </c>
      <c r="AR306" s="23">
        <f t="shared" si="171"/>
        <v>69710</v>
      </c>
      <c r="AS306" s="23">
        <f t="shared" si="172"/>
        <v>71372.5</v>
      </c>
      <c r="AT306" s="23">
        <f t="shared" si="173"/>
        <v>70707.5</v>
      </c>
      <c r="AU306" s="23">
        <f t="shared" si="174"/>
        <v>73700</v>
      </c>
      <c r="AV306" s="23">
        <f t="shared" si="175"/>
        <v>68380</v>
      </c>
      <c r="AW306" s="23">
        <f t="shared" si="176"/>
        <v>71261.666666666672</v>
      </c>
      <c r="AX306" s="23">
        <f t="shared" si="177"/>
        <v>70818.333333333328</v>
      </c>
      <c r="AY306" s="23">
        <f t="shared" si="178"/>
        <v>75030</v>
      </c>
      <c r="AZ306" s="23">
        <f t="shared" si="179"/>
        <v>67050</v>
      </c>
      <c r="BA306" s="23">
        <f t="shared" si="188"/>
        <v>69119.75</v>
      </c>
      <c r="BB306" s="43"/>
      <c r="BC306" s="51">
        <f t="shared" si="161"/>
        <v>71040</v>
      </c>
      <c r="BD306" s="52">
        <f t="shared" si="165"/>
        <v>69119.75</v>
      </c>
      <c r="BE306" s="37">
        <f t="shared" si="183"/>
        <v>1920.25</v>
      </c>
      <c r="BF306">
        <f t="shared" si="184"/>
        <v>1920.25</v>
      </c>
      <c r="BG306">
        <f t="shared" si="185"/>
        <v>2.703054617117117E-2</v>
      </c>
    </row>
    <row r="307" spans="1:59">
      <c r="A307" s="1" t="s">
        <v>308</v>
      </c>
      <c r="B307" s="1">
        <v>71970</v>
      </c>
      <c r="Q307">
        <v>304</v>
      </c>
      <c r="R307" s="27" t="str">
        <f t="shared" si="162"/>
        <v>02/07/2024</v>
      </c>
      <c r="S307" s="27">
        <f t="shared" si="162"/>
        <v>71100</v>
      </c>
      <c r="T307" s="4" t="str">
        <f t="shared" si="163"/>
        <v>A6</v>
      </c>
      <c r="V307">
        <v>304</v>
      </c>
      <c r="W307" s="28" t="str">
        <f t="shared" si="160"/>
        <v>02/07/2024</v>
      </c>
      <c r="X307" s="28">
        <f t="shared" si="160"/>
        <v>71100</v>
      </c>
      <c r="Y307" s="28" t="str">
        <f t="shared" si="160"/>
        <v>A6</v>
      </c>
      <c r="Z307" s="5" t="str">
        <f t="shared" si="187"/>
        <v>A6</v>
      </c>
      <c r="AA307" s="5" t="str">
        <f t="shared" si="164"/>
        <v>A6</v>
      </c>
      <c r="AG307" s="49" t="str">
        <f t="shared" si="159"/>
        <v>02/07/2024</v>
      </c>
      <c r="AH307" s="46">
        <f t="shared" si="159"/>
        <v>71100</v>
      </c>
      <c r="AI307" s="49" t="str">
        <f t="shared" si="159"/>
        <v>A6</v>
      </c>
      <c r="AJ307" s="49" t="str">
        <f t="shared" si="167"/>
        <v>A6</v>
      </c>
      <c r="AK307" s="50">
        <f t="shared" ref="AK307:AK370" si="189">VLOOKUP(AJ307,$AC$18:$AD$27,2,FALSE)</f>
        <v>73860.5</v>
      </c>
      <c r="AL307" s="49" t="str">
        <f t="shared" si="180"/>
        <v>A6</v>
      </c>
      <c r="AM307" s="50">
        <f t="shared" si="168"/>
        <v>73860.5</v>
      </c>
      <c r="AN307" s="56">
        <f t="shared" si="181"/>
        <v>1780</v>
      </c>
      <c r="AO307" s="57">
        <f t="shared" si="182"/>
        <v>71990</v>
      </c>
      <c r="AP307" s="23">
        <f t="shared" si="169"/>
        <v>70210</v>
      </c>
      <c r="AQ307" s="23">
        <f t="shared" si="170"/>
        <v>72880</v>
      </c>
      <c r="AR307" s="23">
        <f t="shared" si="171"/>
        <v>69320</v>
      </c>
      <c r="AS307" s="23">
        <f t="shared" si="172"/>
        <v>71545</v>
      </c>
      <c r="AT307" s="23">
        <f t="shared" si="173"/>
        <v>70655</v>
      </c>
      <c r="AU307" s="23">
        <f t="shared" si="174"/>
        <v>74660</v>
      </c>
      <c r="AV307" s="23">
        <f t="shared" si="175"/>
        <v>67540</v>
      </c>
      <c r="AW307" s="23">
        <f t="shared" si="176"/>
        <v>71396.666666666672</v>
      </c>
      <c r="AX307" s="23">
        <f t="shared" si="177"/>
        <v>70803.333333333328</v>
      </c>
      <c r="AY307" s="23">
        <f t="shared" si="178"/>
        <v>76440</v>
      </c>
      <c r="AZ307" s="23">
        <f t="shared" si="179"/>
        <v>65760</v>
      </c>
      <c r="BA307" s="23">
        <f t="shared" si="188"/>
        <v>72782.75</v>
      </c>
      <c r="BB307" s="43"/>
      <c r="BC307" s="51">
        <f t="shared" si="161"/>
        <v>71100</v>
      </c>
      <c r="BD307" s="52">
        <f t="shared" si="165"/>
        <v>72782.75</v>
      </c>
      <c r="BE307" s="37">
        <f t="shared" si="183"/>
        <v>-1682.75</v>
      </c>
      <c r="BF307">
        <f t="shared" si="184"/>
        <v>1682.75</v>
      </c>
      <c r="BG307">
        <f t="shared" si="185"/>
        <v>2.3667369901547115E-2</v>
      </c>
    </row>
    <row r="308" spans="1:59">
      <c r="A308" s="1" t="s">
        <v>309</v>
      </c>
      <c r="B308" s="1">
        <v>73440</v>
      </c>
      <c r="Q308">
        <v>305</v>
      </c>
      <c r="R308" s="27" t="str">
        <f t="shared" si="162"/>
        <v>03/07/2024</v>
      </c>
      <c r="S308" s="27">
        <f t="shared" si="162"/>
        <v>71480</v>
      </c>
      <c r="T308" s="4" t="str">
        <f t="shared" si="163"/>
        <v>A6</v>
      </c>
      <c r="V308">
        <v>305</v>
      </c>
      <c r="W308" s="28" t="str">
        <f t="shared" si="160"/>
        <v>03/07/2024</v>
      </c>
      <c r="X308" s="28">
        <f t="shared" si="160"/>
        <v>71480</v>
      </c>
      <c r="Y308" s="28" t="str">
        <f t="shared" si="160"/>
        <v>A6</v>
      </c>
      <c r="Z308" s="5" t="str">
        <f t="shared" si="187"/>
        <v>A6</v>
      </c>
      <c r="AA308" s="5" t="str">
        <f t="shared" si="164"/>
        <v>A6</v>
      </c>
      <c r="AG308" s="49" t="str">
        <f t="shared" si="159"/>
        <v>03/07/2024</v>
      </c>
      <c r="AH308" s="46">
        <f t="shared" si="159"/>
        <v>71480</v>
      </c>
      <c r="AI308" s="49" t="str">
        <f t="shared" si="159"/>
        <v>A6</v>
      </c>
      <c r="AJ308" s="49" t="str">
        <f t="shared" si="167"/>
        <v>A6</v>
      </c>
      <c r="AK308" s="50">
        <f t="shared" si="189"/>
        <v>73860.5</v>
      </c>
      <c r="AL308" s="49" t="str">
        <f t="shared" si="180"/>
        <v>A6</v>
      </c>
      <c r="AM308" s="50">
        <f t="shared" si="168"/>
        <v>73860.5</v>
      </c>
      <c r="AN308" s="56">
        <f t="shared" si="181"/>
        <v>320</v>
      </c>
      <c r="AO308" s="57">
        <f t="shared" si="182"/>
        <v>71640</v>
      </c>
      <c r="AP308" s="23">
        <f t="shared" si="169"/>
        <v>71320</v>
      </c>
      <c r="AQ308" s="23">
        <f t="shared" si="170"/>
        <v>71800</v>
      </c>
      <c r="AR308" s="23">
        <f t="shared" si="171"/>
        <v>71160</v>
      </c>
      <c r="AS308" s="23">
        <f t="shared" si="172"/>
        <v>71560</v>
      </c>
      <c r="AT308" s="23">
        <f t="shared" si="173"/>
        <v>71400</v>
      </c>
      <c r="AU308" s="23">
        <f t="shared" si="174"/>
        <v>72120</v>
      </c>
      <c r="AV308" s="23">
        <f t="shared" si="175"/>
        <v>70840</v>
      </c>
      <c r="AW308" s="23">
        <f t="shared" si="176"/>
        <v>71533.333333333328</v>
      </c>
      <c r="AX308" s="23">
        <f t="shared" si="177"/>
        <v>71426.666666666672</v>
      </c>
      <c r="AY308" s="23">
        <f t="shared" si="178"/>
        <v>72440</v>
      </c>
      <c r="AZ308" s="23">
        <f t="shared" si="179"/>
        <v>70520</v>
      </c>
      <c r="BA308" s="23">
        <f t="shared" si="188"/>
        <v>72925.25</v>
      </c>
      <c r="BB308" s="43"/>
      <c r="BC308" s="51">
        <f t="shared" si="161"/>
        <v>71480</v>
      </c>
      <c r="BD308" s="52">
        <f t="shared" si="165"/>
        <v>72925.25</v>
      </c>
      <c r="BE308" s="37">
        <f t="shared" si="183"/>
        <v>-1445.25</v>
      </c>
      <c r="BF308">
        <f t="shared" si="184"/>
        <v>1445.25</v>
      </c>
      <c r="BG308">
        <f t="shared" si="185"/>
        <v>2.0218942361499719E-2</v>
      </c>
    </row>
    <row r="309" spans="1:59">
      <c r="A309" s="1" t="s">
        <v>310</v>
      </c>
      <c r="B309" s="1">
        <v>73410</v>
      </c>
      <c r="Q309">
        <v>306</v>
      </c>
      <c r="R309" s="27" t="str">
        <f t="shared" si="162"/>
        <v>04/07/2024</v>
      </c>
      <c r="S309" s="27">
        <f t="shared" si="162"/>
        <v>71970</v>
      </c>
      <c r="T309" s="4" t="str">
        <f t="shared" si="163"/>
        <v>A6</v>
      </c>
      <c r="V309">
        <v>306</v>
      </c>
      <c r="W309" s="28" t="str">
        <f t="shared" si="160"/>
        <v>04/07/2024</v>
      </c>
      <c r="X309" s="28">
        <f t="shared" si="160"/>
        <v>71970</v>
      </c>
      <c r="Y309" s="28" t="str">
        <f t="shared" si="160"/>
        <v>A6</v>
      </c>
      <c r="Z309" s="5" t="str">
        <f t="shared" si="187"/>
        <v>A6</v>
      </c>
      <c r="AA309" s="5" t="str">
        <f t="shared" si="164"/>
        <v>A6</v>
      </c>
      <c r="AG309" s="49" t="str">
        <f t="shared" si="159"/>
        <v>04/07/2024</v>
      </c>
      <c r="AH309" s="46">
        <f t="shared" si="159"/>
        <v>71970</v>
      </c>
      <c r="AI309" s="49" t="str">
        <f t="shared" si="159"/>
        <v>A6</v>
      </c>
      <c r="AJ309" s="49" t="str">
        <f t="shared" si="167"/>
        <v>A6</v>
      </c>
      <c r="AK309" s="50">
        <f t="shared" si="189"/>
        <v>73860.5</v>
      </c>
      <c r="AL309" s="49" t="str">
        <f t="shared" si="180"/>
        <v>A6</v>
      </c>
      <c r="AM309" s="50">
        <f t="shared" si="168"/>
        <v>73860.5</v>
      </c>
      <c r="AN309" s="56">
        <f t="shared" si="181"/>
        <v>110</v>
      </c>
      <c r="AO309" s="57">
        <f t="shared" si="182"/>
        <v>72025</v>
      </c>
      <c r="AP309" s="23">
        <f t="shared" si="169"/>
        <v>71915</v>
      </c>
      <c r="AQ309" s="23">
        <f t="shared" si="170"/>
        <v>72080</v>
      </c>
      <c r="AR309" s="23">
        <f t="shared" si="171"/>
        <v>71860</v>
      </c>
      <c r="AS309" s="23">
        <f t="shared" si="172"/>
        <v>71997.5</v>
      </c>
      <c r="AT309" s="23">
        <f t="shared" si="173"/>
        <v>71942.5</v>
      </c>
      <c r="AU309" s="23">
        <f t="shared" si="174"/>
        <v>72190</v>
      </c>
      <c r="AV309" s="23">
        <f t="shared" si="175"/>
        <v>71750</v>
      </c>
      <c r="AW309" s="23">
        <f t="shared" si="176"/>
        <v>71988.333333333328</v>
      </c>
      <c r="AX309" s="23">
        <f t="shared" si="177"/>
        <v>71951.666666666672</v>
      </c>
      <c r="AY309" s="23">
        <f t="shared" si="178"/>
        <v>72300</v>
      </c>
      <c r="AZ309" s="23">
        <f t="shared" si="179"/>
        <v>71640</v>
      </c>
      <c r="BA309" s="23">
        <f t="shared" si="188"/>
        <v>72750.25</v>
      </c>
      <c r="BB309" s="43"/>
      <c r="BC309" s="51">
        <f t="shared" si="161"/>
        <v>71970</v>
      </c>
      <c r="BD309" s="52">
        <f t="shared" si="165"/>
        <v>72750.25</v>
      </c>
      <c r="BE309" s="37">
        <f t="shared" si="183"/>
        <v>-780.25</v>
      </c>
      <c r="BF309">
        <f t="shared" si="184"/>
        <v>780.25</v>
      </c>
      <c r="BG309">
        <f t="shared" si="185"/>
        <v>1.0841322773377796E-2</v>
      </c>
    </row>
    <row r="310" spans="1:59">
      <c r="A310" s="1" t="s">
        <v>311</v>
      </c>
      <c r="B310" s="1">
        <v>75010</v>
      </c>
      <c r="Q310">
        <v>307</v>
      </c>
      <c r="R310" s="27" t="str">
        <f t="shared" si="162"/>
        <v>05/07/2024</v>
      </c>
      <c r="S310" s="27">
        <f t="shared" si="162"/>
        <v>73440</v>
      </c>
      <c r="T310" s="4" t="str">
        <f t="shared" si="163"/>
        <v>A6</v>
      </c>
      <c r="V310">
        <v>307</v>
      </c>
      <c r="W310" s="28" t="str">
        <f t="shared" si="160"/>
        <v>05/07/2024</v>
      </c>
      <c r="X310" s="28">
        <f t="shared" si="160"/>
        <v>73440</v>
      </c>
      <c r="Y310" s="28" t="str">
        <f t="shared" si="160"/>
        <v>A6</v>
      </c>
      <c r="Z310" s="5" t="str">
        <f t="shared" si="187"/>
        <v>A6</v>
      </c>
      <c r="AA310" s="5" t="str">
        <f t="shared" si="164"/>
        <v>A6</v>
      </c>
      <c r="AG310" s="49" t="str">
        <f t="shared" si="159"/>
        <v>05/07/2024</v>
      </c>
      <c r="AH310" s="46">
        <f t="shared" si="159"/>
        <v>73440</v>
      </c>
      <c r="AI310" s="49" t="str">
        <f t="shared" si="159"/>
        <v>A6</v>
      </c>
      <c r="AJ310" s="49" t="str">
        <f t="shared" si="167"/>
        <v>A6</v>
      </c>
      <c r="AK310" s="50">
        <f t="shared" si="189"/>
        <v>73860.5</v>
      </c>
      <c r="AL310" s="49" t="str">
        <f t="shared" si="180"/>
        <v>A6</v>
      </c>
      <c r="AM310" s="50">
        <f t="shared" si="168"/>
        <v>73860.5</v>
      </c>
      <c r="AN310" s="56">
        <f t="shared" si="181"/>
        <v>980</v>
      </c>
      <c r="AO310" s="57">
        <f t="shared" si="182"/>
        <v>73930</v>
      </c>
      <c r="AP310" s="23">
        <f t="shared" si="169"/>
        <v>72950</v>
      </c>
      <c r="AQ310" s="23">
        <f t="shared" si="170"/>
        <v>74420</v>
      </c>
      <c r="AR310" s="23">
        <f t="shared" si="171"/>
        <v>72460</v>
      </c>
      <c r="AS310" s="23">
        <f t="shared" si="172"/>
        <v>73685</v>
      </c>
      <c r="AT310" s="23">
        <f t="shared" si="173"/>
        <v>73195</v>
      </c>
      <c r="AU310" s="23">
        <f t="shared" si="174"/>
        <v>75400</v>
      </c>
      <c r="AV310" s="23">
        <f t="shared" si="175"/>
        <v>71480</v>
      </c>
      <c r="AW310" s="23">
        <f t="shared" si="176"/>
        <v>73603.333333333328</v>
      </c>
      <c r="AX310" s="23">
        <f t="shared" si="177"/>
        <v>73276.666666666672</v>
      </c>
      <c r="AY310" s="23">
        <f t="shared" si="178"/>
        <v>76380</v>
      </c>
      <c r="AZ310" s="23">
        <f t="shared" si="179"/>
        <v>70500</v>
      </c>
      <c r="BA310" s="23">
        <f t="shared" si="188"/>
        <v>72942.75</v>
      </c>
      <c r="BB310" s="43"/>
      <c r="BC310" s="51">
        <f t="shared" si="161"/>
        <v>73440</v>
      </c>
      <c r="BD310" s="52">
        <f t="shared" si="165"/>
        <v>72942.75</v>
      </c>
      <c r="BE310" s="37">
        <f t="shared" si="183"/>
        <v>497.25</v>
      </c>
      <c r="BF310">
        <f t="shared" si="184"/>
        <v>497.25</v>
      </c>
      <c r="BG310">
        <f t="shared" si="185"/>
        <v>6.7708333333333336E-3</v>
      </c>
    </row>
    <row r="311" spans="1:59">
      <c r="A311" s="1" t="s">
        <v>312</v>
      </c>
      <c r="B311" s="1">
        <v>77110</v>
      </c>
      <c r="Q311">
        <v>308</v>
      </c>
      <c r="R311" s="27" t="str">
        <f t="shared" si="162"/>
        <v>06/07/2024</v>
      </c>
      <c r="S311" s="27">
        <f t="shared" si="162"/>
        <v>73410</v>
      </c>
      <c r="T311" s="4" t="str">
        <f t="shared" si="163"/>
        <v>A6</v>
      </c>
      <c r="V311">
        <v>308</v>
      </c>
      <c r="W311" s="28" t="str">
        <f t="shared" si="160"/>
        <v>06/07/2024</v>
      </c>
      <c r="X311" s="28">
        <f t="shared" si="160"/>
        <v>73410</v>
      </c>
      <c r="Y311" s="28" t="str">
        <f t="shared" si="160"/>
        <v>A6</v>
      </c>
      <c r="Z311" s="5" t="str">
        <f t="shared" si="187"/>
        <v>A6</v>
      </c>
      <c r="AA311" s="5" t="str">
        <f t="shared" si="164"/>
        <v>A6</v>
      </c>
      <c r="AG311" s="49" t="str">
        <f t="shared" si="159"/>
        <v>06/07/2024</v>
      </c>
      <c r="AH311" s="46">
        <f t="shared" si="159"/>
        <v>73410</v>
      </c>
      <c r="AI311" s="49" t="str">
        <f t="shared" si="159"/>
        <v>A6</v>
      </c>
      <c r="AJ311" s="49" t="str">
        <f t="shared" si="167"/>
        <v>A6</v>
      </c>
      <c r="AK311" s="50">
        <f t="shared" si="189"/>
        <v>73860.5</v>
      </c>
      <c r="AL311" s="49" t="str">
        <f t="shared" si="180"/>
        <v>A6</v>
      </c>
      <c r="AM311" s="50">
        <f t="shared" si="168"/>
        <v>73860.5</v>
      </c>
      <c r="AN311" s="56">
        <f t="shared" si="181"/>
        <v>1440</v>
      </c>
      <c r="AO311" s="23">
        <f t="shared" si="182"/>
        <v>74130</v>
      </c>
      <c r="AP311" s="57">
        <f t="shared" si="169"/>
        <v>72690</v>
      </c>
      <c r="AQ311" s="23">
        <f t="shared" si="170"/>
        <v>74850</v>
      </c>
      <c r="AR311" s="23">
        <f t="shared" si="171"/>
        <v>71970</v>
      </c>
      <c r="AS311" s="23">
        <f t="shared" si="172"/>
        <v>73770</v>
      </c>
      <c r="AT311" s="23">
        <f t="shared" si="173"/>
        <v>73050</v>
      </c>
      <c r="AU311" s="23">
        <f t="shared" si="174"/>
        <v>76290</v>
      </c>
      <c r="AV311" s="23">
        <f t="shared" si="175"/>
        <v>70530</v>
      </c>
      <c r="AW311" s="23">
        <f t="shared" si="176"/>
        <v>73650</v>
      </c>
      <c r="AX311" s="23">
        <f t="shared" si="177"/>
        <v>73170</v>
      </c>
      <c r="AY311" s="23">
        <f t="shared" si="178"/>
        <v>77730</v>
      </c>
      <c r="AZ311" s="23">
        <f t="shared" si="179"/>
        <v>69090</v>
      </c>
      <c r="BA311" s="23">
        <f t="shared" si="188"/>
        <v>73895.25</v>
      </c>
      <c r="BB311" s="43"/>
      <c r="BC311" s="51">
        <f t="shared" si="161"/>
        <v>73410</v>
      </c>
      <c r="BD311" s="52">
        <f t="shared" si="165"/>
        <v>73895.25</v>
      </c>
      <c r="BE311" s="37">
        <f t="shared" si="183"/>
        <v>-485.25</v>
      </c>
      <c r="BF311">
        <f t="shared" si="184"/>
        <v>485.25</v>
      </c>
      <c r="BG311">
        <f t="shared" si="185"/>
        <v>6.6101348590110343E-3</v>
      </c>
    </row>
    <row r="312" spans="1:59">
      <c r="A312" s="1" t="s">
        <v>313</v>
      </c>
      <c r="B312" s="1">
        <v>78510</v>
      </c>
      <c r="Q312">
        <v>309</v>
      </c>
      <c r="R312" s="27" t="str">
        <f t="shared" si="162"/>
        <v>07/07/2024</v>
      </c>
      <c r="S312" s="27">
        <f t="shared" si="162"/>
        <v>75010</v>
      </c>
      <c r="T312" s="4" t="str">
        <f t="shared" si="163"/>
        <v>A6</v>
      </c>
      <c r="V312">
        <v>309</v>
      </c>
      <c r="W312" s="28" t="str">
        <f t="shared" si="160"/>
        <v>07/07/2024</v>
      </c>
      <c r="X312" s="28">
        <f t="shared" si="160"/>
        <v>75010</v>
      </c>
      <c r="Y312" s="28" t="str">
        <f t="shared" si="160"/>
        <v>A6</v>
      </c>
      <c r="Z312" s="5" t="str">
        <f t="shared" si="187"/>
        <v>A6</v>
      </c>
      <c r="AA312" s="5" t="str">
        <f t="shared" si="164"/>
        <v>A6</v>
      </c>
      <c r="AG312" s="49" t="str">
        <f t="shared" si="159"/>
        <v>07/07/2024</v>
      </c>
      <c r="AH312" s="46">
        <f t="shared" si="159"/>
        <v>75010</v>
      </c>
      <c r="AI312" s="49" t="str">
        <f t="shared" si="159"/>
        <v>A6</v>
      </c>
      <c r="AJ312" s="49" t="str">
        <f t="shared" si="167"/>
        <v>A6</v>
      </c>
      <c r="AK312" s="50">
        <f t="shared" si="189"/>
        <v>73860.5</v>
      </c>
      <c r="AL312" s="49" t="str">
        <f t="shared" si="180"/>
        <v>A6</v>
      </c>
      <c r="AM312" s="50">
        <f t="shared" si="168"/>
        <v>73860.5</v>
      </c>
      <c r="AN312" s="56">
        <f t="shared" si="181"/>
        <v>1570</v>
      </c>
      <c r="AO312" s="57">
        <f t="shared" si="182"/>
        <v>75795</v>
      </c>
      <c r="AP312" s="23">
        <f t="shared" si="169"/>
        <v>74225</v>
      </c>
      <c r="AQ312" s="23">
        <f t="shared" si="170"/>
        <v>76580</v>
      </c>
      <c r="AR312" s="23">
        <f t="shared" si="171"/>
        <v>73440</v>
      </c>
      <c r="AS312" s="23">
        <f t="shared" si="172"/>
        <v>75402.5</v>
      </c>
      <c r="AT312" s="23">
        <f t="shared" si="173"/>
        <v>74617.5</v>
      </c>
      <c r="AU312" s="23">
        <f t="shared" si="174"/>
        <v>78150</v>
      </c>
      <c r="AV312" s="23">
        <f t="shared" si="175"/>
        <v>71870</v>
      </c>
      <c r="AW312" s="23">
        <f t="shared" si="176"/>
        <v>75271.666666666672</v>
      </c>
      <c r="AX312" s="23">
        <f t="shared" si="177"/>
        <v>74748.333333333328</v>
      </c>
      <c r="AY312" s="23">
        <f t="shared" si="178"/>
        <v>79720</v>
      </c>
      <c r="AZ312" s="23">
        <f t="shared" si="179"/>
        <v>70300</v>
      </c>
      <c r="BA312" s="23">
        <f>(AP311+AM311)/(1+1)</f>
        <v>73275.25</v>
      </c>
      <c r="BB312" s="43"/>
      <c r="BC312" s="51">
        <f t="shared" si="161"/>
        <v>75010</v>
      </c>
      <c r="BD312" s="52">
        <f t="shared" si="165"/>
        <v>73275.25</v>
      </c>
      <c r="BE312" s="37">
        <f t="shared" si="183"/>
        <v>1734.75</v>
      </c>
      <c r="BF312">
        <f t="shared" si="184"/>
        <v>1734.75</v>
      </c>
      <c r="BG312">
        <f t="shared" si="185"/>
        <v>2.3126916411145181E-2</v>
      </c>
    </row>
    <row r="313" spans="1:59">
      <c r="A313" s="1" t="s">
        <v>314</v>
      </c>
      <c r="B313" s="1">
        <v>78760</v>
      </c>
      <c r="Q313">
        <v>310</v>
      </c>
      <c r="R313" s="27" t="str">
        <f t="shared" si="162"/>
        <v>08/07/2024</v>
      </c>
      <c r="S313" s="27">
        <f t="shared" si="162"/>
        <v>77110</v>
      </c>
      <c r="T313" s="4" t="str">
        <f t="shared" si="163"/>
        <v>A7</v>
      </c>
      <c r="V313">
        <v>310</v>
      </c>
      <c r="W313" s="28" t="str">
        <f t="shared" si="160"/>
        <v>08/07/2024</v>
      </c>
      <c r="X313" s="28">
        <f t="shared" si="160"/>
        <v>77110</v>
      </c>
      <c r="Y313" s="28" t="str">
        <f t="shared" si="160"/>
        <v>A7</v>
      </c>
      <c r="Z313" s="5" t="str">
        <f t="shared" si="187"/>
        <v>A6</v>
      </c>
      <c r="AA313" s="5" t="str">
        <f t="shared" si="164"/>
        <v>A7</v>
      </c>
      <c r="AG313" s="49" t="str">
        <f t="shared" si="159"/>
        <v>08/07/2024</v>
      </c>
      <c r="AH313" s="46">
        <f t="shared" si="159"/>
        <v>77110</v>
      </c>
      <c r="AI313" s="49" t="str">
        <f t="shared" si="159"/>
        <v>A7</v>
      </c>
      <c r="AJ313" s="49" t="str">
        <f t="shared" si="167"/>
        <v>A6</v>
      </c>
      <c r="AK313" s="50">
        <f t="shared" si="189"/>
        <v>73860.5</v>
      </c>
      <c r="AL313" s="49" t="str">
        <f t="shared" si="180"/>
        <v>A7</v>
      </c>
      <c r="AM313" s="50">
        <f t="shared" si="168"/>
        <v>79891.5</v>
      </c>
      <c r="AN313" s="56">
        <f t="shared" si="181"/>
        <v>500</v>
      </c>
      <c r="AO313" s="57">
        <f t="shared" si="182"/>
        <v>77360</v>
      </c>
      <c r="AP313" s="23">
        <f t="shared" si="169"/>
        <v>76860</v>
      </c>
      <c r="AQ313" s="23">
        <f t="shared" si="170"/>
        <v>77610</v>
      </c>
      <c r="AR313" s="23">
        <f t="shared" si="171"/>
        <v>76610</v>
      </c>
      <c r="AS313" s="23">
        <f t="shared" si="172"/>
        <v>77235</v>
      </c>
      <c r="AT313" s="23">
        <f t="shared" si="173"/>
        <v>76985</v>
      </c>
      <c r="AU313" s="23">
        <f t="shared" si="174"/>
        <v>78110</v>
      </c>
      <c r="AV313" s="23">
        <f t="shared" si="175"/>
        <v>76110</v>
      </c>
      <c r="AW313" s="23">
        <f t="shared" si="176"/>
        <v>77193.333333333328</v>
      </c>
      <c r="AX313" s="23">
        <f t="shared" si="177"/>
        <v>77026.666666666672</v>
      </c>
      <c r="AY313" s="23">
        <f t="shared" si="178"/>
        <v>78610</v>
      </c>
      <c r="AZ313" s="23">
        <f t="shared" si="179"/>
        <v>75610</v>
      </c>
      <c r="BA313" s="23">
        <f t="shared" ref="BA313:BA343" si="190">(AO312+AM312)/(1+1)</f>
        <v>74827.75</v>
      </c>
      <c r="BB313" s="43"/>
      <c r="BC313" s="51">
        <f t="shared" si="161"/>
        <v>77110</v>
      </c>
      <c r="BD313" s="52">
        <f t="shared" si="165"/>
        <v>74827.75</v>
      </c>
      <c r="BE313" s="37">
        <f t="shared" si="183"/>
        <v>2282.25</v>
      </c>
      <c r="BF313">
        <f t="shared" si="184"/>
        <v>2282.25</v>
      </c>
      <c r="BG313">
        <f t="shared" si="185"/>
        <v>2.959732849176501E-2</v>
      </c>
    </row>
    <row r="314" spans="1:59">
      <c r="A314" s="1" t="s">
        <v>315</v>
      </c>
      <c r="B314" s="1">
        <v>79770</v>
      </c>
      <c r="Q314">
        <v>311</v>
      </c>
      <c r="R314" s="27" t="str">
        <f t="shared" si="162"/>
        <v>09/07/2024</v>
      </c>
      <c r="S314" s="27">
        <f t="shared" si="162"/>
        <v>78510</v>
      </c>
      <c r="T314" s="4" t="str">
        <f t="shared" si="163"/>
        <v>A7</v>
      </c>
      <c r="V314">
        <v>311</v>
      </c>
      <c r="W314" s="28" t="str">
        <f t="shared" si="160"/>
        <v>09/07/2024</v>
      </c>
      <c r="X314" s="28">
        <f t="shared" si="160"/>
        <v>78510</v>
      </c>
      <c r="Y314" s="28" t="str">
        <f t="shared" si="160"/>
        <v>A7</v>
      </c>
      <c r="Z314" s="5" t="str">
        <f t="shared" si="187"/>
        <v>A7</v>
      </c>
      <c r="AA314" s="5" t="str">
        <f t="shared" si="164"/>
        <v>A7</v>
      </c>
      <c r="AG314" s="49" t="str">
        <f t="shared" si="159"/>
        <v>09/07/2024</v>
      </c>
      <c r="AH314" s="46">
        <f t="shared" si="159"/>
        <v>78510</v>
      </c>
      <c r="AI314" s="49" t="str">
        <f t="shared" si="159"/>
        <v>A7</v>
      </c>
      <c r="AJ314" s="49" t="str">
        <f t="shared" si="167"/>
        <v>A7</v>
      </c>
      <c r="AK314" s="50">
        <f t="shared" si="189"/>
        <v>79891.5</v>
      </c>
      <c r="AL314" s="49" t="str">
        <f t="shared" si="180"/>
        <v>A7</v>
      </c>
      <c r="AM314" s="50">
        <f t="shared" si="168"/>
        <v>79891.5</v>
      </c>
      <c r="AN314" s="56">
        <f t="shared" si="181"/>
        <v>700</v>
      </c>
      <c r="AO314" s="57">
        <f t="shared" si="182"/>
        <v>78860</v>
      </c>
      <c r="AP314" s="23">
        <f t="shared" si="169"/>
        <v>78160</v>
      </c>
      <c r="AQ314" s="23">
        <f t="shared" si="170"/>
        <v>79210</v>
      </c>
      <c r="AR314" s="23">
        <f t="shared" si="171"/>
        <v>77810</v>
      </c>
      <c r="AS314" s="23">
        <f t="shared" si="172"/>
        <v>78685</v>
      </c>
      <c r="AT314" s="23">
        <f t="shared" si="173"/>
        <v>78335</v>
      </c>
      <c r="AU314" s="23">
        <f t="shared" si="174"/>
        <v>79910</v>
      </c>
      <c r="AV314" s="23">
        <f t="shared" si="175"/>
        <v>77110</v>
      </c>
      <c r="AW314" s="23">
        <f t="shared" si="176"/>
        <v>78626.666666666672</v>
      </c>
      <c r="AX314" s="23">
        <f t="shared" si="177"/>
        <v>78393.333333333328</v>
      </c>
      <c r="AY314" s="23">
        <f t="shared" si="178"/>
        <v>80610</v>
      </c>
      <c r="AZ314" s="23">
        <f t="shared" si="179"/>
        <v>76410</v>
      </c>
      <c r="BA314" s="23">
        <f t="shared" si="190"/>
        <v>78625.75</v>
      </c>
      <c r="BB314" s="43"/>
      <c r="BC314" s="51">
        <f t="shared" si="161"/>
        <v>78510</v>
      </c>
      <c r="BD314" s="52">
        <f t="shared" si="165"/>
        <v>78625.75</v>
      </c>
      <c r="BE314" s="37">
        <f t="shared" si="183"/>
        <v>-115.75</v>
      </c>
      <c r="BF314">
        <f t="shared" si="184"/>
        <v>115.75</v>
      </c>
      <c r="BG314">
        <f t="shared" si="185"/>
        <v>1.4743344796841168E-3</v>
      </c>
    </row>
    <row r="315" spans="1:59">
      <c r="A315" s="1" t="s">
        <v>316</v>
      </c>
      <c r="B315" s="1">
        <v>78240</v>
      </c>
      <c r="Q315">
        <v>312</v>
      </c>
      <c r="R315" s="27" t="str">
        <f t="shared" si="162"/>
        <v>10/07/2024</v>
      </c>
      <c r="S315" s="27">
        <f t="shared" si="162"/>
        <v>78760</v>
      </c>
      <c r="T315" s="4" t="str">
        <f t="shared" si="163"/>
        <v>A7</v>
      </c>
      <c r="V315">
        <v>312</v>
      </c>
      <c r="W315" s="28" t="str">
        <f t="shared" si="160"/>
        <v>10/07/2024</v>
      </c>
      <c r="X315" s="28">
        <f t="shared" si="160"/>
        <v>78760</v>
      </c>
      <c r="Y315" s="28" t="str">
        <f t="shared" si="160"/>
        <v>A7</v>
      </c>
      <c r="Z315" s="5" t="str">
        <f t="shared" si="187"/>
        <v>A7</v>
      </c>
      <c r="AA315" s="5" t="str">
        <f t="shared" si="164"/>
        <v>A7</v>
      </c>
      <c r="AG315" s="49" t="str">
        <f t="shared" si="159"/>
        <v>10/07/2024</v>
      </c>
      <c r="AH315" s="46">
        <f t="shared" si="159"/>
        <v>78760</v>
      </c>
      <c r="AI315" s="49" t="str">
        <f t="shared" si="159"/>
        <v>A7</v>
      </c>
      <c r="AJ315" s="49" t="str">
        <f t="shared" si="167"/>
        <v>A7</v>
      </c>
      <c r="AK315" s="50">
        <f t="shared" si="189"/>
        <v>79891.5</v>
      </c>
      <c r="AL315" s="49" t="str">
        <f t="shared" si="180"/>
        <v>A7</v>
      </c>
      <c r="AM315" s="50">
        <f t="shared" si="168"/>
        <v>79891.5</v>
      </c>
      <c r="AN315" s="56">
        <f t="shared" si="181"/>
        <v>1150</v>
      </c>
      <c r="AO315" s="57">
        <f t="shared" si="182"/>
        <v>79335</v>
      </c>
      <c r="AP315" s="23">
        <f t="shared" si="169"/>
        <v>78185</v>
      </c>
      <c r="AQ315" s="23">
        <f t="shared" si="170"/>
        <v>79910</v>
      </c>
      <c r="AR315" s="23">
        <f t="shared" si="171"/>
        <v>77610</v>
      </c>
      <c r="AS315" s="23">
        <f t="shared" si="172"/>
        <v>79047.5</v>
      </c>
      <c r="AT315" s="23">
        <f t="shared" si="173"/>
        <v>78472.5</v>
      </c>
      <c r="AU315" s="23">
        <f t="shared" si="174"/>
        <v>81060</v>
      </c>
      <c r="AV315" s="23">
        <f t="shared" si="175"/>
        <v>76460</v>
      </c>
      <c r="AW315" s="23">
        <f t="shared" si="176"/>
        <v>78951.666666666672</v>
      </c>
      <c r="AX315" s="23">
        <f t="shared" si="177"/>
        <v>78568.333333333328</v>
      </c>
      <c r="AY315" s="23">
        <f t="shared" si="178"/>
        <v>82210</v>
      </c>
      <c r="AZ315" s="23">
        <f t="shared" si="179"/>
        <v>75310</v>
      </c>
      <c r="BA315" s="23">
        <f t="shared" si="190"/>
        <v>79375.75</v>
      </c>
      <c r="BB315" s="43"/>
      <c r="BC315" s="51">
        <f t="shared" si="161"/>
        <v>78760</v>
      </c>
      <c r="BD315" s="52">
        <f t="shared" si="165"/>
        <v>79375.75</v>
      </c>
      <c r="BE315" s="37">
        <f t="shared" si="183"/>
        <v>-615.75</v>
      </c>
      <c r="BF315">
        <f t="shared" si="184"/>
        <v>615.75</v>
      </c>
      <c r="BG315">
        <f t="shared" si="185"/>
        <v>7.8180548501777559E-3</v>
      </c>
    </row>
    <row r="316" spans="1:59">
      <c r="A316" s="1" t="s">
        <v>317</v>
      </c>
      <c r="B316" s="1">
        <v>79110</v>
      </c>
      <c r="Q316">
        <v>313</v>
      </c>
      <c r="R316" s="27" t="str">
        <f t="shared" si="162"/>
        <v>11/07/2024</v>
      </c>
      <c r="S316" s="27">
        <f t="shared" si="162"/>
        <v>79770</v>
      </c>
      <c r="T316" s="4" t="str">
        <f t="shared" si="163"/>
        <v>A7</v>
      </c>
      <c r="V316">
        <v>313</v>
      </c>
      <c r="W316" s="28" t="str">
        <f t="shared" si="160"/>
        <v>11/07/2024</v>
      </c>
      <c r="X316" s="28">
        <f t="shared" si="160"/>
        <v>79770</v>
      </c>
      <c r="Y316" s="28" t="str">
        <f t="shared" si="160"/>
        <v>A7</v>
      </c>
      <c r="Z316" s="5" t="str">
        <f t="shared" si="187"/>
        <v>A7</v>
      </c>
      <c r="AA316" s="5" t="str">
        <f t="shared" si="164"/>
        <v>A7</v>
      </c>
      <c r="AG316" s="49" t="str">
        <f t="shared" si="159"/>
        <v>11/07/2024</v>
      </c>
      <c r="AH316" s="46">
        <f t="shared" si="159"/>
        <v>79770</v>
      </c>
      <c r="AI316" s="49" t="str">
        <f t="shared" si="159"/>
        <v>A7</v>
      </c>
      <c r="AJ316" s="49" t="str">
        <f t="shared" si="167"/>
        <v>A7</v>
      </c>
      <c r="AK316" s="50">
        <f t="shared" si="189"/>
        <v>79891.5</v>
      </c>
      <c r="AL316" s="49" t="str">
        <f t="shared" si="180"/>
        <v>A7</v>
      </c>
      <c r="AM316" s="50">
        <f t="shared" si="168"/>
        <v>79891.5</v>
      </c>
      <c r="AN316" s="56">
        <f t="shared" si="181"/>
        <v>760</v>
      </c>
      <c r="AO316" s="57">
        <f t="shared" si="182"/>
        <v>80150</v>
      </c>
      <c r="AP316" s="23">
        <f t="shared" si="169"/>
        <v>79390</v>
      </c>
      <c r="AQ316" s="23">
        <f t="shared" si="170"/>
        <v>80530</v>
      </c>
      <c r="AR316" s="23">
        <f t="shared" si="171"/>
        <v>79010</v>
      </c>
      <c r="AS316" s="23">
        <f t="shared" si="172"/>
        <v>79960</v>
      </c>
      <c r="AT316" s="23">
        <f t="shared" si="173"/>
        <v>79580</v>
      </c>
      <c r="AU316" s="23">
        <f t="shared" si="174"/>
        <v>81290</v>
      </c>
      <c r="AV316" s="23">
        <f t="shared" si="175"/>
        <v>78250</v>
      </c>
      <c r="AW316" s="23">
        <f t="shared" si="176"/>
        <v>79896.666666666672</v>
      </c>
      <c r="AX316" s="23">
        <f t="shared" si="177"/>
        <v>79643.333333333328</v>
      </c>
      <c r="AY316" s="23">
        <f t="shared" si="178"/>
        <v>82050</v>
      </c>
      <c r="AZ316" s="23">
        <f t="shared" si="179"/>
        <v>77490</v>
      </c>
      <c r="BA316" s="23">
        <f t="shared" si="190"/>
        <v>79613.25</v>
      </c>
      <c r="BB316" s="43"/>
      <c r="BC316" s="51">
        <f t="shared" si="161"/>
        <v>79770</v>
      </c>
      <c r="BD316" s="52">
        <f t="shared" si="165"/>
        <v>79613.25</v>
      </c>
      <c r="BE316" s="37">
        <f t="shared" si="183"/>
        <v>156.75</v>
      </c>
      <c r="BF316">
        <f t="shared" si="184"/>
        <v>156.75</v>
      </c>
      <c r="BG316">
        <f t="shared" si="185"/>
        <v>1.9650244452801805E-3</v>
      </c>
    </row>
    <row r="317" spans="1:59">
      <c r="A317" s="1" t="s">
        <v>318</v>
      </c>
      <c r="B317" s="1">
        <v>77570</v>
      </c>
      <c r="Q317">
        <v>314</v>
      </c>
      <c r="R317" s="27" t="str">
        <f t="shared" si="162"/>
        <v>12/07/2024</v>
      </c>
      <c r="S317" s="27">
        <f t="shared" si="162"/>
        <v>78240</v>
      </c>
      <c r="T317" s="4" t="str">
        <f t="shared" si="163"/>
        <v>A7</v>
      </c>
      <c r="V317">
        <v>314</v>
      </c>
      <c r="W317" s="28" t="str">
        <f t="shared" si="160"/>
        <v>12/07/2024</v>
      </c>
      <c r="X317" s="28">
        <f t="shared" si="160"/>
        <v>78240</v>
      </c>
      <c r="Y317" s="28" t="str">
        <f t="shared" si="160"/>
        <v>A7</v>
      </c>
      <c r="Z317" s="5" t="str">
        <f t="shared" si="187"/>
        <v>A7</v>
      </c>
      <c r="AA317" s="5" t="str">
        <f t="shared" si="164"/>
        <v>A7</v>
      </c>
      <c r="AG317" s="49" t="str">
        <f t="shared" si="159"/>
        <v>12/07/2024</v>
      </c>
      <c r="AH317" s="46">
        <f t="shared" si="159"/>
        <v>78240</v>
      </c>
      <c r="AI317" s="49" t="str">
        <f t="shared" si="159"/>
        <v>A7</v>
      </c>
      <c r="AJ317" s="49" t="str">
        <f t="shared" si="167"/>
        <v>A7</v>
      </c>
      <c r="AK317" s="50">
        <f t="shared" si="189"/>
        <v>79891.5</v>
      </c>
      <c r="AL317" s="49" t="str">
        <f t="shared" si="180"/>
        <v>A7</v>
      </c>
      <c r="AM317" s="50">
        <f t="shared" si="168"/>
        <v>79891.5</v>
      </c>
      <c r="AN317" s="56">
        <f t="shared" si="181"/>
        <v>520</v>
      </c>
      <c r="AO317" s="57">
        <f t="shared" si="182"/>
        <v>78500</v>
      </c>
      <c r="AP317" s="23">
        <f t="shared" si="169"/>
        <v>77980</v>
      </c>
      <c r="AQ317" s="23">
        <f t="shared" si="170"/>
        <v>78760</v>
      </c>
      <c r="AR317" s="23">
        <f t="shared" si="171"/>
        <v>77720</v>
      </c>
      <c r="AS317" s="23">
        <f t="shared" si="172"/>
        <v>78370</v>
      </c>
      <c r="AT317" s="23">
        <f t="shared" si="173"/>
        <v>78110</v>
      </c>
      <c r="AU317" s="23">
        <f t="shared" si="174"/>
        <v>79280</v>
      </c>
      <c r="AV317" s="23">
        <f t="shared" si="175"/>
        <v>77200</v>
      </c>
      <c r="AW317" s="23">
        <f t="shared" si="176"/>
        <v>78326.666666666672</v>
      </c>
      <c r="AX317" s="23">
        <f t="shared" si="177"/>
        <v>78153.333333333328</v>
      </c>
      <c r="AY317" s="23">
        <f t="shared" si="178"/>
        <v>79800</v>
      </c>
      <c r="AZ317" s="23">
        <f t="shared" si="179"/>
        <v>76680</v>
      </c>
      <c r="BA317" s="23">
        <f t="shared" si="190"/>
        <v>80020.75</v>
      </c>
      <c r="BB317" s="43"/>
      <c r="BC317" s="51">
        <f t="shared" si="161"/>
        <v>78240</v>
      </c>
      <c r="BD317" s="52">
        <f t="shared" si="165"/>
        <v>80020.75</v>
      </c>
      <c r="BE317" s="37">
        <f t="shared" si="183"/>
        <v>-1780.75</v>
      </c>
      <c r="BF317">
        <f t="shared" si="184"/>
        <v>1780.75</v>
      </c>
      <c r="BG317">
        <f t="shared" si="185"/>
        <v>2.2760097137014317E-2</v>
      </c>
    </row>
    <row r="318" spans="1:59">
      <c r="A318" s="1" t="s">
        <v>319</v>
      </c>
      <c r="B318" s="1">
        <v>78880</v>
      </c>
      <c r="Q318">
        <v>315</v>
      </c>
      <c r="R318" s="27" t="str">
        <f t="shared" si="162"/>
        <v>13/07/2024</v>
      </c>
      <c r="S318" s="27">
        <f t="shared" si="162"/>
        <v>79110</v>
      </c>
      <c r="T318" s="4" t="str">
        <f t="shared" si="163"/>
        <v>A7</v>
      </c>
      <c r="V318">
        <v>315</v>
      </c>
      <c r="W318" s="28" t="str">
        <f t="shared" si="160"/>
        <v>13/07/2024</v>
      </c>
      <c r="X318" s="28">
        <f t="shared" si="160"/>
        <v>79110</v>
      </c>
      <c r="Y318" s="28" t="str">
        <f t="shared" si="160"/>
        <v>A7</v>
      </c>
      <c r="Z318" s="5" t="str">
        <f t="shared" si="187"/>
        <v>A7</v>
      </c>
      <c r="AA318" s="5" t="str">
        <f t="shared" si="164"/>
        <v>A7</v>
      </c>
      <c r="AG318" s="49" t="str">
        <f t="shared" si="159"/>
        <v>13/07/2024</v>
      </c>
      <c r="AH318" s="46">
        <f t="shared" si="159"/>
        <v>79110</v>
      </c>
      <c r="AI318" s="49" t="str">
        <f t="shared" si="159"/>
        <v>A7</v>
      </c>
      <c r="AJ318" s="49" t="str">
        <f t="shared" si="167"/>
        <v>A7</v>
      </c>
      <c r="AK318" s="50">
        <f t="shared" si="189"/>
        <v>79891.5</v>
      </c>
      <c r="AL318" s="49" t="str">
        <f t="shared" si="180"/>
        <v>A7</v>
      </c>
      <c r="AM318" s="50">
        <f t="shared" si="168"/>
        <v>79891.5</v>
      </c>
      <c r="AN318" s="56">
        <f t="shared" si="181"/>
        <v>660</v>
      </c>
      <c r="AO318" s="57">
        <f t="shared" si="182"/>
        <v>79440</v>
      </c>
      <c r="AP318" s="23">
        <f t="shared" si="169"/>
        <v>78780</v>
      </c>
      <c r="AQ318" s="23">
        <f t="shared" si="170"/>
        <v>79770</v>
      </c>
      <c r="AR318" s="23">
        <f t="shared" si="171"/>
        <v>78450</v>
      </c>
      <c r="AS318" s="23">
        <f t="shared" si="172"/>
        <v>79275</v>
      </c>
      <c r="AT318" s="23">
        <f t="shared" si="173"/>
        <v>78945</v>
      </c>
      <c r="AU318" s="23">
        <f t="shared" si="174"/>
        <v>80430</v>
      </c>
      <c r="AV318" s="23">
        <f t="shared" si="175"/>
        <v>77790</v>
      </c>
      <c r="AW318" s="23">
        <f t="shared" si="176"/>
        <v>79220</v>
      </c>
      <c r="AX318" s="23">
        <f t="shared" si="177"/>
        <v>79000</v>
      </c>
      <c r="AY318" s="23">
        <f t="shared" si="178"/>
        <v>81090</v>
      </c>
      <c r="AZ318" s="23">
        <f t="shared" si="179"/>
        <v>77130</v>
      </c>
      <c r="BA318" s="23">
        <f t="shared" si="190"/>
        <v>79195.75</v>
      </c>
      <c r="BB318" s="43"/>
      <c r="BC318" s="51">
        <f t="shared" si="161"/>
        <v>79110</v>
      </c>
      <c r="BD318" s="52">
        <f t="shared" si="165"/>
        <v>79195.75</v>
      </c>
      <c r="BE318" s="37">
        <f t="shared" si="183"/>
        <v>-85.75</v>
      </c>
      <c r="BF318">
        <f t="shared" si="184"/>
        <v>85.75</v>
      </c>
      <c r="BG318">
        <f t="shared" si="185"/>
        <v>1.0839337631146505E-3</v>
      </c>
    </row>
    <row r="319" spans="1:59">
      <c r="A319" s="1" t="s">
        <v>320</v>
      </c>
      <c r="B319" s="1">
        <v>80320</v>
      </c>
      <c r="Q319">
        <v>316</v>
      </c>
      <c r="R319" s="27" t="str">
        <f t="shared" si="162"/>
        <v>14/07/2024</v>
      </c>
      <c r="S319" s="27">
        <f t="shared" si="162"/>
        <v>77570</v>
      </c>
      <c r="T319" s="4" t="str">
        <f t="shared" si="163"/>
        <v>A7</v>
      </c>
      <c r="V319">
        <v>316</v>
      </c>
      <c r="W319" s="28" t="str">
        <f t="shared" si="160"/>
        <v>14/07/2024</v>
      </c>
      <c r="X319" s="28">
        <f t="shared" si="160"/>
        <v>77570</v>
      </c>
      <c r="Y319" s="28" t="str">
        <f t="shared" si="160"/>
        <v>A7</v>
      </c>
      <c r="Z319" s="5" t="str">
        <f t="shared" si="187"/>
        <v>A7</v>
      </c>
      <c r="AA319" s="5" t="str">
        <f t="shared" si="164"/>
        <v>A7</v>
      </c>
      <c r="AG319" s="49" t="str">
        <f t="shared" si="159"/>
        <v>14/07/2024</v>
      </c>
      <c r="AH319" s="46">
        <f t="shared" si="159"/>
        <v>77570</v>
      </c>
      <c r="AI319" s="49" t="str">
        <f t="shared" si="159"/>
        <v>A7</v>
      </c>
      <c r="AJ319" s="49" t="str">
        <f t="shared" si="167"/>
        <v>A7</v>
      </c>
      <c r="AK319" s="50">
        <f t="shared" si="189"/>
        <v>79891.5</v>
      </c>
      <c r="AL319" s="49" t="str">
        <f t="shared" si="180"/>
        <v>A7</v>
      </c>
      <c r="AM319" s="50">
        <f t="shared" si="168"/>
        <v>79891.5</v>
      </c>
      <c r="AN319" s="56">
        <f t="shared" si="181"/>
        <v>670</v>
      </c>
      <c r="AO319" s="57">
        <f t="shared" si="182"/>
        <v>77905</v>
      </c>
      <c r="AP319" s="23">
        <f t="shared" si="169"/>
        <v>77235</v>
      </c>
      <c r="AQ319" s="23">
        <f t="shared" si="170"/>
        <v>78240</v>
      </c>
      <c r="AR319" s="23">
        <f t="shared" si="171"/>
        <v>76900</v>
      </c>
      <c r="AS319" s="23">
        <f t="shared" si="172"/>
        <v>77737.5</v>
      </c>
      <c r="AT319" s="23">
        <f t="shared" si="173"/>
        <v>77402.5</v>
      </c>
      <c r="AU319" s="23">
        <f t="shared" si="174"/>
        <v>78910</v>
      </c>
      <c r="AV319" s="23">
        <f t="shared" si="175"/>
        <v>76230</v>
      </c>
      <c r="AW319" s="23">
        <f t="shared" si="176"/>
        <v>77681.666666666672</v>
      </c>
      <c r="AX319" s="23">
        <f t="shared" si="177"/>
        <v>77458.333333333328</v>
      </c>
      <c r="AY319" s="23">
        <f t="shared" si="178"/>
        <v>79580</v>
      </c>
      <c r="AZ319" s="23">
        <f t="shared" si="179"/>
        <v>75560</v>
      </c>
      <c r="BA319" s="23">
        <f t="shared" si="190"/>
        <v>79665.75</v>
      </c>
      <c r="BB319" s="43"/>
      <c r="BC319" s="51">
        <f t="shared" si="161"/>
        <v>77570</v>
      </c>
      <c r="BD319" s="52">
        <f t="shared" si="165"/>
        <v>79665.75</v>
      </c>
      <c r="BE319" s="37">
        <f t="shared" si="183"/>
        <v>-2095.75</v>
      </c>
      <c r="BF319">
        <f t="shared" si="184"/>
        <v>2095.75</v>
      </c>
      <c r="BG319">
        <f t="shared" si="185"/>
        <v>2.7017532551244037E-2</v>
      </c>
    </row>
    <row r="320" spans="1:59">
      <c r="A320" s="1" t="s">
        <v>321</v>
      </c>
      <c r="B320" s="1">
        <v>80620</v>
      </c>
      <c r="Q320">
        <v>317</v>
      </c>
      <c r="R320" s="27" t="str">
        <f t="shared" si="162"/>
        <v>15/07/2024</v>
      </c>
      <c r="S320" s="27">
        <f t="shared" si="162"/>
        <v>78880</v>
      </c>
      <c r="T320" s="4" t="str">
        <f t="shared" si="163"/>
        <v>A7</v>
      </c>
      <c r="V320">
        <v>317</v>
      </c>
      <c r="W320" s="28" t="str">
        <f t="shared" si="160"/>
        <v>15/07/2024</v>
      </c>
      <c r="X320" s="28">
        <f t="shared" si="160"/>
        <v>78880</v>
      </c>
      <c r="Y320" s="28" t="str">
        <f t="shared" si="160"/>
        <v>A7</v>
      </c>
      <c r="Z320" s="5" t="str">
        <f t="shared" si="187"/>
        <v>A7</v>
      </c>
      <c r="AA320" s="5" t="str">
        <f t="shared" si="164"/>
        <v>A7</v>
      </c>
      <c r="AG320" s="49" t="str">
        <f t="shared" ref="AG320:AI383" si="191">W320</f>
        <v>15/07/2024</v>
      </c>
      <c r="AH320" s="46">
        <f t="shared" si="191"/>
        <v>78880</v>
      </c>
      <c r="AI320" s="49" t="str">
        <f t="shared" si="191"/>
        <v>A7</v>
      </c>
      <c r="AJ320" s="49" t="str">
        <f t="shared" si="167"/>
        <v>A7</v>
      </c>
      <c r="AK320" s="50">
        <f t="shared" si="189"/>
        <v>79891.5</v>
      </c>
      <c r="AL320" s="49" t="str">
        <f t="shared" si="180"/>
        <v>A7</v>
      </c>
      <c r="AM320" s="50">
        <f t="shared" si="168"/>
        <v>79891.5</v>
      </c>
      <c r="AN320" s="56">
        <f t="shared" si="181"/>
        <v>230</v>
      </c>
      <c r="AO320" s="57">
        <f t="shared" si="182"/>
        <v>78995</v>
      </c>
      <c r="AP320" s="23">
        <f t="shared" si="169"/>
        <v>78765</v>
      </c>
      <c r="AQ320" s="23">
        <f t="shared" si="170"/>
        <v>79110</v>
      </c>
      <c r="AR320" s="23">
        <f t="shared" si="171"/>
        <v>78650</v>
      </c>
      <c r="AS320" s="23">
        <f t="shared" si="172"/>
        <v>78937.5</v>
      </c>
      <c r="AT320" s="23">
        <f t="shared" si="173"/>
        <v>78822.5</v>
      </c>
      <c r="AU320" s="23">
        <f t="shared" si="174"/>
        <v>79340</v>
      </c>
      <c r="AV320" s="23">
        <f t="shared" si="175"/>
        <v>78420</v>
      </c>
      <c r="AW320" s="23">
        <f t="shared" si="176"/>
        <v>78918.333333333328</v>
      </c>
      <c r="AX320" s="23">
        <f t="shared" si="177"/>
        <v>78841.666666666672</v>
      </c>
      <c r="AY320" s="23">
        <f t="shared" si="178"/>
        <v>79570</v>
      </c>
      <c r="AZ320" s="23">
        <f t="shared" si="179"/>
        <v>78190</v>
      </c>
      <c r="BA320" s="23">
        <f t="shared" si="190"/>
        <v>78898.25</v>
      </c>
      <c r="BB320" s="43"/>
      <c r="BC320" s="51">
        <f t="shared" si="161"/>
        <v>78880</v>
      </c>
      <c r="BD320" s="52">
        <f t="shared" si="165"/>
        <v>78898.25</v>
      </c>
      <c r="BE320" s="37">
        <f t="shared" si="183"/>
        <v>-18.25</v>
      </c>
      <c r="BF320">
        <f t="shared" si="184"/>
        <v>18.25</v>
      </c>
      <c r="BG320">
        <f t="shared" si="185"/>
        <v>2.3136409736308316E-4</v>
      </c>
    </row>
    <row r="321" spans="1:59">
      <c r="A321" s="1" t="s">
        <v>322</v>
      </c>
      <c r="B321" s="1">
        <v>81810</v>
      </c>
      <c r="Q321">
        <v>318</v>
      </c>
      <c r="R321" s="27" t="str">
        <f t="shared" si="162"/>
        <v>16/07/2024</v>
      </c>
      <c r="S321" s="27">
        <f t="shared" si="162"/>
        <v>80320</v>
      </c>
      <c r="T321" s="4" t="str">
        <f t="shared" si="163"/>
        <v>A7</v>
      </c>
      <c r="V321">
        <v>318</v>
      </c>
      <c r="W321" s="28" t="str">
        <f t="shared" si="160"/>
        <v>16/07/2024</v>
      </c>
      <c r="X321" s="28">
        <f t="shared" si="160"/>
        <v>80320</v>
      </c>
      <c r="Y321" s="28" t="str">
        <f t="shared" si="160"/>
        <v>A7</v>
      </c>
      <c r="Z321" s="5" t="str">
        <f t="shared" si="187"/>
        <v>A7</v>
      </c>
      <c r="AA321" s="5" t="str">
        <f t="shared" si="164"/>
        <v>A7</v>
      </c>
      <c r="AG321" s="49" t="str">
        <f t="shared" si="191"/>
        <v>16/07/2024</v>
      </c>
      <c r="AH321" s="46">
        <f t="shared" si="191"/>
        <v>80320</v>
      </c>
      <c r="AI321" s="49" t="str">
        <f t="shared" si="191"/>
        <v>A7</v>
      </c>
      <c r="AJ321" s="49" t="str">
        <f t="shared" si="167"/>
        <v>A7</v>
      </c>
      <c r="AK321" s="50">
        <f t="shared" si="189"/>
        <v>79891.5</v>
      </c>
      <c r="AL321" s="49" t="str">
        <f t="shared" si="180"/>
        <v>A7</v>
      </c>
      <c r="AM321" s="50">
        <f t="shared" si="168"/>
        <v>79891.5</v>
      </c>
      <c r="AN321" s="56">
        <f t="shared" si="181"/>
        <v>130</v>
      </c>
      <c r="AO321" s="57">
        <f t="shared" si="182"/>
        <v>80385</v>
      </c>
      <c r="AP321" s="23">
        <f t="shared" si="169"/>
        <v>80255</v>
      </c>
      <c r="AQ321" s="23">
        <f t="shared" si="170"/>
        <v>80450</v>
      </c>
      <c r="AR321" s="23">
        <f t="shared" si="171"/>
        <v>80190</v>
      </c>
      <c r="AS321" s="23">
        <f t="shared" si="172"/>
        <v>80352.5</v>
      </c>
      <c r="AT321" s="23">
        <f t="shared" si="173"/>
        <v>80287.5</v>
      </c>
      <c r="AU321" s="23">
        <f t="shared" si="174"/>
        <v>80580</v>
      </c>
      <c r="AV321" s="23">
        <f t="shared" si="175"/>
        <v>80060</v>
      </c>
      <c r="AW321" s="23">
        <f t="shared" si="176"/>
        <v>80341.666666666672</v>
      </c>
      <c r="AX321" s="23">
        <f t="shared" si="177"/>
        <v>80298.333333333328</v>
      </c>
      <c r="AY321" s="23">
        <f t="shared" si="178"/>
        <v>80710</v>
      </c>
      <c r="AZ321" s="23">
        <f t="shared" si="179"/>
        <v>79930</v>
      </c>
      <c r="BA321" s="23">
        <f t="shared" si="190"/>
        <v>79443.25</v>
      </c>
      <c r="BB321" s="43"/>
      <c r="BC321" s="51">
        <f t="shared" si="161"/>
        <v>80320</v>
      </c>
      <c r="BD321" s="52">
        <f t="shared" si="165"/>
        <v>79443.25</v>
      </c>
      <c r="BE321" s="37">
        <f t="shared" si="183"/>
        <v>876.75</v>
      </c>
      <c r="BF321">
        <f t="shared" si="184"/>
        <v>876.75</v>
      </c>
      <c r="BG321">
        <f t="shared" si="185"/>
        <v>1.0915712151394422E-2</v>
      </c>
    </row>
    <row r="322" spans="1:59">
      <c r="A322" s="1" t="s">
        <v>323</v>
      </c>
      <c r="B322" s="1">
        <v>81730</v>
      </c>
      <c r="Q322">
        <v>319</v>
      </c>
      <c r="R322" s="27" t="str">
        <f t="shared" si="162"/>
        <v>17/07/2024</v>
      </c>
      <c r="S322" s="27">
        <f t="shared" si="162"/>
        <v>80620</v>
      </c>
      <c r="T322" s="4" t="str">
        <f t="shared" si="163"/>
        <v>A7</v>
      </c>
      <c r="V322">
        <v>319</v>
      </c>
      <c r="W322" s="28" t="str">
        <f t="shared" si="160"/>
        <v>17/07/2024</v>
      </c>
      <c r="X322" s="28">
        <f t="shared" si="160"/>
        <v>80620</v>
      </c>
      <c r="Y322" s="28" t="str">
        <f t="shared" si="160"/>
        <v>A7</v>
      </c>
      <c r="Z322" s="5" t="str">
        <f t="shared" si="187"/>
        <v>A7</v>
      </c>
      <c r="AA322" s="5" t="str">
        <f t="shared" si="164"/>
        <v>A7</v>
      </c>
      <c r="AG322" s="49" t="str">
        <f t="shared" si="191"/>
        <v>17/07/2024</v>
      </c>
      <c r="AH322" s="46">
        <f t="shared" si="191"/>
        <v>80620</v>
      </c>
      <c r="AI322" s="49" t="str">
        <f t="shared" si="191"/>
        <v>A7</v>
      </c>
      <c r="AJ322" s="49" t="str">
        <f t="shared" si="167"/>
        <v>A7</v>
      </c>
      <c r="AK322" s="50">
        <f t="shared" si="189"/>
        <v>79891.5</v>
      </c>
      <c r="AL322" s="49" t="str">
        <f t="shared" si="180"/>
        <v>A7</v>
      </c>
      <c r="AM322" s="50">
        <f t="shared" si="168"/>
        <v>79891.5</v>
      </c>
      <c r="AN322" s="56">
        <f t="shared" si="181"/>
        <v>1140</v>
      </c>
      <c r="AO322" s="57">
        <f t="shared" si="182"/>
        <v>81190</v>
      </c>
      <c r="AP322" s="23">
        <f t="shared" si="169"/>
        <v>80050</v>
      </c>
      <c r="AQ322" s="23">
        <f t="shared" si="170"/>
        <v>81760</v>
      </c>
      <c r="AR322" s="23">
        <f t="shared" si="171"/>
        <v>79480</v>
      </c>
      <c r="AS322" s="23">
        <f t="shared" si="172"/>
        <v>80905</v>
      </c>
      <c r="AT322" s="23">
        <f t="shared" si="173"/>
        <v>80335</v>
      </c>
      <c r="AU322" s="23">
        <f t="shared" si="174"/>
        <v>82900</v>
      </c>
      <c r="AV322" s="23">
        <f t="shared" si="175"/>
        <v>78340</v>
      </c>
      <c r="AW322" s="23">
        <f t="shared" si="176"/>
        <v>80810</v>
      </c>
      <c r="AX322" s="23">
        <f t="shared" si="177"/>
        <v>80430</v>
      </c>
      <c r="AY322" s="23">
        <f t="shared" si="178"/>
        <v>84040</v>
      </c>
      <c r="AZ322" s="23">
        <f t="shared" si="179"/>
        <v>77200</v>
      </c>
      <c r="BA322" s="23">
        <f t="shared" si="190"/>
        <v>80138.25</v>
      </c>
      <c r="BB322" s="43"/>
      <c r="BC322" s="51">
        <f t="shared" si="161"/>
        <v>80620</v>
      </c>
      <c r="BD322" s="52">
        <f t="shared" si="165"/>
        <v>80138.25</v>
      </c>
      <c r="BE322" s="37">
        <f t="shared" si="183"/>
        <v>481.75</v>
      </c>
      <c r="BF322">
        <f t="shared" si="184"/>
        <v>481.75</v>
      </c>
      <c r="BG322">
        <f t="shared" si="185"/>
        <v>5.9755643760853383E-3</v>
      </c>
    </row>
    <row r="323" spans="1:59">
      <c r="A323" s="1" t="s">
        <v>324</v>
      </c>
      <c r="B323" s="1">
        <v>80540</v>
      </c>
      <c r="Q323">
        <v>320</v>
      </c>
      <c r="R323" s="27" t="str">
        <f t="shared" si="162"/>
        <v>18/07/2024</v>
      </c>
      <c r="S323" s="27">
        <f t="shared" si="162"/>
        <v>81810</v>
      </c>
      <c r="T323" s="4" t="str">
        <f t="shared" si="163"/>
        <v>A7</v>
      </c>
      <c r="V323">
        <v>320</v>
      </c>
      <c r="W323" s="28" t="str">
        <f t="shared" si="160"/>
        <v>18/07/2024</v>
      </c>
      <c r="X323" s="28">
        <f t="shared" si="160"/>
        <v>81810</v>
      </c>
      <c r="Y323" s="28" t="str">
        <f t="shared" si="160"/>
        <v>A7</v>
      </c>
      <c r="Z323" s="5" t="str">
        <f t="shared" si="187"/>
        <v>A7</v>
      </c>
      <c r="AA323" s="5" t="str">
        <f t="shared" si="164"/>
        <v>A7</v>
      </c>
      <c r="AG323" s="49" t="str">
        <f t="shared" si="191"/>
        <v>18/07/2024</v>
      </c>
      <c r="AH323" s="46">
        <f t="shared" si="191"/>
        <v>81810</v>
      </c>
      <c r="AI323" s="49" t="str">
        <f t="shared" si="191"/>
        <v>A7</v>
      </c>
      <c r="AJ323" s="49" t="str">
        <f t="shared" si="167"/>
        <v>A7</v>
      </c>
      <c r="AK323" s="50">
        <f t="shared" si="189"/>
        <v>79891.5</v>
      </c>
      <c r="AL323" s="49" t="str">
        <f t="shared" si="180"/>
        <v>A7</v>
      </c>
      <c r="AM323" s="50">
        <f t="shared" si="168"/>
        <v>79891.5</v>
      </c>
      <c r="AN323" s="56">
        <f t="shared" si="181"/>
        <v>890</v>
      </c>
      <c r="AO323" s="57">
        <f t="shared" si="182"/>
        <v>82255</v>
      </c>
      <c r="AP323" s="23">
        <f t="shared" si="169"/>
        <v>81365</v>
      </c>
      <c r="AQ323" s="23">
        <f t="shared" si="170"/>
        <v>82700</v>
      </c>
      <c r="AR323" s="23">
        <f t="shared" si="171"/>
        <v>80920</v>
      </c>
      <c r="AS323" s="23">
        <f t="shared" si="172"/>
        <v>82032.5</v>
      </c>
      <c r="AT323" s="23">
        <f t="shared" si="173"/>
        <v>81587.5</v>
      </c>
      <c r="AU323" s="23">
        <f t="shared" si="174"/>
        <v>83590</v>
      </c>
      <c r="AV323" s="23">
        <f t="shared" si="175"/>
        <v>80030</v>
      </c>
      <c r="AW323" s="23">
        <f t="shared" si="176"/>
        <v>81958.333333333328</v>
      </c>
      <c r="AX323" s="23">
        <f t="shared" si="177"/>
        <v>81661.666666666672</v>
      </c>
      <c r="AY323" s="23">
        <f t="shared" si="178"/>
        <v>84480</v>
      </c>
      <c r="AZ323" s="23">
        <f t="shared" si="179"/>
        <v>79140</v>
      </c>
      <c r="BA323" s="23">
        <f t="shared" si="190"/>
        <v>80540.75</v>
      </c>
      <c r="BB323" s="43"/>
      <c r="BC323" s="51">
        <f t="shared" si="161"/>
        <v>81810</v>
      </c>
      <c r="BD323" s="52">
        <f t="shared" si="165"/>
        <v>80540.75</v>
      </c>
      <c r="BE323" s="37">
        <f t="shared" si="183"/>
        <v>1269.25</v>
      </c>
      <c r="BF323">
        <f t="shared" si="184"/>
        <v>1269.25</v>
      </c>
      <c r="BG323">
        <f t="shared" si="185"/>
        <v>1.5514607016257181E-2</v>
      </c>
    </row>
    <row r="324" spans="1:59">
      <c r="A324" s="1" t="s">
        <v>325</v>
      </c>
      <c r="B324" s="1">
        <v>80540</v>
      </c>
      <c r="Q324">
        <v>321</v>
      </c>
      <c r="R324" s="27" t="str">
        <f t="shared" si="162"/>
        <v>19/07/2024</v>
      </c>
      <c r="S324" s="27">
        <f t="shared" si="162"/>
        <v>81730</v>
      </c>
      <c r="T324" s="4" t="str">
        <f t="shared" si="163"/>
        <v>A7</v>
      </c>
      <c r="V324">
        <v>321</v>
      </c>
      <c r="W324" s="28" t="str">
        <f t="shared" ref="W324:Y385" si="192">R324</f>
        <v>19/07/2024</v>
      </c>
      <c r="X324" s="28">
        <f t="shared" si="192"/>
        <v>81730</v>
      </c>
      <c r="Y324" s="28" t="str">
        <f t="shared" si="192"/>
        <v>A7</v>
      </c>
      <c r="Z324" s="5" t="str">
        <f t="shared" si="187"/>
        <v>A7</v>
      </c>
      <c r="AA324" s="5" t="str">
        <f t="shared" si="164"/>
        <v>A7</v>
      </c>
      <c r="AG324" s="49" t="str">
        <f t="shared" si="191"/>
        <v>19/07/2024</v>
      </c>
      <c r="AH324" s="46">
        <f t="shared" si="191"/>
        <v>81730</v>
      </c>
      <c r="AI324" s="49" t="str">
        <f t="shared" si="191"/>
        <v>A7</v>
      </c>
      <c r="AJ324" s="49" t="str">
        <f t="shared" si="167"/>
        <v>A7</v>
      </c>
      <c r="AK324" s="50">
        <f t="shared" si="189"/>
        <v>79891.5</v>
      </c>
      <c r="AL324" s="49" t="str">
        <f t="shared" si="180"/>
        <v>A7</v>
      </c>
      <c r="AM324" s="50">
        <f t="shared" si="168"/>
        <v>79891.5</v>
      </c>
      <c r="AN324" s="56">
        <f t="shared" si="181"/>
        <v>1110</v>
      </c>
      <c r="AO324" s="57">
        <f t="shared" si="182"/>
        <v>82285</v>
      </c>
      <c r="AP324" s="23">
        <f t="shared" si="169"/>
        <v>81175</v>
      </c>
      <c r="AQ324" s="23">
        <f t="shared" si="170"/>
        <v>82840</v>
      </c>
      <c r="AR324" s="23">
        <f t="shared" si="171"/>
        <v>80620</v>
      </c>
      <c r="AS324" s="23">
        <f t="shared" si="172"/>
        <v>82007.5</v>
      </c>
      <c r="AT324" s="23">
        <f t="shared" si="173"/>
        <v>81452.5</v>
      </c>
      <c r="AU324" s="23">
        <f t="shared" si="174"/>
        <v>83950</v>
      </c>
      <c r="AV324" s="23">
        <f t="shared" si="175"/>
        <v>79510</v>
      </c>
      <c r="AW324" s="23">
        <f t="shared" si="176"/>
        <v>81915</v>
      </c>
      <c r="AX324" s="23">
        <f t="shared" si="177"/>
        <v>81545</v>
      </c>
      <c r="AY324" s="23">
        <f t="shared" si="178"/>
        <v>85060</v>
      </c>
      <c r="AZ324" s="23">
        <f t="shared" si="179"/>
        <v>78400</v>
      </c>
      <c r="BA324" s="23">
        <f t="shared" si="190"/>
        <v>81073.25</v>
      </c>
      <c r="BB324" s="43"/>
      <c r="BC324" s="51">
        <f t="shared" ref="BC324:BC386" si="193">AH324</f>
        <v>81730</v>
      </c>
      <c r="BD324" s="52">
        <f t="shared" si="165"/>
        <v>81073.25</v>
      </c>
      <c r="BE324" s="37">
        <f t="shared" si="183"/>
        <v>656.75</v>
      </c>
      <c r="BF324">
        <f t="shared" si="184"/>
        <v>656.75</v>
      </c>
      <c r="BG324">
        <f t="shared" si="185"/>
        <v>8.0356050409886217E-3</v>
      </c>
    </row>
    <row r="325" spans="1:59">
      <c r="A325" s="1" t="s">
        <v>326</v>
      </c>
      <c r="B325" s="1">
        <v>82730</v>
      </c>
      <c r="Q325">
        <v>322</v>
      </c>
      <c r="R325" s="27" t="str">
        <f t="shared" ref="R325:S385" si="194">A323</f>
        <v>20/07/2024</v>
      </c>
      <c r="S325" s="27">
        <f t="shared" si="194"/>
        <v>80540</v>
      </c>
      <c r="T325" s="4" t="str">
        <f t="shared" ref="T325:T386" si="195">VLOOKUP(S325,$N$5:$O$14,2,TRUE)</f>
        <v>A7</v>
      </c>
      <c r="V325">
        <v>322</v>
      </c>
      <c r="W325" s="28" t="str">
        <f t="shared" si="192"/>
        <v>20/07/2024</v>
      </c>
      <c r="X325" s="28">
        <f t="shared" si="192"/>
        <v>80540</v>
      </c>
      <c r="Y325" s="28" t="str">
        <f t="shared" si="192"/>
        <v>A7</v>
      </c>
      <c r="Z325" s="5" t="str">
        <f t="shared" si="187"/>
        <v>A7</v>
      </c>
      <c r="AA325" s="5" t="str">
        <f t="shared" ref="AA325:AA386" si="196">Y325</f>
        <v>A7</v>
      </c>
      <c r="AG325" s="49" t="str">
        <f t="shared" si="191"/>
        <v>20/07/2024</v>
      </c>
      <c r="AH325" s="46">
        <f t="shared" si="191"/>
        <v>80540</v>
      </c>
      <c r="AI325" s="49" t="str">
        <f t="shared" si="191"/>
        <v>A7</v>
      </c>
      <c r="AJ325" s="49" t="str">
        <f t="shared" si="167"/>
        <v>A7</v>
      </c>
      <c r="AK325" s="50">
        <f t="shared" si="189"/>
        <v>79891.5</v>
      </c>
      <c r="AL325" s="49" t="str">
        <f t="shared" si="180"/>
        <v>A7</v>
      </c>
      <c r="AM325" s="50">
        <f t="shared" si="168"/>
        <v>79891.5</v>
      </c>
      <c r="AN325" s="56">
        <f t="shared" si="181"/>
        <v>1110</v>
      </c>
      <c r="AO325" s="57">
        <f t="shared" si="182"/>
        <v>81095</v>
      </c>
      <c r="AP325" s="23">
        <f t="shared" si="169"/>
        <v>79985</v>
      </c>
      <c r="AQ325" s="23">
        <f t="shared" si="170"/>
        <v>81650</v>
      </c>
      <c r="AR325" s="23">
        <f t="shared" si="171"/>
        <v>79430</v>
      </c>
      <c r="AS325" s="23">
        <f t="shared" si="172"/>
        <v>80817.5</v>
      </c>
      <c r="AT325" s="23">
        <f t="shared" si="173"/>
        <v>80262.5</v>
      </c>
      <c r="AU325" s="23">
        <f t="shared" si="174"/>
        <v>82760</v>
      </c>
      <c r="AV325" s="23">
        <f t="shared" si="175"/>
        <v>78320</v>
      </c>
      <c r="AW325" s="23">
        <f t="shared" si="176"/>
        <v>80725</v>
      </c>
      <c r="AX325" s="23">
        <f t="shared" si="177"/>
        <v>80355</v>
      </c>
      <c r="AY325" s="23">
        <f t="shared" si="178"/>
        <v>83870</v>
      </c>
      <c r="AZ325" s="23">
        <f t="shared" si="179"/>
        <v>77210</v>
      </c>
      <c r="BA325" s="23">
        <f t="shared" si="190"/>
        <v>81088.25</v>
      </c>
      <c r="BB325" s="43"/>
      <c r="BC325" s="51">
        <f t="shared" si="193"/>
        <v>80540</v>
      </c>
      <c r="BD325" s="52">
        <f t="shared" ref="BD325:BD386" si="197">BA325</f>
        <v>81088.25</v>
      </c>
      <c r="BE325" s="37">
        <f t="shared" si="183"/>
        <v>-548.25</v>
      </c>
      <c r="BF325">
        <f t="shared" si="184"/>
        <v>548.25</v>
      </c>
      <c r="BG325">
        <f t="shared" si="185"/>
        <v>6.8071765582319345E-3</v>
      </c>
    </row>
    <row r="326" spans="1:59">
      <c r="A326" s="1" t="s">
        <v>327</v>
      </c>
      <c r="B326" s="1">
        <v>82350</v>
      </c>
      <c r="Q326">
        <v>323</v>
      </c>
      <c r="R326" s="27" t="str">
        <f t="shared" si="194"/>
        <v>21/07/2024</v>
      </c>
      <c r="S326" s="27">
        <f t="shared" si="194"/>
        <v>80540</v>
      </c>
      <c r="T326" s="4" t="str">
        <f t="shared" si="195"/>
        <v>A7</v>
      </c>
      <c r="V326">
        <v>323</v>
      </c>
      <c r="W326" s="28" t="str">
        <f t="shared" si="192"/>
        <v>21/07/2024</v>
      </c>
      <c r="X326" s="28">
        <f t="shared" si="192"/>
        <v>80540</v>
      </c>
      <c r="Y326" s="28" t="str">
        <f t="shared" si="192"/>
        <v>A7</v>
      </c>
      <c r="Z326" s="5" t="str">
        <f t="shared" si="187"/>
        <v>A7</v>
      </c>
      <c r="AA326" s="5" t="str">
        <f t="shared" si="196"/>
        <v>A7</v>
      </c>
      <c r="AG326" s="49" t="str">
        <f t="shared" si="191"/>
        <v>21/07/2024</v>
      </c>
      <c r="AH326" s="46">
        <f t="shared" si="191"/>
        <v>80540</v>
      </c>
      <c r="AI326" s="49" t="str">
        <f t="shared" si="191"/>
        <v>A7</v>
      </c>
      <c r="AJ326" s="49" t="str">
        <f t="shared" ref="AJ326:AJ386" si="198">AI325</f>
        <v>A7</v>
      </c>
      <c r="AK326" s="50">
        <f t="shared" si="189"/>
        <v>79891.5</v>
      </c>
      <c r="AL326" s="49" t="str">
        <f t="shared" si="180"/>
        <v>A7</v>
      </c>
      <c r="AM326" s="50">
        <f t="shared" ref="AM326:AM386" si="199">VLOOKUP(AL326,$AC$18:$AD$27,2,FALSE)</f>
        <v>79891.5</v>
      </c>
      <c r="AN326" s="56">
        <f t="shared" si="181"/>
        <v>1190</v>
      </c>
      <c r="AO326" s="57">
        <f t="shared" si="182"/>
        <v>81135</v>
      </c>
      <c r="AP326" s="23">
        <f t="shared" ref="AP326:AP386" si="200">AH326-AN326/2</f>
        <v>79945</v>
      </c>
      <c r="AQ326" s="23">
        <f t="shared" ref="AQ326:AQ386" si="201">AH326+AN326</f>
        <v>81730</v>
      </c>
      <c r="AR326" s="23">
        <f t="shared" ref="AR326:AR386" si="202">AH326-AN326</f>
        <v>79350</v>
      </c>
      <c r="AS326" s="23">
        <f t="shared" ref="AS326:AS386" si="203">AH326+AN326/4</f>
        <v>80837.5</v>
      </c>
      <c r="AT326" s="23">
        <f t="shared" ref="AT326:AT386" si="204">AH326-AN326/4</f>
        <v>80242.5</v>
      </c>
      <c r="AU326" s="23">
        <f t="shared" ref="AU326:AU386" si="205">AH326+2*AN326</f>
        <v>82920</v>
      </c>
      <c r="AV326" s="23">
        <f t="shared" ref="AV326:AV386" si="206">AH326-2*AN326</f>
        <v>78160</v>
      </c>
      <c r="AW326" s="23">
        <f t="shared" ref="AW326:AW386" si="207">AH326+AN326/6</f>
        <v>80738.333333333328</v>
      </c>
      <c r="AX326" s="23">
        <f t="shared" ref="AX326:AX386" si="208">AH326-AN326/6</f>
        <v>80341.666666666672</v>
      </c>
      <c r="AY326" s="23">
        <f t="shared" ref="AY326:AY386" si="209">AH326+3*AN326</f>
        <v>84110</v>
      </c>
      <c r="AZ326" s="23">
        <f t="shared" ref="AZ326:AZ386" si="210">AH326-3*AN326</f>
        <v>76970</v>
      </c>
      <c r="BA326" s="23">
        <f t="shared" si="190"/>
        <v>80493.25</v>
      </c>
      <c r="BB326" s="43"/>
      <c r="BC326" s="51">
        <f t="shared" si="193"/>
        <v>80540</v>
      </c>
      <c r="BD326" s="52">
        <f t="shared" si="197"/>
        <v>80493.25</v>
      </c>
      <c r="BE326" s="37">
        <f t="shared" si="183"/>
        <v>46.75</v>
      </c>
      <c r="BF326">
        <f t="shared" si="184"/>
        <v>46.75</v>
      </c>
      <c r="BG326">
        <f t="shared" si="185"/>
        <v>5.8045691581822695E-4</v>
      </c>
    </row>
    <row r="327" spans="1:59">
      <c r="A327" s="1" t="s">
        <v>328</v>
      </c>
      <c r="B327" s="1">
        <v>82440</v>
      </c>
      <c r="Q327">
        <v>324</v>
      </c>
      <c r="R327" s="27" t="str">
        <f t="shared" si="194"/>
        <v>22/07/2024</v>
      </c>
      <c r="S327" s="27">
        <f t="shared" si="194"/>
        <v>82730</v>
      </c>
      <c r="T327" s="4" t="str">
        <f t="shared" si="195"/>
        <v>A7</v>
      </c>
      <c r="V327">
        <v>324</v>
      </c>
      <c r="W327" s="28" t="str">
        <f t="shared" si="192"/>
        <v>22/07/2024</v>
      </c>
      <c r="X327" s="28">
        <f t="shared" si="192"/>
        <v>82730</v>
      </c>
      <c r="Y327" s="28" t="str">
        <f t="shared" si="192"/>
        <v>A7</v>
      </c>
      <c r="Z327" s="5" t="str">
        <f t="shared" si="187"/>
        <v>A7</v>
      </c>
      <c r="AA327" s="5" t="str">
        <f t="shared" si="196"/>
        <v>A7</v>
      </c>
      <c r="AG327" s="49" t="str">
        <f t="shared" si="191"/>
        <v>22/07/2024</v>
      </c>
      <c r="AH327" s="46">
        <f t="shared" si="191"/>
        <v>82730</v>
      </c>
      <c r="AI327" s="49" t="str">
        <f t="shared" si="191"/>
        <v>A7</v>
      </c>
      <c r="AJ327" s="49" t="str">
        <f t="shared" si="198"/>
        <v>A7</v>
      </c>
      <c r="AK327" s="50">
        <f t="shared" si="189"/>
        <v>79891.5</v>
      </c>
      <c r="AL327" s="49" t="str">
        <f t="shared" ref="AL327:AL387" si="211">AI327</f>
        <v>A7</v>
      </c>
      <c r="AM327" s="50">
        <f t="shared" si="199"/>
        <v>79891.5</v>
      </c>
      <c r="AN327" s="56">
        <f t="shared" ref="AN327:AN387" si="212">ABS(ABS(AH327-AH326)-ABS(AH326-AH325))</f>
        <v>2190</v>
      </c>
      <c r="AO327" s="57">
        <f t="shared" ref="AO327:AO387" si="213">AH327+AN327/2</f>
        <v>83825</v>
      </c>
      <c r="AP327" s="23">
        <f t="shared" si="200"/>
        <v>81635</v>
      </c>
      <c r="AQ327" s="23">
        <f t="shared" si="201"/>
        <v>84920</v>
      </c>
      <c r="AR327" s="23">
        <f t="shared" si="202"/>
        <v>80540</v>
      </c>
      <c r="AS327" s="23">
        <f t="shared" si="203"/>
        <v>83277.5</v>
      </c>
      <c r="AT327" s="23">
        <f t="shared" si="204"/>
        <v>82182.5</v>
      </c>
      <c r="AU327" s="23">
        <f t="shared" si="205"/>
        <v>87110</v>
      </c>
      <c r="AV327" s="23">
        <f t="shared" si="206"/>
        <v>78350</v>
      </c>
      <c r="AW327" s="23">
        <f t="shared" si="207"/>
        <v>83095</v>
      </c>
      <c r="AX327" s="23">
        <f t="shared" si="208"/>
        <v>82365</v>
      </c>
      <c r="AY327" s="23">
        <f t="shared" si="209"/>
        <v>89300</v>
      </c>
      <c r="AZ327" s="23">
        <f t="shared" si="210"/>
        <v>76160</v>
      </c>
      <c r="BA327" s="23">
        <f t="shared" si="190"/>
        <v>80513.25</v>
      </c>
      <c r="BB327" s="43"/>
      <c r="BC327" s="51">
        <f t="shared" si="193"/>
        <v>82730</v>
      </c>
      <c r="BD327" s="52">
        <f t="shared" si="197"/>
        <v>80513.25</v>
      </c>
      <c r="BE327" s="37">
        <f t="shared" ref="BE327:BE386" si="214">BC327-BD327</f>
        <v>2216.75</v>
      </c>
      <c r="BF327">
        <f t="shared" ref="BF327:BF386" si="215">ABS(BE327)</f>
        <v>2216.75</v>
      </c>
      <c r="BG327">
        <f t="shared" ref="BG327:BG386" si="216">BF327/BC327</f>
        <v>2.679499576937024E-2</v>
      </c>
    </row>
    <row r="328" spans="1:59">
      <c r="A328" s="1" t="s">
        <v>329</v>
      </c>
      <c r="B328" s="1">
        <v>80580</v>
      </c>
      <c r="Q328">
        <v>325</v>
      </c>
      <c r="R328" s="27" t="str">
        <f t="shared" si="194"/>
        <v>23/07/2024</v>
      </c>
      <c r="S328" s="27">
        <f t="shared" si="194"/>
        <v>82350</v>
      </c>
      <c r="T328" s="4" t="str">
        <f t="shared" si="195"/>
        <v>A7</v>
      </c>
      <c r="V328">
        <v>325</v>
      </c>
      <c r="W328" s="28" t="str">
        <f t="shared" si="192"/>
        <v>23/07/2024</v>
      </c>
      <c r="X328" s="28">
        <f t="shared" si="192"/>
        <v>82350</v>
      </c>
      <c r="Y328" s="28" t="str">
        <f t="shared" si="192"/>
        <v>A7</v>
      </c>
      <c r="Z328" s="5" t="str">
        <f t="shared" si="187"/>
        <v>A7</v>
      </c>
      <c r="AA328" s="5" t="str">
        <f t="shared" si="196"/>
        <v>A7</v>
      </c>
      <c r="AG328" s="49" t="str">
        <f t="shared" si="191"/>
        <v>23/07/2024</v>
      </c>
      <c r="AH328" s="46">
        <f t="shared" si="191"/>
        <v>82350</v>
      </c>
      <c r="AI328" s="49" t="str">
        <f t="shared" si="191"/>
        <v>A7</v>
      </c>
      <c r="AJ328" s="49" t="str">
        <f t="shared" si="198"/>
        <v>A7</v>
      </c>
      <c r="AK328" s="50">
        <f t="shared" si="189"/>
        <v>79891.5</v>
      </c>
      <c r="AL328" s="49" t="str">
        <f t="shared" si="211"/>
        <v>A7</v>
      </c>
      <c r="AM328" s="50">
        <f t="shared" si="199"/>
        <v>79891.5</v>
      </c>
      <c r="AN328" s="56">
        <f t="shared" si="212"/>
        <v>1810</v>
      </c>
      <c r="AO328" s="57">
        <f t="shared" si="213"/>
        <v>83255</v>
      </c>
      <c r="AP328" s="23">
        <f t="shared" si="200"/>
        <v>81445</v>
      </c>
      <c r="AQ328" s="23">
        <f t="shared" si="201"/>
        <v>84160</v>
      </c>
      <c r="AR328" s="23">
        <f t="shared" si="202"/>
        <v>80540</v>
      </c>
      <c r="AS328" s="23">
        <f t="shared" si="203"/>
        <v>82802.5</v>
      </c>
      <c r="AT328" s="23">
        <f t="shared" si="204"/>
        <v>81897.5</v>
      </c>
      <c r="AU328" s="23">
        <f t="shared" si="205"/>
        <v>85970</v>
      </c>
      <c r="AV328" s="23">
        <f t="shared" si="206"/>
        <v>78730</v>
      </c>
      <c r="AW328" s="23">
        <f t="shared" si="207"/>
        <v>82651.666666666672</v>
      </c>
      <c r="AX328" s="23">
        <f t="shared" si="208"/>
        <v>82048.333333333328</v>
      </c>
      <c r="AY328" s="23">
        <f t="shared" si="209"/>
        <v>87780</v>
      </c>
      <c r="AZ328" s="23">
        <f t="shared" si="210"/>
        <v>76920</v>
      </c>
      <c r="BA328" s="23">
        <f t="shared" si="190"/>
        <v>81858.25</v>
      </c>
      <c r="BB328" s="43"/>
      <c r="BC328" s="51">
        <f t="shared" si="193"/>
        <v>82350</v>
      </c>
      <c r="BD328" s="52">
        <f t="shared" si="197"/>
        <v>81858.25</v>
      </c>
      <c r="BE328" s="37">
        <f t="shared" si="214"/>
        <v>491.75</v>
      </c>
      <c r="BF328">
        <f t="shared" si="215"/>
        <v>491.75</v>
      </c>
      <c r="BG328">
        <f t="shared" si="216"/>
        <v>5.9714632665452336E-3</v>
      </c>
    </row>
    <row r="329" spans="1:59">
      <c r="A329" s="1" t="s">
        <v>330</v>
      </c>
      <c r="B329" s="1">
        <v>81100</v>
      </c>
      <c r="Q329">
        <v>326</v>
      </c>
      <c r="R329" s="27" t="str">
        <f t="shared" si="194"/>
        <v>24/07/2024</v>
      </c>
      <c r="S329" s="27">
        <f t="shared" si="194"/>
        <v>82440</v>
      </c>
      <c r="T329" s="4" t="str">
        <f t="shared" si="195"/>
        <v>A7</v>
      </c>
      <c r="V329">
        <v>326</v>
      </c>
      <c r="W329" s="28" t="str">
        <f t="shared" si="192"/>
        <v>24/07/2024</v>
      </c>
      <c r="X329" s="28">
        <f t="shared" si="192"/>
        <v>82440</v>
      </c>
      <c r="Y329" s="28" t="str">
        <f t="shared" si="192"/>
        <v>A7</v>
      </c>
      <c r="Z329" s="5" t="str">
        <f t="shared" si="187"/>
        <v>A7</v>
      </c>
      <c r="AA329" s="5" t="str">
        <f t="shared" si="196"/>
        <v>A7</v>
      </c>
      <c r="AG329" s="49" t="str">
        <f t="shared" si="191"/>
        <v>24/07/2024</v>
      </c>
      <c r="AH329" s="46">
        <f t="shared" si="191"/>
        <v>82440</v>
      </c>
      <c r="AI329" s="49" t="str">
        <f t="shared" si="191"/>
        <v>A7</v>
      </c>
      <c r="AJ329" s="49" t="str">
        <f t="shared" si="198"/>
        <v>A7</v>
      </c>
      <c r="AK329" s="50">
        <f t="shared" si="189"/>
        <v>79891.5</v>
      </c>
      <c r="AL329" s="49" t="str">
        <f t="shared" si="211"/>
        <v>A7</v>
      </c>
      <c r="AM329" s="50">
        <f t="shared" si="199"/>
        <v>79891.5</v>
      </c>
      <c r="AN329" s="56">
        <f t="shared" si="212"/>
        <v>290</v>
      </c>
      <c r="AO329" s="57">
        <f t="shared" si="213"/>
        <v>82585</v>
      </c>
      <c r="AP329" s="23">
        <f t="shared" si="200"/>
        <v>82295</v>
      </c>
      <c r="AQ329" s="23">
        <f t="shared" si="201"/>
        <v>82730</v>
      </c>
      <c r="AR329" s="23">
        <f t="shared" si="202"/>
        <v>82150</v>
      </c>
      <c r="AS329" s="23">
        <f t="shared" si="203"/>
        <v>82512.5</v>
      </c>
      <c r="AT329" s="23">
        <f t="shared" si="204"/>
        <v>82367.5</v>
      </c>
      <c r="AU329" s="23">
        <f t="shared" si="205"/>
        <v>83020</v>
      </c>
      <c r="AV329" s="23">
        <f t="shared" si="206"/>
        <v>81860</v>
      </c>
      <c r="AW329" s="23">
        <f t="shared" si="207"/>
        <v>82488.333333333328</v>
      </c>
      <c r="AX329" s="23">
        <f t="shared" si="208"/>
        <v>82391.666666666672</v>
      </c>
      <c r="AY329" s="23">
        <f t="shared" si="209"/>
        <v>83310</v>
      </c>
      <c r="AZ329" s="23">
        <f t="shared" si="210"/>
        <v>81570</v>
      </c>
      <c r="BA329" s="23">
        <f t="shared" si="190"/>
        <v>81573.25</v>
      </c>
      <c r="BB329" s="43"/>
      <c r="BC329" s="51">
        <f t="shared" si="193"/>
        <v>82440</v>
      </c>
      <c r="BD329" s="52">
        <f t="shared" si="197"/>
        <v>81573.25</v>
      </c>
      <c r="BE329" s="37">
        <f t="shared" si="214"/>
        <v>866.75</v>
      </c>
      <c r="BF329">
        <f t="shared" si="215"/>
        <v>866.75</v>
      </c>
      <c r="BG329">
        <f t="shared" si="216"/>
        <v>1.0513706938379427E-2</v>
      </c>
    </row>
    <row r="330" spans="1:59">
      <c r="A330" s="1" t="s">
        <v>331</v>
      </c>
      <c r="B330" s="1">
        <v>80800</v>
      </c>
      <c r="Q330">
        <v>327</v>
      </c>
      <c r="R330" s="27" t="str">
        <f t="shared" si="194"/>
        <v>25/07/2024</v>
      </c>
      <c r="S330" s="27">
        <f t="shared" si="194"/>
        <v>80580</v>
      </c>
      <c r="T330" s="4" t="str">
        <f t="shared" si="195"/>
        <v>A7</v>
      </c>
      <c r="V330">
        <v>327</v>
      </c>
      <c r="W330" s="28" t="str">
        <f t="shared" si="192"/>
        <v>25/07/2024</v>
      </c>
      <c r="X330" s="28">
        <f t="shared" si="192"/>
        <v>80580</v>
      </c>
      <c r="Y330" s="28" t="str">
        <f t="shared" si="192"/>
        <v>A7</v>
      </c>
      <c r="Z330" s="5" t="str">
        <f t="shared" si="187"/>
        <v>A7</v>
      </c>
      <c r="AA330" s="5" t="str">
        <f t="shared" si="196"/>
        <v>A7</v>
      </c>
      <c r="AG330" s="49" t="str">
        <f t="shared" si="191"/>
        <v>25/07/2024</v>
      </c>
      <c r="AH330" s="46">
        <f t="shared" si="191"/>
        <v>80580</v>
      </c>
      <c r="AI330" s="49" t="str">
        <f t="shared" si="191"/>
        <v>A7</v>
      </c>
      <c r="AJ330" s="49" t="str">
        <f t="shared" si="198"/>
        <v>A7</v>
      </c>
      <c r="AK330" s="50">
        <f t="shared" si="189"/>
        <v>79891.5</v>
      </c>
      <c r="AL330" s="49" t="str">
        <f t="shared" si="211"/>
        <v>A7</v>
      </c>
      <c r="AM330" s="50">
        <f t="shared" si="199"/>
        <v>79891.5</v>
      </c>
      <c r="AN330" s="56">
        <f t="shared" si="212"/>
        <v>1770</v>
      </c>
      <c r="AO330" s="57">
        <f t="shared" si="213"/>
        <v>81465</v>
      </c>
      <c r="AP330" s="23">
        <f t="shared" si="200"/>
        <v>79695</v>
      </c>
      <c r="AQ330" s="23">
        <f t="shared" si="201"/>
        <v>82350</v>
      </c>
      <c r="AR330" s="23">
        <f t="shared" si="202"/>
        <v>78810</v>
      </c>
      <c r="AS330" s="23">
        <f t="shared" si="203"/>
        <v>81022.5</v>
      </c>
      <c r="AT330" s="23">
        <f t="shared" si="204"/>
        <v>80137.5</v>
      </c>
      <c r="AU330" s="23">
        <f t="shared" si="205"/>
        <v>84120</v>
      </c>
      <c r="AV330" s="23">
        <f t="shared" si="206"/>
        <v>77040</v>
      </c>
      <c r="AW330" s="23">
        <f t="shared" si="207"/>
        <v>80875</v>
      </c>
      <c r="AX330" s="23">
        <f t="shared" si="208"/>
        <v>80285</v>
      </c>
      <c r="AY330" s="23">
        <f t="shared" si="209"/>
        <v>85890</v>
      </c>
      <c r="AZ330" s="23">
        <f t="shared" si="210"/>
        <v>75270</v>
      </c>
      <c r="BA330" s="23">
        <f t="shared" si="190"/>
        <v>81238.25</v>
      </c>
      <c r="BB330" s="43"/>
      <c r="BC330" s="51">
        <f t="shared" si="193"/>
        <v>80580</v>
      </c>
      <c r="BD330" s="52">
        <f t="shared" si="197"/>
        <v>81238.25</v>
      </c>
      <c r="BE330" s="37">
        <f t="shared" si="214"/>
        <v>-658.25</v>
      </c>
      <c r="BF330">
        <f t="shared" si="215"/>
        <v>658.25</v>
      </c>
      <c r="BG330">
        <f t="shared" si="216"/>
        <v>8.1689004715810379E-3</v>
      </c>
    </row>
    <row r="331" spans="1:59">
      <c r="A331" s="1" t="s">
        <v>332</v>
      </c>
      <c r="B331" s="1">
        <v>81060</v>
      </c>
      <c r="Q331">
        <v>328</v>
      </c>
      <c r="R331" s="27" t="str">
        <f t="shared" si="194"/>
        <v>26/07/2024</v>
      </c>
      <c r="S331" s="27">
        <f t="shared" si="194"/>
        <v>81100</v>
      </c>
      <c r="T331" s="4" t="str">
        <f t="shared" si="195"/>
        <v>A7</v>
      </c>
      <c r="V331">
        <v>328</v>
      </c>
      <c r="W331" s="28" t="str">
        <f t="shared" si="192"/>
        <v>26/07/2024</v>
      </c>
      <c r="X331" s="28">
        <f t="shared" si="192"/>
        <v>81100</v>
      </c>
      <c r="Y331" s="28" t="str">
        <f t="shared" si="192"/>
        <v>A7</v>
      </c>
      <c r="Z331" s="5" t="str">
        <f t="shared" si="187"/>
        <v>A7</v>
      </c>
      <c r="AA331" s="5" t="str">
        <f t="shared" si="196"/>
        <v>A7</v>
      </c>
      <c r="AG331" s="49" t="str">
        <f t="shared" si="191"/>
        <v>26/07/2024</v>
      </c>
      <c r="AH331" s="46">
        <f t="shared" si="191"/>
        <v>81100</v>
      </c>
      <c r="AI331" s="49" t="str">
        <f t="shared" si="191"/>
        <v>A7</v>
      </c>
      <c r="AJ331" s="49" t="str">
        <f t="shared" si="198"/>
        <v>A7</v>
      </c>
      <c r="AK331" s="50">
        <f t="shared" si="189"/>
        <v>79891.5</v>
      </c>
      <c r="AL331" s="49" t="str">
        <f t="shared" si="211"/>
        <v>A7</v>
      </c>
      <c r="AM331" s="50">
        <f t="shared" si="199"/>
        <v>79891.5</v>
      </c>
      <c r="AN331" s="56">
        <f t="shared" si="212"/>
        <v>1340</v>
      </c>
      <c r="AO331" s="57">
        <f t="shared" si="213"/>
        <v>81770</v>
      </c>
      <c r="AP331" s="23">
        <f t="shared" si="200"/>
        <v>80430</v>
      </c>
      <c r="AQ331" s="23">
        <f t="shared" si="201"/>
        <v>82440</v>
      </c>
      <c r="AR331" s="23">
        <f t="shared" si="202"/>
        <v>79760</v>
      </c>
      <c r="AS331" s="23">
        <f t="shared" si="203"/>
        <v>81435</v>
      </c>
      <c r="AT331" s="23">
        <f t="shared" si="204"/>
        <v>80765</v>
      </c>
      <c r="AU331" s="23">
        <f t="shared" si="205"/>
        <v>83780</v>
      </c>
      <c r="AV331" s="23">
        <f t="shared" si="206"/>
        <v>78420</v>
      </c>
      <c r="AW331" s="23">
        <f t="shared" si="207"/>
        <v>81323.333333333328</v>
      </c>
      <c r="AX331" s="23">
        <f t="shared" si="208"/>
        <v>80876.666666666672</v>
      </c>
      <c r="AY331" s="23">
        <f t="shared" si="209"/>
        <v>85120</v>
      </c>
      <c r="AZ331" s="23">
        <f t="shared" si="210"/>
        <v>77080</v>
      </c>
      <c r="BA331" s="23">
        <f t="shared" si="190"/>
        <v>80678.25</v>
      </c>
      <c r="BB331" s="43"/>
      <c r="BC331" s="51">
        <f t="shared" si="193"/>
        <v>81100</v>
      </c>
      <c r="BD331" s="52">
        <f t="shared" si="197"/>
        <v>80678.25</v>
      </c>
      <c r="BE331" s="37">
        <f t="shared" si="214"/>
        <v>421.75</v>
      </c>
      <c r="BF331">
        <f t="shared" si="215"/>
        <v>421.75</v>
      </c>
      <c r="BG331">
        <f t="shared" si="216"/>
        <v>5.2003699136868066E-3</v>
      </c>
    </row>
    <row r="332" spans="1:59">
      <c r="A332" s="1" t="s">
        <v>333</v>
      </c>
      <c r="B332" s="1">
        <v>80620</v>
      </c>
      <c r="Q332">
        <v>329</v>
      </c>
      <c r="R332" s="27" t="str">
        <f t="shared" si="194"/>
        <v>27/07/2024</v>
      </c>
      <c r="S332" s="27">
        <f t="shared" si="194"/>
        <v>80800</v>
      </c>
      <c r="T332" s="4" t="str">
        <f t="shared" si="195"/>
        <v>A7</v>
      </c>
      <c r="V332">
        <v>329</v>
      </c>
      <c r="W332" s="28" t="str">
        <f t="shared" si="192"/>
        <v>27/07/2024</v>
      </c>
      <c r="X332" s="28">
        <f t="shared" si="192"/>
        <v>80800</v>
      </c>
      <c r="Y332" s="28" t="str">
        <f t="shared" si="192"/>
        <v>A7</v>
      </c>
      <c r="Z332" s="5" t="str">
        <f t="shared" si="187"/>
        <v>A7</v>
      </c>
      <c r="AA332" s="5" t="str">
        <f t="shared" si="196"/>
        <v>A7</v>
      </c>
      <c r="AG332" s="49" t="str">
        <f t="shared" si="191"/>
        <v>27/07/2024</v>
      </c>
      <c r="AH332" s="46">
        <f t="shared" si="191"/>
        <v>80800</v>
      </c>
      <c r="AI332" s="49" t="str">
        <f t="shared" si="191"/>
        <v>A7</v>
      </c>
      <c r="AJ332" s="49" t="str">
        <f t="shared" si="198"/>
        <v>A7</v>
      </c>
      <c r="AK332" s="50">
        <f t="shared" si="189"/>
        <v>79891.5</v>
      </c>
      <c r="AL332" s="49" t="str">
        <f t="shared" si="211"/>
        <v>A7</v>
      </c>
      <c r="AM332" s="50">
        <f t="shared" si="199"/>
        <v>79891.5</v>
      </c>
      <c r="AN332" s="56">
        <f t="shared" si="212"/>
        <v>220</v>
      </c>
      <c r="AO332" s="57">
        <f t="shared" si="213"/>
        <v>80910</v>
      </c>
      <c r="AP332" s="23">
        <f t="shared" si="200"/>
        <v>80690</v>
      </c>
      <c r="AQ332" s="23">
        <f t="shared" si="201"/>
        <v>81020</v>
      </c>
      <c r="AR332" s="23">
        <f t="shared" si="202"/>
        <v>80580</v>
      </c>
      <c r="AS332" s="23">
        <f t="shared" si="203"/>
        <v>80855</v>
      </c>
      <c r="AT332" s="23">
        <f t="shared" si="204"/>
        <v>80745</v>
      </c>
      <c r="AU332" s="23">
        <f t="shared" si="205"/>
        <v>81240</v>
      </c>
      <c r="AV332" s="23">
        <f t="shared" si="206"/>
        <v>80360</v>
      </c>
      <c r="AW332" s="23">
        <f t="shared" si="207"/>
        <v>80836.666666666672</v>
      </c>
      <c r="AX332" s="23">
        <f t="shared" si="208"/>
        <v>80763.333333333328</v>
      </c>
      <c r="AY332" s="23">
        <f t="shared" si="209"/>
        <v>81460</v>
      </c>
      <c r="AZ332" s="23">
        <f t="shared" si="210"/>
        <v>80140</v>
      </c>
      <c r="BA332" s="23">
        <f t="shared" si="190"/>
        <v>80830.75</v>
      </c>
      <c r="BB332" s="43"/>
      <c r="BC332" s="51">
        <f t="shared" si="193"/>
        <v>80800</v>
      </c>
      <c r="BD332" s="52">
        <f t="shared" si="197"/>
        <v>80830.75</v>
      </c>
      <c r="BE332" s="37">
        <f t="shared" si="214"/>
        <v>-30.75</v>
      </c>
      <c r="BF332">
        <f t="shared" si="215"/>
        <v>30.75</v>
      </c>
      <c r="BG332">
        <f t="shared" si="216"/>
        <v>3.8056930693069308E-4</v>
      </c>
    </row>
    <row r="333" spans="1:59">
      <c r="A333" s="1" t="s">
        <v>334</v>
      </c>
      <c r="B333" s="1">
        <v>80750</v>
      </c>
      <c r="Q333">
        <v>330</v>
      </c>
      <c r="R333" s="27" t="str">
        <f t="shared" si="194"/>
        <v>28/07/2024</v>
      </c>
      <c r="S333" s="27">
        <f t="shared" si="194"/>
        <v>81060</v>
      </c>
      <c r="T333" s="4" t="str">
        <f t="shared" si="195"/>
        <v>A7</v>
      </c>
      <c r="V333">
        <v>330</v>
      </c>
      <c r="W333" s="28" t="str">
        <f t="shared" si="192"/>
        <v>28/07/2024</v>
      </c>
      <c r="X333" s="28">
        <f t="shared" si="192"/>
        <v>81060</v>
      </c>
      <c r="Y333" s="28" t="str">
        <f t="shared" si="192"/>
        <v>A7</v>
      </c>
      <c r="Z333" s="5" t="str">
        <f t="shared" si="187"/>
        <v>A7</v>
      </c>
      <c r="AA333" s="5" t="str">
        <f t="shared" si="196"/>
        <v>A7</v>
      </c>
      <c r="AG333" s="49" t="str">
        <f t="shared" si="191"/>
        <v>28/07/2024</v>
      </c>
      <c r="AH333" s="46">
        <f t="shared" si="191"/>
        <v>81060</v>
      </c>
      <c r="AI333" s="49" t="str">
        <f t="shared" si="191"/>
        <v>A7</v>
      </c>
      <c r="AJ333" s="49" t="str">
        <f t="shared" si="198"/>
        <v>A7</v>
      </c>
      <c r="AK333" s="50">
        <f t="shared" si="189"/>
        <v>79891.5</v>
      </c>
      <c r="AL333" s="49" t="str">
        <f t="shared" si="211"/>
        <v>A7</v>
      </c>
      <c r="AM333" s="50">
        <f t="shared" si="199"/>
        <v>79891.5</v>
      </c>
      <c r="AN333" s="56">
        <f t="shared" si="212"/>
        <v>40</v>
      </c>
      <c r="AO333" s="57">
        <f t="shared" si="213"/>
        <v>81080</v>
      </c>
      <c r="AP333" s="23">
        <f t="shared" si="200"/>
        <v>81040</v>
      </c>
      <c r="AQ333" s="23">
        <f t="shared" si="201"/>
        <v>81100</v>
      </c>
      <c r="AR333" s="23">
        <f t="shared" si="202"/>
        <v>81020</v>
      </c>
      <c r="AS333" s="23">
        <f t="shared" si="203"/>
        <v>81070</v>
      </c>
      <c r="AT333" s="23">
        <f t="shared" si="204"/>
        <v>81050</v>
      </c>
      <c r="AU333" s="23">
        <f t="shared" si="205"/>
        <v>81140</v>
      </c>
      <c r="AV333" s="23">
        <f t="shared" si="206"/>
        <v>80980</v>
      </c>
      <c r="AW333" s="23">
        <f t="shared" si="207"/>
        <v>81066.666666666672</v>
      </c>
      <c r="AX333" s="23">
        <f t="shared" si="208"/>
        <v>81053.333333333328</v>
      </c>
      <c r="AY333" s="23">
        <f t="shared" si="209"/>
        <v>81180</v>
      </c>
      <c r="AZ333" s="23">
        <f t="shared" si="210"/>
        <v>80940</v>
      </c>
      <c r="BA333" s="23">
        <f t="shared" si="190"/>
        <v>80400.75</v>
      </c>
      <c r="BB333" s="43"/>
      <c r="BC333" s="51">
        <f t="shared" si="193"/>
        <v>81060</v>
      </c>
      <c r="BD333" s="52">
        <f t="shared" si="197"/>
        <v>80400.75</v>
      </c>
      <c r="BE333" s="37">
        <f t="shared" si="214"/>
        <v>659.25</v>
      </c>
      <c r="BF333">
        <f t="shared" si="215"/>
        <v>659.25</v>
      </c>
      <c r="BG333">
        <f t="shared" si="216"/>
        <v>8.1328645447816435E-3</v>
      </c>
    </row>
    <row r="334" spans="1:59">
      <c r="A334" s="1" t="s">
        <v>335</v>
      </c>
      <c r="B334" s="1">
        <v>81000</v>
      </c>
      <c r="Q334">
        <v>331</v>
      </c>
      <c r="R334" s="27" t="str">
        <f t="shared" si="194"/>
        <v>29/07/2024</v>
      </c>
      <c r="S334" s="27">
        <f t="shared" si="194"/>
        <v>80620</v>
      </c>
      <c r="T334" s="4" t="str">
        <f t="shared" si="195"/>
        <v>A7</v>
      </c>
      <c r="V334">
        <v>331</v>
      </c>
      <c r="W334" s="28" t="str">
        <f t="shared" si="192"/>
        <v>29/07/2024</v>
      </c>
      <c r="X334" s="28">
        <f t="shared" si="192"/>
        <v>80620</v>
      </c>
      <c r="Y334" s="28" t="str">
        <f t="shared" si="192"/>
        <v>A7</v>
      </c>
      <c r="Z334" s="5" t="str">
        <f t="shared" si="187"/>
        <v>A7</v>
      </c>
      <c r="AA334" s="5" t="str">
        <f t="shared" si="196"/>
        <v>A7</v>
      </c>
      <c r="AG334" s="49" t="str">
        <f t="shared" si="191"/>
        <v>29/07/2024</v>
      </c>
      <c r="AH334" s="46">
        <f t="shared" si="191"/>
        <v>80620</v>
      </c>
      <c r="AI334" s="49" t="str">
        <f t="shared" si="191"/>
        <v>A7</v>
      </c>
      <c r="AJ334" s="49" t="str">
        <f t="shared" si="198"/>
        <v>A7</v>
      </c>
      <c r="AK334" s="50">
        <f t="shared" si="189"/>
        <v>79891.5</v>
      </c>
      <c r="AL334" s="49" t="str">
        <f t="shared" si="211"/>
        <v>A7</v>
      </c>
      <c r="AM334" s="50">
        <f t="shared" si="199"/>
        <v>79891.5</v>
      </c>
      <c r="AN334" s="56">
        <f t="shared" si="212"/>
        <v>180</v>
      </c>
      <c r="AO334" s="57">
        <f t="shared" si="213"/>
        <v>80710</v>
      </c>
      <c r="AP334" s="23">
        <f t="shared" si="200"/>
        <v>80530</v>
      </c>
      <c r="AQ334" s="23">
        <f t="shared" si="201"/>
        <v>80800</v>
      </c>
      <c r="AR334" s="23">
        <f t="shared" si="202"/>
        <v>80440</v>
      </c>
      <c r="AS334" s="23">
        <f t="shared" si="203"/>
        <v>80665</v>
      </c>
      <c r="AT334" s="23">
        <f t="shared" si="204"/>
        <v>80575</v>
      </c>
      <c r="AU334" s="23">
        <f t="shared" si="205"/>
        <v>80980</v>
      </c>
      <c r="AV334" s="23">
        <f t="shared" si="206"/>
        <v>80260</v>
      </c>
      <c r="AW334" s="23">
        <f t="shared" si="207"/>
        <v>80650</v>
      </c>
      <c r="AX334" s="23">
        <f t="shared" si="208"/>
        <v>80590</v>
      </c>
      <c r="AY334" s="23">
        <f t="shared" si="209"/>
        <v>81160</v>
      </c>
      <c r="AZ334" s="23">
        <f t="shared" si="210"/>
        <v>80080</v>
      </c>
      <c r="BA334" s="23">
        <f t="shared" si="190"/>
        <v>80485.75</v>
      </c>
      <c r="BB334" s="43"/>
      <c r="BC334" s="51">
        <f t="shared" si="193"/>
        <v>80620</v>
      </c>
      <c r="BD334" s="52">
        <f t="shared" si="197"/>
        <v>80485.75</v>
      </c>
      <c r="BE334" s="37">
        <f t="shared" si="214"/>
        <v>134.25</v>
      </c>
      <c r="BF334">
        <f t="shared" si="215"/>
        <v>134.25</v>
      </c>
      <c r="BG334">
        <f t="shared" si="216"/>
        <v>1.6652195484991316E-3</v>
      </c>
    </row>
    <row r="335" spans="1:59">
      <c r="A335" s="1" t="s">
        <v>336</v>
      </c>
      <c r="B335" s="1">
        <v>80940</v>
      </c>
      <c r="Q335">
        <v>332</v>
      </c>
      <c r="R335" s="27" t="str">
        <f t="shared" si="194"/>
        <v>30/07/2024</v>
      </c>
      <c r="S335" s="27">
        <f t="shared" si="194"/>
        <v>80750</v>
      </c>
      <c r="T335" s="4" t="str">
        <f t="shared" si="195"/>
        <v>A7</v>
      </c>
      <c r="V335">
        <v>332</v>
      </c>
      <c r="W335" s="28" t="str">
        <f t="shared" si="192"/>
        <v>30/07/2024</v>
      </c>
      <c r="X335" s="28">
        <f t="shared" si="192"/>
        <v>80750</v>
      </c>
      <c r="Y335" s="28" t="str">
        <f t="shared" si="192"/>
        <v>A7</v>
      </c>
      <c r="Z335" s="5" t="str">
        <f t="shared" si="187"/>
        <v>A7</v>
      </c>
      <c r="AA335" s="5" t="str">
        <f t="shared" si="196"/>
        <v>A7</v>
      </c>
      <c r="AG335" s="49" t="str">
        <f t="shared" si="191"/>
        <v>30/07/2024</v>
      </c>
      <c r="AH335" s="46">
        <f t="shared" si="191"/>
        <v>80750</v>
      </c>
      <c r="AI335" s="49" t="str">
        <f t="shared" si="191"/>
        <v>A7</v>
      </c>
      <c r="AJ335" s="49" t="str">
        <f t="shared" si="198"/>
        <v>A7</v>
      </c>
      <c r="AK335" s="50">
        <f t="shared" si="189"/>
        <v>79891.5</v>
      </c>
      <c r="AL335" s="49" t="str">
        <f t="shared" si="211"/>
        <v>A7</v>
      </c>
      <c r="AM335" s="50">
        <f t="shared" si="199"/>
        <v>79891.5</v>
      </c>
      <c r="AN335" s="56">
        <f t="shared" si="212"/>
        <v>310</v>
      </c>
      <c r="AO335" s="57">
        <f t="shared" si="213"/>
        <v>80905</v>
      </c>
      <c r="AP335" s="23">
        <f t="shared" si="200"/>
        <v>80595</v>
      </c>
      <c r="AQ335" s="23">
        <f t="shared" si="201"/>
        <v>81060</v>
      </c>
      <c r="AR335" s="23">
        <f t="shared" si="202"/>
        <v>80440</v>
      </c>
      <c r="AS335" s="23">
        <f t="shared" si="203"/>
        <v>80827.5</v>
      </c>
      <c r="AT335" s="23">
        <f t="shared" si="204"/>
        <v>80672.5</v>
      </c>
      <c r="AU335" s="23">
        <f t="shared" si="205"/>
        <v>81370</v>
      </c>
      <c r="AV335" s="23">
        <f t="shared" si="206"/>
        <v>80130</v>
      </c>
      <c r="AW335" s="23">
        <f t="shared" si="207"/>
        <v>80801.666666666672</v>
      </c>
      <c r="AX335" s="23">
        <f t="shared" si="208"/>
        <v>80698.333333333328</v>
      </c>
      <c r="AY335" s="23">
        <f t="shared" si="209"/>
        <v>81680</v>
      </c>
      <c r="AZ335" s="23">
        <f t="shared" si="210"/>
        <v>79820</v>
      </c>
      <c r="BA335" s="23">
        <f t="shared" si="190"/>
        <v>80300.75</v>
      </c>
      <c r="BB335" s="43"/>
      <c r="BC335" s="51">
        <f t="shared" si="193"/>
        <v>80750</v>
      </c>
      <c r="BD335" s="52">
        <f t="shared" si="197"/>
        <v>80300.75</v>
      </c>
      <c r="BE335" s="37">
        <f t="shared" si="214"/>
        <v>449.25</v>
      </c>
      <c r="BF335">
        <f t="shared" si="215"/>
        <v>449.25</v>
      </c>
      <c r="BG335">
        <f t="shared" si="216"/>
        <v>5.5634674922600616E-3</v>
      </c>
    </row>
    <row r="336" spans="1:59">
      <c r="A336" s="1" t="s">
        <v>337</v>
      </c>
      <c r="B336" s="1">
        <v>81720</v>
      </c>
      <c r="Q336">
        <v>333</v>
      </c>
      <c r="R336" s="27" t="str">
        <f t="shared" si="194"/>
        <v>31/07/2024</v>
      </c>
      <c r="S336" s="27">
        <f t="shared" si="194"/>
        <v>81000</v>
      </c>
      <c r="T336" s="4" t="str">
        <f t="shared" si="195"/>
        <v>A7</v>
      </c>
      <c r="V336">
        <v>333</v>
      </c>
      <c r="W336" s="28" t="str">
        <f t="shared" si="192"/>
        <v>31/07/2024</v>
      </c>
      <c r="X336" s="28">
        <f t="shared" si="192"/>
        <v>81000</v>
      </c>
      <c r="Y336" s="28" t="str">
        <f t="shared" si="192"/>
        <v>A7</v>
      </c>
      <c r="Z336" s="5" t="str">
        <f t="shared" si="187"/>
        <v>A7</v>
      </c>
      <c r="AA336" s="5" t="str">
        <f t="shared" si="196"/>
        <v>A7</v>
      </c>
      <c r="AG336" s="49" t="str">
        <f t="shared" si="191"/>
        <v>31/07/2024</v>
      </c>
      <c r="AH336" s="46">
        <f t="shared" si="191"/>
        <v>81000</v>
      </c>
      <c r="AI336" s="49" t="str">
        <f t="shared" si="191"/>
        <v>A7</v>
      </c>
      <c r="AJ336" s="49" t="str">
        <f t="shared" si="198"/>
        <v>A7</v>
      </c>
      <c r="AK336" s="50">
        <f t="shared" si="189"/>
        <v>79891.5</v>
      </c>
      <c r="AL336" s="49" t="str">
        <f t="shared" si="211"/>
        <v>A7</v>
      </c>
      <c r="AM336" s="50">
        <f t="shared" si="199"/>
        <v>79891.5</v>
      </c>
      <c r="AN336" s="56">
        <f t="shared" si="212"/>
        <v>120</v>
      </c>
      <c r="AO336" s="57">
        <f t="shared" si="213"/>
        <v>81060</v>
      </c>
      <c r="AP336" s="23">
        <f t="shared" si="200"/>
        <v>80940</v>
      </c>
      <c r="AQ336" s="23">
        <f t="shared" si="201"/>
        <v>81120</v>
      </c>
      <c r="AR336" s="23">
        <f t="shared" si="202"/>
        <v>80880</v>
      </c>
      <c r="AS336" s="23">
        <f t="shared" si="203"/>
        <v>81030</v>
      </c>
      <c r="AT336" s="23">
        <f t="shared" si="204"/>
        <v>80970</v>
      </c>
      <c r="AU336" s="23">
        <f t="shared" si="205"/>
        <v>81240</v>
      </c>
      <c r="AV336" s="23">
        <f t="shared" si="206"/>
        <v>80760</v>
      </c>
      <c r="AW336" s="23">
        <f t="shared" si="207"/>
        <v>81020</v>
      </c>
      <c r="AX336" s="23">
        <f t="shared" si="208"/>
        <v>80980</v>
      </c>
      <c r="AY336" s="23">
        <f t="shared" si="209"/>
        <v>81360</v>
      </c>
      <c r="AZ336" s="23">
        <f t="shared" si="210"/>
        <v>80640</v>
      </c>
      <c r="BA336" s="23">
        <f t="shared" si="190"/>
        <v>80398.25</v>
      </c>
      <c r="BB336" s="43"/>
      <c r="BC336" s="51">
        <f t="shared" si="193"/>
        <v>81000</v>
      </c>
      <c r="BD336" s="52">
        <f t="shared" si="197"/>
        <v>80398.25</v>
      </c>
      <c r="BE336" s="37">
        <f t="shared" si="214"/>
        <v>601.75</v>
      </c>
      <c r="BF336">
        <f t="shared" si="215"/>
        <v>601.75</v>
      </c>
      <c r="BG336">
        <f t="shared" si="216"/>
        <v>7.4290123456790119E-3</v>
      </c>
    </row>
    <row r="337" spans="1:59">
      <c r="A337" s="1" t="s">
        <v>338</v>
      </c>
      <c r="B337" s="1">
        <v>82240</v>
      </c>
      <c r="Q337">
        <v>334</v>
      </c>
      <c r="R337" s="27" t="str">
        <f t="shared" si="194"/>
        <v>01/08/2024</v>
      </c>
      <c r="S337" s="27">
        <f t="shared" si="194"/>
        <v>80940</v>
      </c>
      <c r="T337" s="4" t="str">
        <f t="shared" si="195"/>
        <v>A7</v>
      </c>
      <c r="V337">
        <v>334</v>
      </c>
      <c r="W337" s="28" t="str">
        <f t="shared" si="192"/>
        <v>01/08/2024</v>
      </c>
      <c r="X337" s="28">
        <f t="shared" si="192"/>
        <v>80940</v>
      </c>
      <c r="Y337" s="28" t="str">
        <f t="shared" si="192"/>
        <v>A7</v>
      </c>
      <c r="Z337" s="5" t="str">
        <f t="shared" si="187"/>
        <v>A7</v>
      </c>
      <c r="AA337" s="5" t="str">
        <f t="shared" si="196"/>
        <v>A7</v>
      </c>
      <c r="AG337" s="49" t="str">
        <f t="shared" si="191"/>
        <v>01/08/2024</v>
      </c>
      <c r="AH337" s="46">
        <f t="shared" si="191"/>
        <v>80940</v>
      </c>
      <c r="AI337" s="49" t="str">
        <f t="shared" si="191"/>
        <v>A7</v>
      </c>
      <c r="AJ337" s="49" t="str">
        <f t="shared" si="198"/>
        <v>A7</v>
      </c>
      <c r="AK337" s="50">
        <f t="shared" si="189"/>
        <v>79891.5</v>
      </c>
      <c r="AL337" s="49" t="str">
        <f t="shared" si="211"/>
        <v>A7</v>
      </c>
      <c r="AM337" s="50">
        <f t="shared" si="199"/>
        <v>79891.5</v>
      </c>
      <c r="AN337" s="56">
        <f t="shared" si="212"/>
        <v>190</v>
      </c>
      <c r="AO337" s="57">
        <f t="shared" si="213"/>
        <v>81035</v>
      </c>
      <c r="AP337" s="23">
        <f t="shared" si="200"/>
        <v>80845</v>
      </c>
      <c r="AQ337" s="23">
        <f t="shared" si="201"/>
        <v>81130</v>
      </c>
      <c r="AR337" s="23">
        <f t="shared" si="202"/>
        <v>80750</v>
      </c>
      <c r="AS337" s="23">
        <f t="shared" si="203"/>
        <v>80987.5</v>
      </c>
      <c r="AT337" s="23">
        <f t="shared" si="204"/>
        <v>80892.5</v>
      </c>
      <c r="AU337" s="23">
        <f t="shared" si="205"/>
        <v>81320</v>
      </c>
      <c r="AV337" s="23">
        <f t="shared" si="206"/>
        <v>80560</v>
      </c>
      <c r="AW337" s="23">
        <f t="shared" si="207"/>
        <v>80971.666666666672</v>
      </c>
      <c r="AX337" s="23">
        <f t="shared" si="208"/>
        <v>80908.333333333328</v>
      </c>
      <c r="AY337" s="23">
        <f t="shared" si="209"/>
        <v>81510</v>
      </c>
      <c r="AZ337" s="23">
        <f t="shared" si="210"/>
        <v>80370</v>
      </c>
      <c r="BA337" s="23">
        <f t="shared" si="190"/>
        <v>80475.75</v>
      </c>
      <c r="BB337" s="43"/>
      <c r="BC337" s="51">
        <f t="shared" si="193"/>
        <v>80940</v>
      </c>
      <c r="BD337" s="52">
        <f t="shared" si="197"/>
        <v>80475.75</v>
      </c>
      <c r="BE337" s="37">
        <f t="shared" si="214"/>
        <v>464.25</v>
      </c>
      <c r="BF337">
        <f t="shared" si="215"/>
        <v>464.25</v>
      </c>
      <c r="BG337">
        <f t="shared" si="216"/>
        <v>5.7357301704966642E-3</v>
      </c>
    </row>
    <row r="338" spans="1:59">
      <c r="A338" s="1" t="s">
        <v>339</v>
      </c>
      <c r="B338" s="1">
        <v>83340</v>
      </c>
      <c r="Q338">
        <v>335</v>
      </c>
      <c r="R338" s="27" t="str">
        <f t="shared" si="194"/>
        <v>02/08/2024</v>
      </c>
      <c r="S338" s="27">
        <f t="shared" si="194"/>
        <v>81720</v>
      </c>
      <c r="T338" s="4" t="str">
        <f t="shared" si="195"/>
        <v>A7</v>
      </c>
      <c r="V338">
        <v>335</v>
      </c>
      <c r="W338" s="28" t="str">
        <f t="shared" si="192"/>
        <v>02/08/2024</v>
      </c>
      <c r="X338" s="28">
        <f t="shared" si="192"/>
        <v>81720</v>
      </c>
      <c r="Y338" s="28" t="str">
        <f t="shared" si="192"/>
        <v>A7</v>
      </c>
      <c r="Z338" s="5" t="str">
        <f t="shared" si="187"/>
        <v>A7</v>
      </c>
      <c r="AA338" s="5" t="str">
        <f t="shared" si="196"/>
        <v>A7</v>
      </c>
      <c r="AG338" s="49" t="str">
        <f t="shared" si="191"/>
        <v>02/08/2024</v>
      </c>
      <c r="AH338" s="46">
        <f t="shared" si="191"/>
        <v>81720</v>
      </c>
      <c r="AI338" s="49" t="str">
        <f t="shared" si="191"/>
        <v>A7</v>
      </c>
      <c r="AJ338" s="49" t="str">
        <f t="shared" si="198"/>
        <v>A7</v>
      </c>
      <c r="AK338" s="50">
        <f t="shared" si="189"/>
        <v>79891.5</v>
      </c>
      <c r="AL338" s="49" t="str">
        <f t="shared" si="211"/>
        <v>A7</v>
      </c>
      <c r="AM338" s="50">
        <f t="shared" si="199"/>
        <v>79891.5</v>
      </c>
      <c r="AN338" s="56">
        <f t="shared" si="212"/>
        <v>720</v>
      </c>
      <c r="AO338" s="57">
        <f t="shared" si="213"/>
        <v>82080</v>
      </c>
      <c r="AP338" s="23">
        <f t="shared" si="200"/>
        <v>81360</v>
      </c>
      <c r="AQ338" s="23">
        <f t="shared" si="201"/>
        <v>82440</v>
      </c>
      <c r="AR338" s="23">
        <f t="shared" si="202"/>
        <v>81000</v>
      </c>
      <c r="AS338" s="23">
        <f t="shared" si="203"/>
        <v>81900</v>
      </c>
      <c r="AT338" s="23">
        <f t="shared" si="204"/>
        <v>81540</v>
      </c>
      <c r="AU338" s="23">
        <f t="shared" si="205"/>
        <v>83160</v>
      </c>
      <c r="AV338" s="23">
        <f t="shared" si="206"/>
        <v>80280</v>
      </c>
      <c r="AW338" s="23">
        <f t="shared" si="207"/>
        <v>81840</v>
      </c>
      <c r="AX338" s="23">
        <f t="shared" si="208"/>
        <v>81600</v>
      </c>
      <c r="AY338" s="23">
        <f t="shared" si="209"/>
        <v>83880</v>
      </c>
      <c r="AZ338" s="23">
        <f t="shared" si="210"/>
        <v>79560</v>
      </c>
      <c r="BA338" s="23">
        <f t="shared" si="190"/>
        <v>80463.25</v>
      </c>
      <c r="BB338" s="43"/>
      <c r="BC338" s="51">
        <f t="shared" si="193"/>
        <v>81720</v>
      </c>
      <c r="BD338" s="52">
        <f t="shared" si="197"/>
        <v>80463.25</v>
      </c>
      <c r="BE338" s="37">
        <f t="shared" si="214"/>
        <v>1256.75</v>
      </c>
      <c r="BF338">
        <f t="shared" si="215"/>
        <v>1256.75</v>
      </c>
      <c r="BG338">
        <f t="shared" si="216"/>
        <v>1.5378732256485561E-2</v>
      </c>
    </row>
    <row r="339" spans="1:59">
      <c r="A339" s="1" t="s">
        <v>340</v>
      </c>
      <c r="B339" s="1">
        <v>83610</v>
      </c>
      <c r="Q339">
        <v>336</v>
      </c>
      <c r="R339" s="27" t="str">
        <f t="shared" si="194"/>
        <v>03/08/2024</v>
      </c>
      <c r="S339" s="27">
        <f t="shared" si="194"/>
        <v>82240</v>
      </c>
      <c r="T339" s="4" t="str">
        <f t="shared" si="195"/>
        <v>A7</v>
      </c>
      <c r="V339">
        <v>336</v>
      </c>
      <c r="W339" s="28" t="str">
        <f t="shared" si="192"/>
        <v>03/08/2024</v>
      </c>
      <c r="X339" s="28">
        <f t="shared" si="192"/>
        <v>82240</v>
      </c>
      <c r="Y339" s="28" t="str">
        <f t="shared" si="192"/>
        <v>A7</v>
      </c>
      <c r="Z339" s="5" t="str">
        <f t="shared" si="187"/>
        <v>A7</v>
      </c>
      <c r="AA339" s="5" t="str">
        <f t="shared" si="196"/>
        <v>A7</v>
      </c>
      <c r="AG339" s="49" t="str">
        <f t="shared" si="191"/>
        <v>03/08/2024</v>
      </c>
      <c r="AH339" s="46">
        <f t="shared" si="191"/>
        <v>82240</v>
      </c>
      <c r="AI339" s="49" t="str">
        <f t="shared" si="191"/>
        <v>A7</v>
      </c>
      <c r="AJ339" s="49" t="str">
        <f t="shared" si="198"/>
        <v>A7</v>
      </c>
      <c r="AK339" s="50">
        <f t="shared" si="189"/>
        <v>79891.5</v>
      </c>
      <c r="AL339" s="49" t="str">
        <f t="shared" si="211"/>
        <v>A7</v>
      </c>
      <c r="AM339" s="50">
        <f t="shared" si="199"/>
        <v>79891.5</v>
      </c>
      <c r="AN339" s="56">
        <f t="shared" si="212"/>
        <v>260</v>
      </c>
      <c r="AO339" s="57">
        <f t="shared" si="213"/>
        <v>82370</v>
      </c>
      <c r="AP339" s="23">
        <f t="shared" si="200"/>
        <v>82110</v>
      </c>
      <c r="AQ339" s="23">
        <f t="shared" si="201"/>
        <v>82500</v>
      </c>
      <c r="AR339" s="23">
        <f t="shared" si="202"/>
        <v>81980</v>
      </c>
      <c r="AS339" s="23">
        <f t="shared" si="203"/>
        <v>82305</v>
      </c>
      <c r="AT339" s="23">
        <f t="shared" si="204"/>
        <v>82175</v>
      </c>
      <c r="AU339" s="23">
        <f t="shared" si="205"/>
        <v>82760</v>
      </c>
      <c r="AV339" s="23">
        <f t="shared" si="206"/>
        <v>81720</v>
      </c>
      <c r="AW339" s="23">
        <f t="shared" si="207"/>
        <v>82283.333333333328</v>
      </c>
      <c r="AX339" s="23">
        <f t="shared" si="208"/>
        <v>82196.666666666672</v>
      </c>
      <c r="AY339" s="23">
        <f t="shared" si="209"/>
        <v>83020</v>
      </c>
      <c r="AZ339" s="23">
        <f t="shared" si="210"/>
        <v>81460</v>
      </c>
      <c r="BA339" s="23">
        <f t="shared" si="190"/>
        <v>80985.75</v>
      </c>
      <c r="BB339" s="43"/>
      <c r="BC339" s="51">
        <f t="shared" si="193"/>
        <v>82240</v>
      </c>
      <c r="BD339" s="52">
        <f t="shared" si="197"/>
        <v>80985.75</v>
      </c>
      <c r="BE339" s="37">
        <f t="shared" si="214"/>
        <v>1254.25</v>
      </c>
      <c r="BF339">
        <f t="shared" si="215"/>
        <v>1254.25</v>
      </c>
      <c r="BG339">
        <f t="shared" si="216"/>
        <v>1.5251094357976653E-2</v>
      </c>
    </row>
    <row r="340" spans="1:59">
      <c r="A340" s="1" t="s">
        <v>341</v>
      </c>
      <c r="B340" s="1">
        <v>84940</v>
      </c>
      <c r="Q340">
        <v>337</v>
      </c>
      <c r="R340" s="27" t="str">
        <f t="shared" si="194"/>
        <v>04/08/2024</v>
      </c>
      <c r="S340" s="27">
        <f t="shared" si="194"/>
        <v>83340</v>
      </c>
      <c r="T340" s="4" t="str">
        <f t="shared" si="195"/>
        <v>A8</v>
      </c>
      <c r="V340">
        <v>337</v>
      </c>
      <c r="W340" s="28" t="str">
        <f t="shared" si="192"/>
        <v>04/08/2024</v>
      </c>
      <c r="X340" s="28">
        <f t="shared" si="192"/>
        <v>83340</v>
      </c>
      <c r="Y340" s="28" t="str">
        <f t="shared" si="192"/>
        <v>A8</v>
      </c>
      <c r="Z340" s="5" t="str">
        <f t="shared" si="187"/>
        <v>A7</v>
      </c>
      <c r="AA340" s="5" t="str">
        <f t="shared" si="196"/>
        <v>A8</v>
      </c>
      <c r="AG340" s="49" t="str">
        <f t="shared" si="191"/>
        <v>04/08/2024</v>
      </c>
      <c r="AH340" s="46">
        <f t="shared" si="191"/>
        <v>83340</v>
      </c>
      <c r="AI340" s="49" t="str">
        <f t="shared" si="191"/>
        <v>A8</v>
      </c>
      <c r="AJ340" s="49" t="str">
        <f t="shared" si="198"/>
        <v>A7</v>
      </c>
      <c r="AK340" s="50">
        <f t="shared" si="189"/>
        <v>79891.5</v>
      </c>
      <c r="AL340" s="49" t="str">
        <f t="shared" si="211"/>
        <v>A8</v>
      </c>
      <c r="AM340" s="50">
        <f t="shared" si="199"/>
        <v>85922.5</v>
      </c>
      <c r="AN340" s="56">
        <f t="shared" si="212"/>
        <v>580</v>
      </c>
      <c r="AO340" s="57">
        <f t="shared" si="213"/>
        <v>83630</v>
      </c>
      <c r="AP340" s="23">
        <f t="shared" si="200"/>
        <v>83050</v>
      </c>
      <c r="AQ340" s="23">
        <f t="shared" si="201"/>
        <v>83920</v>
      </c>
      <c r="AR340" s="23">
        <f t="shared" si="202"/>
        <v>82760</v>
      </c>
      <c r="AS340" s="23">
        <f t="shared" si="203"/>
        <v>83485</v>
      </c>
      <c r="AT340" s="23">
        <f t="shared" si="204"/>
        <v>83195</v>
      </c>
      <c r="AU340" s="23">
        <f t="shared" si="205"/>
        <v>84500</v>
      </c>
      <c r="AV340" s="23">
        <f t="shared" si="206"/>
        <v>82180</v>
      </c>
      <c r="AW340" s="23">
        <f t="shared" si="207"/>
        <v>83436.666666666672</v>
      </c>
      <c r="AX340" s="23">
        <f t="shared" si="208"/>
        <v>83243.333333333328</v>
      </c>
      <c r="AY340" s="23">
        <f t="shared" si="209"/>
        <v>85080</v>
      </c>
      <c r="AZ340" s="23">
        <f t="shared" si="210"/>
        <v>81600</v>
      </c>
      <c r="BA340" s="23">
        <f t="shared" si="190"/>
        <v>81130.75</v>
      </c>
      <c r="BB340" s="43"/>
      <c r="BC340" s="51">
        <f t="shared" si="193"/>
        <v>83340</v>
      </c>
      <c r="BD340" s="52">
        <f t="shared" si="197"/>
        <v>81130.75</v>
      </c>
      <c r="BE340" s="37">
        <f t="shared" si="214"/>
        <v>2209.25</v>
      </c>
      <c r="BF340">
        <f t="shared" si="215"/>
        <v>2209.25</v>
      </c>
      <c r="BG340">
        <f t="shared" si="216"/>
        <v>2.6508879289656829E-2</v>
      </c>
    </row>
    <row r="341" spans="1:59">
      <c r="A341" s="1" t="s">
        <v>342</v>
      </c>
      <c r="B341" s="1">
        <v>84570</v>
      </c>
      <c r="Q341">
        <v>338</v>
      </c>
      <c r="R341" s="27" t="str">
        <f t="shared" si="194"/>
        <v>05/08/2024</v>
      </c>
      <c r="S341" s="27">
        <f t="shared" si="194"/>
        <v>83610</v>
      </c>
      <c r="T341" s="4" t="str">
        <f t="shared" si="195"/>
        <v>A8</v>
      </c>
      <c r="V341">
        <v>338</v>
      </c>
      <c r="W341" s="28" t="str">
        <f t="shared" si="192"/>
        <v>05/08/2024</v>
      </c>
      <c r="X341" s="28">
        <f t="shared" si="192"/>
        <v>83610</v>
      </c>
      <c r="Y341" s="28" t="str">
        <f t="shared" si="192"/>
        <v>A8</v>
      </c>
      <c r="Z341" s="5" t="str">
        <f t="shared" si="187"/>
        <v>A8</v>
      </c>
      <c r="AA341" s="5" t="str">
        <f t="shared" si="196"/>
        <v>A8</v>
      </c>
      <c r="AG341" s="49" t="str">
        <f t="shared" si="191"/>
        <v>05/08/2024</v>
      </c>
      <c r="AH341" s="46">
        <f t="shared" si="191"/>
        <v>83610</v>
      </c>
      <c r="AI341" s="49" t="str">
        <f t="shared" si="191"/>
        <v>A8</v>
      </c>
      <c r="AJ341" s="49" t="str">
        <f t="shared" si="198"/>
        <v>A8</v>
      </c>
      <c r="AK341" s="50">
        <f t="shared" si="189"/>
        <v>85922.5</v>
      </c>
      <c r="AL341" s="49" t="str">
        <f t="shared" si="211"/>
        <v>A8</v>
      </c>
      <c r="AM341" s="50">
        <f t="shared" si="199"/>
        <v>85922.5</v>
      </c>
      <c r="AN341" s="56">
        <f t="shared" si="212"/>
        <v>830</v>
      </c>
      <c r="AO341" s="57">
        <f t="shared" si="213"/>
        <v>84025</v>
      </c>
      <c r="AP341" s="23">
        <f t="shared" si="200"/>
        <v>83195</v>
      </c>
      <c r="AQ341" s="23">
        <f t="shared" si="201"/>
        <v>84440</v>
      </c>
      <c r="AR341" s="23">
        <f t="shared" si="202"/>
        <v>82780</v>
      </c>
      <c r="AS341" s="23">
        <f t="shared" si="203"/>
        <v>83817.5</v>
      </c>
      <c r="AT341" s="23">
        <f t="shared" si="204"/>
        <v>83402.5</v>
      </c>
      <c r="AU341" s="23">
        <f t="shared" si="205"/>
        <v>85270</v>
      </c>
      <c r="AV341" s="23">
        <f t="shared" si="206"/>
        <v>81950</v>
      </c>
      <c r="AW341" s="23">
        <f t="shared" si="207"/>
        <v>83748.333333333328</v>
      </c>
      <c r="AX341" s="23">
        <f t="shared" si="208"/>
        <v>83471.666666666672</v>
      </c>
      <c r="AY341" s="23">
        <f t="shared" si="209"/>
        <v>86100</v>
      </c>
      <c r="AZ341" s="23">
        <f t="shared" si="210"/>
        <v>81120</v>
      </c>
      <c r="BA341" s="23">
        <f t="shared" si="190"/>
        <v>84776.25</v>
      </c>
      <c r="BB341" s="43"/>
      <c r="BC341" s="51">
        <f t="shared" si="193"/>
        <v>83610</v>
      </c>
      <c r="BD341" s="52">
        <f t="shared" si="197"/>
        <v>84776.25</v>
      </c>
      <c r="BE341" s="37">
        <f t="shared" si="214"/>
        <v>-1166.25</v>
      </c>
      <c r="BF341">
        <f t="shared" si="215"/>
        <v>1166.25</v>
      </c>
      <c r="BG341">
        <f t="shared" si="216"/>
        <v>1.3948690348044492E-2</v>
      </c>
    </row>
    <row r="342" spans="1:59">
      <c r="A342" s="1" t="s">
        <v>343</v>
      </c>
      <c r="B342" s="1">
        <v>84320</v>
      </c>
      <c r="Q342">
        <v>339</v>
      </c>
      <c r="R342" s="27" t="str">
        <f t="shared" si="194"/>
        <v>06/08/2024</v>
      </c>
      <c r="S342" s="27">
        <f t="shared" si="194"/>
        <v>84940</v>
      </c>
      <c r="T342" s="4" t="str">
        <f t="shared" si="195"/>
        <v>A8</v>
      </c>
      <c r="V342">
        <v>339</v>
      </c>
      <c r="W342" s="28" t="str">
        <f t="shared" si="192"/>
        <v>06/08/2024</v>
      </c>
      <c r="X342" s="28">
        <f t="shared" si="192"/>
        <v>84940</v>
      </c>
      <c r="Y342" s="28" t="str">
        <f t="shared" si="192"/>
        <v>A8</v>
      </c>
      <c r="Z342" s="5" t="str">
        <f t="shared" si="187"/>
        <v>A8</v>
      </c>
      <c r="AA342" s="5" t="str">
        <f t="shared" si="196"/>
        <v>A8</v>
      </c>
      <c r="AG342" s="49" t="str">
        <f t="shared" si="191"/>
        <v>06/08/2024</v>
      </c>
      <c r="AH342" s="46">
        <f t="shared" si="191"/>
        <v>84940</v>
      </c>
      <c r="AI342" s="49" t="str">
        <f t="shared" si="191"/>
        <v>A8</v>
      </c>
      <c r="AJ342" s="49" t="str">
        <f t="shared" si="198"/>
        <v>A8</v>
      </c>
      <c r="AK342" s="50">
        <f t="shared" si="189"/>
        <v>85922.5</v>
      </c>
      <c r="AL342" s="49" t="str">
        <f t="shared" si="211"/>
        <v>A8</v>
      </c>
      <c r="AM342" s="50">
        <f t="shared" si="199"/>
        <v>85922.5</v>
      </c>
      <c r="AN342" s="56">
        <f t="shared" si="212"/>
        <v>1060</v>
      </c>
      <c r="AO342" s="57">
        <f t="shared" si="213"/>
        <v>85470</v>
      </c>
      <c r="AP342" s="23">
        <f t="shared" si="200"/>
        <v>84410</v>
      </c>
      <c r="AQ342" s="23">
        <f t="shared" si="201"/>
        <v>86000</v>
      </c>
      <c r="AR342" s="23">
        <f t="shared" si="202"/>
        <v>83880</v>
      </c>
      <c r="AS342" s="23">
        <f t="shared" si="203"/>
        <v>85205</v>
      </c>
      <c r="AT342" s="23">
        <f t="shared" si="204"/>
        <v>84675</v>
      </c>
      <c r="AU342" s="23">
        <f t="shared" si="205"/>
        <v>87060</v>
      </c>
      <c r="AV342" s="23">
        <f t="shared" si="206"/>
        <v>82820</v>
      </c>
      <c r="AW342" s="23">
        <f t="shared" si="207"/>
        <v>85116.666666666672</v>
      </c>
      <c r="AX342" s="23">
        <f t="shared" si="208"/>
        <v>84763.333333333328</v>
      </c>
      <c r="AY342" s="23">
        <f t="shared" si="209"/>
        <v>88120</v>
      </c>
      <c r="AZ342" s="23">
        <f t="shared" si="210"/>
        <v>81760</v>
      </c>
      <c r="BA342" s="23">
        <f t="shared" si="190"/>
        <v>84973.75</v>
      </c>
      <c r="BB342" s="43"/>
      <c r="BC342" s="51">
        <f t="shared" si="193"/>
        <v>84940</v>
      </c>
      <c r="BD342" s="52">
        <f t="shared" si="197"/>
        <v>84973.75</v>
      </c>
      <c r="BE342" s="37">
        <f t="shared" si="214"/>
        <v>-33.75</v>
      </c>
      <c r="BF342">
        <f t="shared" si="215"/>
        <v>33.75</v>
      </c>
      <c r="BG342">
        <f t="shared" si="216"/>
        <v>3.9733929832823172E-4</v>
      </c>
    </row>
    <row r="343" spans="1:59">
      <c r="A343" s="1" t="s">
        <v>344</v>
      </c>
      <c r="B343" s="1">
        <v>88010</v>
      </c>
      <c r="Q343">
        <v>340</v>
      </c>
      <c r="R343" s="27" t="str">
        <f t="shared" si="194"/>
        <v>07/08/2024</v>
      </c>
      <c r="S343" s="27">
        <f t="shared" si="194"/>
        <v>84570</v>
      </c>
      <c r="T343" s="4" t="str">
        <f t="shared" si="195"/>
        <v>A8</v>
      </c>
      <c r="V343">
        <v>340</v>
      </c>
      <c r="W343" s="28" t="str">
        <f t="shared" si="192"/>
        <v>07/08/2024</v>
      </c>
      <c r="X343" s="28">
        <f t="shared" si="192"/>
        <v>84570</v>
      </c>
      <c r="Y343" s="28" t="str">
        <f t="shared" si="192"/>
        <v>A8</v>
      </c>
      <c r="Z343" s="5" t="str">
        <f t="shared" si="187"/>
        <v>A8</v>
      </c>
      <c r="AA343" s="5" t="str">
        <f t="shared" si="196"/>
        <v>A8</v>
      </c>
      <c r="AG343" s="49" t="str">
        <f t="shared" si="191"/>
        <v>07/08/2024</v>
      </c>
      <c r="AH343" s="46">
        <f t="shared" si="191"/>
        <v>84570</v>
      </c>
      <c r="AI343" s="49" t="str">
        <f t="shared" si="191"/>
        <v>A8</v>
      </c>
      <c r="AJ343" s="49" t="str">
        <f t="shared" si="198"/>
        <v>A8</v>
      </c>
      <c r="AK343" s="50">
        <f t="shared" si="189"/>
        <v>85922.5</v>
      </c>
      <c r="AL343" s="49" t="str">
        <f t="shared" si="211"/>
        <v>A8</v>
      </c>
      <c r="AM343" s="50">
        <f t="shared" si="199"/>
        <v>85922.5</v>
      </c>
      <c r="AN343" s="56">
        <f t="shared" si="212"/>
        <v>960</v>
      </c>
      <c r="AO343" s="23">
        <f t="shared" si="213"/>
        <v>85050</v>
      </c>
      <c r="AP343" s="57">
        <f t="shared" si="200"/>
        <v>84090</v>
      </c>
      <c r="AQ343" s="23">
        <f t="shared" si="201"/>
        <v>85530</v>
      </c>
      <c r="AR343" s="23">
        <f t="shared" si="202"/>
        <v>83610</v>
      </c>
      <c r="AS343" s="23">
        <f t="shared" si="203"/>
        <v>84810</v>
      </c>
      <c r="AT343" s="23">
        <f t="shared" si="204"/>
        <v>84330</v>
      </c>
      <c r="AU343" s="23">
        <f t="shared" si="205"/>
        <v>86490</v>
      </c>
      <c r="AV343" s="23">
        <f t="shared" si="206"/>
        <v>82650</v>
      </c>
      <c r="AW343" s="23">
        <f t="shared" si="207"/>
        <v>84730</v>
      </c>
      <c r="AX343" s="23">
        <f t="shared" si="208"/>
        <v>84410</v>
      </c>
      <c r="AY343" s="23">
        <f t="shared" si="209"/>
        <v>87450</v>
      </c>
      <c r="AZ343" s="23">
        <f t="shared" si="210"/>
        <v>81690</v>
      </c>
      <c r="BA343" s="23">
        <f t="shared" si="190"/>
        <v>85696.25</v>
      </c>
      <c r="BB343" s="43"/>
      <c r="BC343" s="51">
        <f t="shared" si="193"/>
        <v>84570</v>
      </c>
      <c r="BD343" s="52">
        <f t="shared" si="197"/>
        <v>85696.25</v>
      </c>
      <c r="BE343" s="37">
        <f t="shared" si="214"/>
        <v>-1126.25</v>
      </c>
      <c r="BF343">
        <f t="shared" si="215"/>
        <v>1126.25</v>
      </c>
      <c r="BG343">
        <f t="shared" si="216"/>
        <v>1.331737022584841E-2</v>
      </c>
    </row>
    <row r="344" spans="1:59">
      <c r="A344" s="1" t="s">
        <v>345</v>
      </c>
      <c r="B344" s="1">
        <v>87760</v>
      </c>
      <c r="Q344">
        <v>341</v>
      </c>
      <c r="R344" s="27" t="str">
        <f t="shared" si="194"/>
        <v>08/08/2024</v>
      </c>
      <c r="S344" s="27">
        <f t="shared" si="194"/>
        <v>84320</v>
      </c>
      <c r="T344" s="4" t="str">
        <f t="shared" si="195"/>
        <v>A8</v>
      </c>
      <c r="V344">
        <v>341</v>
      </c>
      <c r="W344" s="28" t="str">
        <f t="shared" si="192"/>
        <v>08/08/2024</v>
      </c>
      <c r="X344" s="28">
        <f t="shared" si="192"/>
        <v>84320</v>
      </c>
      <c r="Y344" s="28" t="str">
        <f t="shared" si="192"/>
        <v>A8</v>
      </c>
      <c r="Z344" s="5" t="str">
        <f t="shared" si="187"/>
        <v>A8</v>
      </c>
      <c r="AA344" s="5" t="str">
        <f t="shared" si="196"/>
        <v>A8</v>
      </c>
      <c r="AG344" s="49" t="str">
        <f t="shared" si="191"/>
        <v>08/08/2024</v>
      </c>
      <c r="AH344" s="46">
        <f t="shared" si="191"/>
        <v>84320</v>
      </c>
      <c r="AI344" s="49" t="str">
        <f t="shared" si="191"/>
        <v>A8</v>
      </c>
      <c r="AJ344" s="49" t="str">
        <f t="shared" si="198"/>
        <v>A8</v>
      </c>
      <c r="AK344" s="50">
        <f t="shared" si="189"/>
        <v>85922.5</v>
      </c>
      <c r="AL344" s="49" t="str">
        <f t="shared" si="211"/>
        <v>A8</v>
      </c>
      <c r="AM344" s="50">
        <f t="shared" si="199"/>
        <v>85922.5</v>
      </c>
      <c r="AN344" s="56">
        <f t="shared" si="212"/>
        <v>120</v>
      </c>
      <c r="AO344" s="57">
        <f t="shared" si="213"/>
        <v>84380</v>
      </c>
      <c r="AP344" s="23">
        <f t="shared" si="200"/>
        <v>84260</v>
      </c>
      <c r="AQ344" s="23">
        <f t="shared" si="201"/>
        <v>84440</v>
      </c>
      <c r="AR344" s="23">
        <f t="shared" si="202"/>
        <v>84200</v>
      </c>
      <c r="AS344" s="23">
        <f t="shared" si="203"/>
        <v>84350</v>
      </c>
      <c r="AT344" s="23">
        <f t="shared" si="204"/>
        <v>84290</v>
      </c>
      <c r="AU344" s="23">
        <f t="shared" si="205"/>
        <v>84560</v>
      </c>
      <c r="AV344" s="23">
        <f t="shared" si="206"/>
        <v>84080</v>
      </c>
      <c r="AW344" s="23">
        <f t="shared" si="207"/>
        <v>84340</v>
      </c>
      <c r="AX344" s="23">
        <f t="shared" si="208"/>
        <v>84300</v>
      </c>
      <c r="AY344" s="23">
        <f t="shared" si="209"/>
        <v>84680</v>
      </c>
      <c r="AZ344" s="23">
        <f t="shared" si="210"/>
        <v>83960</v>
      </c>
      <c r="BA344" s="23">
        <f>(AP343+AM343)/(1+1)</f>
        <v>85006.25</v>
      </c>
      <c r="BB344" s="43"/>
      <c r="BC344" s="51">
        <f t="shared" si="193"/>
        <v>84320</v>
      </c>
      <c r="BD344" s="52">
        <f t="shared" si="197"/>
        <v>85006.25</v>
      </c>
      <c r="BE344" s="37">
        <f t="shared" si="214"/>
        <v>-686.25</v>
      </c>
      <c r="BF344">
        <f t="shared" si="215"/>
        <v>686.25</v>
      </c>
      <c r="BG344">
        <f t="shared" si="216"/>
        <v>8.1386385199240987E-3</v>
      </c>
    </row>
    <row r="345" spans="1:59">
      <c r="A345" s="1" t="s">
        <v>346</v>
      </c>
      <c r="B345" s="1">
        <v>86610</v>
      </c>
      <c r="Q345">
        <v>342</v>
      </c>
      <c r="R345" s="27" t="str">
        <f t="shared" si="194"/>
        <v>09/08/2024</v>
      </c>
      <c r="S345" s="27">
        <f t="shared" si="194"/>
        <v>88010</v>
      </c>
      <c r="T345" s="4" t="str">
        <f t="shared" si="195"/>
        <v>A8</v>
      </c>
      <c r="V345">
        <v>342</v>
      </c>
      <c r="W345" s="28" t="str">
        <f t="shared" si="192"/>
        <v>09/08/2024</v>
      </c>
      <c r="X345" s="28">
        <f t="shared" si="192"/>
        <v>88010</v>
      </c>
      <c r="Y345" s="28" t="str">
        <f t="shared" si="192"/>
        <v>A8</v>
      </c>
      <c r="Z345" s="5" t="str">
        <f t="shared" ref="Z345:Z386" si="217">Y344</f>
        <v>A8</v>
      </c>
      <c r="AA345" s="5" t="str">
        <f t="shared" si="196"/>
        <v>A8</v>
      </c>
      <c r="AG345" s="49" t="str">
        <f t="shared" si="191"/>
        <v>09/08/2024</v>
      </c>
      <c r="AH345" s="46">
        <f t="shared" si="191"/>
        <v>88010</v>
      </c>
      <c r="AI345" s="49" t="str">
        <f t="shared" si="191"/>
        <v>A8</v>
      </c>
      <c r="AJ345" s="49" t="str">
        <f t="shared" si="198"/>
        <v>A8</v>
      </c>
      <c r="AK345" s="50">
        <f t="shared" si="189"/>
        <v>85922.5</v>
      </c>
      <c r="AL345" s="49" t="str">
        <f t="shared" si="211"/>
        <v>A8</v>
      </c>
      <c r="AM345" s="50">
        <f t="shared" si="199"/>
        <v>85922.5</v>
      </c>
      <c r="AN345" s="56">
        <f t="shared" si="212"/>
        <v>3440</v>
      </c>
      <c r="AO345" s="57">
        <f t="shared" si="213"/>
        <v>89730</v>
      </c>
      <c r="AP345" s="23">
        <f t="shared" si="200"/>
        <v>86290</v>
      </c>
      <c r="AQ345" s="23">
        <f t="shared" si="201"/>
        <v>91450</v>
      </c>
      <c r="AR345" s="23">
        <f t="shared" si="202"/>
        <v>84570</v>
      </c>
      <c r="AS345" s="23">
        <f t="shared" si="203"/>
        <v>88870</v>
      </c>
      <c r="AT345" s="23">
        <f t="shared" si="204"/>
        <v>87150</v>
      </c>
      <c r="AU345" s="23">
        <f t="shared" si="205"/>
        <v>94890</v>
      </c>
      <c r="AV345" s="23">
        <f t="shared" si="206"/>
        <v>81130</v>
      </c>
      <c r="AW345" s="23">
        <f t="shared" si="207"/>
        <v>88583.333333333328</v>
      </c>
      <c r="AX345" s="23">
        <f t="shared" si="208"/>
        <v>87436.666666666672</v>
      </c>
      <c r="AY345" s="23">
        <f t="shared" si="209"/>
        <v>98330</v>
      </c>
      <c r="AZ345" s="23">
        <f t="shared" si="210"/>
        <v>77690</v>
      </c>
      <c r="BA345" s="23">
        <f t="shared" ref="BA345:BA386" si="218">(AO344+AM344)/(1+1)</f>
        <v>85151.25</v>
      </c>
      <c r="BB345" s="43"/>
      <c r="BC345" s="51">
        <f t="shared" si="193"/>
        <v>88010</v>
      </c>
      <c r="BD345" s="52">
        <f t="shared" si="197"/>
        <v>85151.25</v>
      </c>
      <c r="BE345" s="37">
        <f t="shared" si="214"/>
        <v>2858.75</v>
      </c>
      <c r="BF345">
        <f t="shared" si="215"/>
        <v>2858.75</v>
      </c>
      <c r="BG345">
        <f t="shared" si="216"/>
        <v>3.2482104306328828E-2</v>
      </c>
    </row>
    <row r="346" spans="1:59">
      <c r="A346" s="1" t="s">
        <v>347</v>
      </c>
      <c r="B346" s="1">
        <v>88410</v>
      </c>
      <c r="Q346">
        <v>343</v>
      </c>
      <c r="R346" s="27" t="str">
        <f t="shared" si="194"/>
        <v>10/08/2024</v>
      </c>
      <c r="S346" s="27">
        <f t="shared" si="194"/>
        <v>87760</v>
      </c>
      <c r="T346" s="4" t="str">
        <f t="shared" si="195"/>
        <v>A8</v>
      </c>
      <c r="V346">
        <v>343</v>
      </c>
      <c r="W346" s="28" t="str">
        <f t="shared" si="192"/>
        <v>10/08/2024</v>
      </c>
      <c r="X346" s="28">
        <f t="shared" si="192"/>
        <v>87760</v>
      </c>
      <c r="Y346" s="28" t="str">
        <f t="shared" si="192"/>
        <v>A8</v>
      </c>
      <c r="Z346" s="5" t="str">
        <f t="shared" si="217"/>
        <v>A8</v>
      </c>
      <c r="AA346" s="5" t="str">
        <f t="shared" si="196"/>
        <v>A8</v>
      </c>
      <c r="AG346" s="49" t="str">
        <f t="shared" si="191"/>
        <v>10/08/2024</v>
      </c>
      <c r="AH346" s="46">
        <f t="shared" si="191"/>
        <v>87760</v>
      </c>
      <c r="AI346" s="49" t="str">
        <f t="shared" si="191"/>
        <v>A8</v>
      </c>
      <c r="AJ346" s="49" t="str">
        <f t="shared" si="198"/>
        <v>A8</v>
      </c>
      <c r="AK346" s="50">
        <f t="shared" si="189"/>
        <v>85922.5</v>
      </c>
      <c r="AL346" s="49" t="str">
        <f t="shared" si="211"/>
        <v>A8</v>
      </c>
      <c r="AM346" s="50">
        <f t="shared" si="199"/>
        <v>85922.5</v>
      </c>
      <c r="AN346" s="56">
        <f t="shared" si="212"/>
        <v>3440</v>
      </c>
      <c r="AO346" s="57">
        <f t="shared" si="213"/>
        <v>89480</v>
      </c>
      <c r="AP346" s="23">
        <f t="shared" si="200"/>
        <v>86040</v>
      </c>
      <c r="AQ346" s="23">
        <f t="shared" si="201"/>
        <v>91200</v>
      </c>
      <c r="AR346" s="23">
        <f t="shared" si="202"/>
        <v>84320</v>
      </c>
      <c r="AS346" s="23">
        <f t="shared" si="203"/>
        <v>88620</v>
      </c>
      <c r="AT346" s="23">
        <f t="shared" si="204"/>
        <v>86900</v>
      </c>
      <c r="AU346" s="23">
        <f t="shared" si="205"/>
        <v>94640</v>
      </c>
      <c r="AV346" s="23">
        <f t="shared" si="206"/>
        <v>80880</v>
      </c>
      <c r="AW346" s="23">
        <f t="shared" si="207"/>
        <v>88333.333333333328</v>
      </c>
      <c r="AX346" s="23">
        <f t="shared" si="208"/>
        <v>87186.666666666672</v>
      </c>
      <c r="AY346" s="23">
        <f t="shared" si="209"/>
        <v>98080</v>
      </c>
      <c r="AZ346" s="23">
        <f t="shared" si="210"/>
        <v>77440</v>
      </c>
      <c r="BA346" s="23">
        <f t="shared" si="218"/>
        <v>87826.25</v>
      </c>
      <c r="BB346" s="43"/>
      <c r="BC346" s="51">
        <f t="shared" si="193"/>
        <v>87760</v>
      </c>
      <c r="BD346" s="52">
        <f t="shared" si="197"/>
        <v>87826.25</v>
      </c>
      <c r="BE346" s="37">
        <f t="shared" si="214"/>
        <v>-66.25</v>
      </c>
      <c r="BF346">
        <f t="shared" si="215"/>
        <v>66.25</v>
      </c>
      <c r="BG346">
        <f t="shared" si="216"/>
        <v>7.5489972652689156E-4</v>
      </c>
    </row>
    <row r="347" spans="1:59">
      <c r="A347" s="1" t="s">
        <v>348</v>
      </c>
      <c r="B347" s="1">
        <v>89030</v>
      </c>
      <c r="Q347">
        <v>344</v>
      </c>
      <c r="R347" s="27" t="str">
        <f t="shared" si="194"/>
        <v>11/08/2024</v>
      </c>
      <c r="S347" s="27">
        <f t="shared" si="194"/>
        <v>86610</v>
      </c>
      <c r="T347" s="4" t="str">
        <f t="shared" si="195"/>
        <v>A8</v>
      </c>
      <c r="V347">
        <v>344</v>
      </c>
      <c r="W347" s="28" t="str">
        <f t="shared" si="192"/>
        <v>11/08/2024</v>
      </c>
      <c r="X347" s="28">
        <f t="shared" si="192"/>
        <v>86610</v>
      </c>
      <c r="Y347" s="28" t="str">
        <f t="shared" si="192"/>
        <v>A8</v>
      </c>
      <c r="Z347" s="5" t="str">
        <f t="shared" si="217"/>
        <v>A8</v>
      </c>
      <c r="AA347" s="5" t="str">
        <f t="shared" si="196"/>
        <v>A8</v>
      </c>
      <c r="AG347" s="49" t="str">
        <f t="shared" si="191"/>
        <v>11/08/2024</v>
      </c>
      <c r="AH347" s="46">
        <f t="shared" si="191"/>
        <v>86610</v>
      </c>
      <c r="AI347" s="49" t="str">
        <f t="shared" si="191"/>
        <v>A8</v>
      </c>
      <c r="AJ347" s="49" t="str">
        <f t="shared" si="198"/>
        <v>A8</v>
      </c>
      <c r="AK347" s="50">
        <f t="shared" si="189"/>
        <v>85922.5</v>
      </c>
      <c r="AL347" s="49" t="str">
        <f t="shared" si="211"/>
        <v>A8</v>
      </c>
      <c r="AM347" s="50">
        <f t="shared" si="199"/>
        <v>85922.5</v>
      </c>
      <c r="AN347" s="56">
        <f t="shared" si="212"/>
        <v>900</v>
      </c>
      <c r="AO347" s="57">
        <f t="shared" si="213"/>
        <v>87060</v>
      </c>
      <c r="AP347" s="23">
        <f t="shared" si="200"/>
        <v>86160</v>
      </c>
      <c r="AQ347" s="23">
        <f t="shared" si="201"/>
        <v>87510</v>
      </c>
      <c r="AR347" s="23">
        <f t="shared" si="202"/>
        <v>85710</v>
      </c>
      <c r="AS347" s="23">
        <f t="shared" si="203"/>
        <v>86835</v>
      </c>
      <c r="AT347" s="23">
        <f t="shared" si="204"/>
        <v>86385</v>
      </c>
      <c r="AU347" s="23">
        <f t="shared" si="205"/>
        <v>88410</v>
      </c>
      <c r="AV347" s="23">
        <f t="shared" si="206"/>
        <v>84810</v>
      </c>
      <c r="AW347" s="23">
        <f t="shared" si="207"/>
        <v>86760</v>
      </c>
      <c r="AX347" s="23">
        <f t="shared" si="208"/>
        <v>86460</v>
      </c>
      <c r="AY347" s="23">
        <f t="shared" si="209"/>
        <v>89310</v>
      </c>
      <c r="AZ347" s="23">
        <f t="shared" si="210"/>
        <v>83910</v>
      </c>
      <c r="BA347" s="23">
        <f t="shared" si="218"/>
        <v>87701.25</v>
      </c>
      <c r="BB347" s="43"/>
      <c r="BC347" s="51">
        <f t="shared" si="193"/>
        <v>86610</v>
      </c>
      <c r="BD347" s="52">
        <f t="shared" si="197"/>
        <v>87701.25</v>
      </c>
      <c r="BE347" s="37">
        <f t="shared" si="214"/>
        <v>-1091.25</v>
      </c>
      <c r="BF347">
        <f t="shared" si="215"/>
        <v>1091.25</v>
      </c>
      <c r="BG347">
        <f t="shared" si="216"/>
        <v>1.2599584343609282E-2</v>
      </c>
    </row>
    <row r="348" spans="1:59">
      <c r="A348" s="1" t="s">
        <v>349</v>
      </c>
      <c r="B348" s="1">
        <v>88660</v>
      </c>
      <c r="Q348">
        <v>345</v>
      </c>
      <c r="R348" s="27" t="str">
        <f t="shared" si="194"/>
        <v>12/08/2024</v>
      </c>
      <c r="S348" s="27">
        <f t="shared" si="194"/>
        <v>88410</v>
      </c>
      <c r="T348" s="4" t="str">
        <f t="shared" si="195"/>
        <v>A8</v>
      </c>
      <c r="V348">
        <v>345</v>
      </c>
      <c r="W348" s="28" t="str">
        <f t="shared" si="192"/>
        <v>12/08/2024</v>
      </c>
      <c r="X348" s="28">
        <f t="shared" si="192"/>
        <v>88410</v>
      </c>
      <c r="Y348" s="28" t="str">
        <f t="shared" si="192"/>
        <v>A8</v>
      </c>
      <c r="Z348" s="5" t="str">
        <f t="shared" si="217"/>
        <v>A8</v>
      </c>
      <c r="AA348" s="5" t="str">
        <f t="shared" si="196"/>
        <v>A8</v>
      </c>
      <c r="AG348" s="49" t="str">
        <f t="shared" si="191"/>
        <v>12/08/2024</v>
      </c>
      <c r="AH348" s="46">
        <f t="shared" si="191"/>
        <v>88410</v>
      </c>
      <c r="AI348" s="49" t="str">
        <f t="shared" si="191"/>
        <v>A8</v>
      </c>
      <c r="AJ348" s="49" t="str">
        <f t="shared" si="198"/>
        <v>A8</v>
      </c>
      <c r="AK348" s="50">
        <f t="shared" si="189"/>
        <v>85922.5</v>
      </c>
      <c r="AL348" s="49" t="str">
        <f t="shared" si="211"/>
        <v>A8</v>
      </c>
      <c r="AM348" s="50">
        <f t="shared" si="199"/>
        <v>85922.5</v>
      </c>
      <c r="AN348" s="56">
        <f t="shared" si="212"/>
        <v>650</v>
      </c>
      <c r="AO348" s="57">
        <f t="shared" si="213"/>
        <v>88735</v>
      </c>
      <c r="AP348" s="23">
        <f t="shared" si="200"/>
        <v>88085</v>
      </c>
      <c r="AQ348" s="23">
        <f t="shared" si="201"/>
        <v>89060</v>
      </c>
      <c r="AR348" s="23">
        <f t="shared" si="202"/>
        <v>87760</v>
      </c>
      <c r="AS348" s="23">
        <f t="shared" si="203"/>
        <v>88572.5</v>
      </c>
      <c r="AT348" s="23">
        <f t="shared" si="204"/>
        <v>88247.5</v>
      </c>
      <c r="AU348" s="23">
        <f t="shared" si="205"/>
        <v>89710</v>
      </c>
      <c r="AV348" s="23">
        <f t="shared" si="206"/>
        <v>87110</v>
      </c>
      <c r="AW348" s="23">
        <f t="shared" si="207"/>
        <v>88518.333333333328</v>
      </c>
      <c r="AX348" s="23">
        <f t="shared" si="208"/>
        <v>88301.666666666672</v>
      </c>
      <c r="AY348" s="23">
        <f t="shared" si="209"/>
        <v>90360</v>
      </c>
      <c r="AZ348" s="23">
        <f t="shared" si="210"/>
        <v>86460</v>
      </c>
      <c r="BA348" s="23">
        <f t="shared" si="218"/>
        <v>86491.25</v>
      </c>
      <c r="BB348" s="43"/>
      <c r="BC348" s="51">
        <f t="shared" si="193"/>
        <v>88410</v>
      </c>
      <c r="BD348" s="52">
        <f t="shared" si="197"/>
        <v>86491.25</v>
      </c>
      <c r="BE348" s="37">
        <f t="shared" si="214"/>
        <v>1918.75</v>
      </c>
      <c r="BF348">
        <f t="shared" si="215"/>
        <v>1918.75</v>
      </c>
      <c r="BG348">
        <f t="shared" si="216"/>
        <v>2.1702861667232214E-2</v>
      </c>
    </row>
    <row r="349" spans="1:59">
      <c r="A349" s="1" t="s">
        <v>350</v>
      </c>
      <c r="B349" s="1">
        <v>88380</v>
      </c>
      <c r="Q349">
        <v>346</v>
      </c>
      <c r="R349" s="27" t="str">
        <f t="shared" si="194"/>
        <v>13/08/2024</v>
      </c>
      <c r="S349" s="27">
        <f t="shared" si="194"/>
        <v>89030</v>
      </c>
      <c r="T349" s="4" t="str">
        <f t="shared" si="195"/>
        <v>A9</v>
      </c>
      <c r="V349">
        <v>346</v>
      </c>
      <c r="W349" s="28" t="str">
        <f t="shared" si="192"/>
        <v>13/08/2024</v>
      </c>
      <c r="X349" s="28">
        <f t="shared" si="192"/>
        <v>89030</v>
      </c>
      <c r="Y349" s="28" t="str">
        <f t="shared" si="192"/>
        <v>A9</v>
      </c>
      <c r="Z349" s="5" t="str">
        <f t="shared" si="217"/>
        <v>A8</v>
      </c>
      <c r="AA349" s="5" t="str">
        <f t="shared" si="196"/>
        <v>A9</v>
      </c>
      <c r="AG349" s="49" t="str">
        <f t="shared" si="191"/>
        <v>13/08/2024</v>
      </c>
      <c r="AH349" s="46">
        <f t="shared" si="191"/>
        <v>89030</v>
      </c>
      <c r="AI349" s="49" t="str">
        <f t="shared" si="191"/>
        <v>A9</v>
      </c>
      <c r="AJ349" s="49" t="str">
        <f t="shared" si="198"/>
        <v>A8</v>
      </c>
      <c r="AK349" s="50">
        <f t="shared" si="189"/>
        <v>85922.5</v>
      </c>
      <c r="AL349" s="49" t="str">
        <f t="shared" si="211"/>
        <v>A9</v>
      </c>
      <c r="AM349" s="50">
        <f t="shared" si="199"/>
        <v>91953.5</v>
      </c>
      <c r="AN349" s="56">
        <f t="shared" si="212"/>
        <v>1180</v>
      </c>
      <c r="AO349" s="57">
        <f t="shared" si="213"/>
        <v>89620</v>
      </c>
      <c r="AP349" s="23">
        <f t="shared" si="200"/>
        <v>88440</v>
      </c>
      <c r="AQ349" s="23">
        <f t="shared" si="201"/>
        <v>90210</v>
      </c>
      <c r="AR349" s="23">
        <f t="shared" si="202"/>
        <v>87850</v>
      </c>
      <c r="AS349" s="23">
        <f t="shared" si="203"/>
        <v>89325</v>
      </c>
      <c r="AT349" s="23">
        <f t="shared" si="204"/>
        <v>88735</v>
      </c>
      <c r="AU349" s="23">
        <f t="shared" si="205"/>
        <v>91390</v>
      </c>
      <c r="AV349" s="23">
        <f t="shared" si="206"/>
        <v>86670</v>
      </c>
      <c r="AW349" s="23">
        <f t="shared" si="207"/>
        <v>89226.666666666672</v>
      </c>
      <c r="AX349" s="23">
        <f t="shared" si="208"/>
        <v>88833.333333333328</v>
      </c>
      <c r="AY349" s="23">
        <f t="shared" si="209"/>
        <v>92570</v>
      </c>
      <c r="AZ349" s="23">
        <f t="shared" si="210"/>
        <v>85490</v>
      </c>
      <c r="BA349" s="23">
        <f t="shared" si="218"/>
        <v>87328.75</v>
      </c>
      <c r="BB349" s="43"/>
      <c r="BC349" s="51">
        <f t="shared" si="193"/>
        <v>89030</v>
      </c>
      <c r="BD349" s="52">
        <f t="shared" si="197"/>
        <v>87328.75</v>
      </c>
      <c r="BE349" s="37">
        <f t="shared" si="214"/>
        <v>1701.25</v>
      </c>
      <c r="BF349">
        <f t="shared" si="215"/>
        <v>1701.25</v>
      </c>
      <c r="BG349">
        <f t="shared" si="216"/>
        <v>1.9108727395260025E-2</v>
      </c>
    </row>
    <row r="350" spans="1:59">
      <c r="A350" s="1" t="s">
        <v>351</v>
      </c>
      <c r="B350" s="1">
        <v>87100</v>
      </c>
      <c r="Q350">
        <v>347</v>
      </c>
      <c r="R350" s="27" t="str">
        <f t="shared" si="194"/>
        <v>14/08/2024</v>
      </c>
      <c r="S350" s="27">
        <f t="shared" si="194"/>
        <v>88660</v>
      </c>
      <c r="T350" s="4" t="str">
        <f t="shared" si="195"/>
        <v>A8</v>
      </c>
      <c r="V350">
        <v>347</v>
      </c>
      <c r="W350" s="28" t="str">
        <f t="shared" si="192"/>
        <v>14/08/2024</v>
      </c>
      <c r="X350" s="28">
        <f t="shared" si="192"/>
        <v>88660</v>
      </c>
      <c r="Y350" s="28" t="str">
        <f t="shared" si="192"/>
        <v>A8</v>
      </c>
      <c r="Z350" s="5" t="str">
        <f t="shared" si="217"/>
        <v>A9</v>
      </c>
      <c r="AA350" s="5" t="str">
        <f t="shared" si="196"/>
        <v>A8</v>
      </c>
      <c r="AG350" s="49" t="str">
        <f t="shared" si="191"/>
        <v>14/08/2024</v>
      </c>
      <c r="AH350" s="46">
        <f t="shared" si="191"/>
        <v>88660</v>
      </c>
      <c r="AI350" s="49" t="str">
        <f t="shared" si="191"/>
        <v>A8</v>
      </c>
      <c r="AJ350" s="49" t="str">
        <f t="shared" si="198"/>
        <v>A9</v>
      </c>
      <c r="AK350" s="50">
        <f t="shared" si="189"/>
        <v>91953.5</v>
      </c>
      <c r="AL350" s="49" t="str">
        <f t="shared" si="211"/>
        <v>A8</v>
      </c>
      <c r="AM350" s="50">
        <f t="shared" si="199"/>
        <v>85922.5</v>
      </c>
      <c r="AN350" s="56">
        <f t="shared" si="212"/>
        <v>250</v>
      </c>
      <c r="AO350" s="57">
        <f t="shared" si="213"/>
        <v>88785</v>
      </c>
      <c r="AP350" s="23">
        <f t="shared" si="200"/>
        <v>88535</v>
      </c>
      <c r="AQ350" s="23">
        <f t="shared" si="201"/>
        <v>88910</v>
      </c>
      <c r="AR350" s="23">
        <f t="shared" si="202"/>
        <v>88410</v>
      </c>
      <c r="AS350" s="23">
        <f t="shared" si="203"/>
        <v>88722.5</v>
      </c>
      <c r="AT350" s="23">
        <f t="shared" si="204"/>
        <v>88597.5</v>
      </c>
      <c r="AU350" s="23">
        <f t="shared" si="205"/>
        <v>89160</v>
      </c>
      <c r="AV350" s="23">
        <f t="shared" si="206"/>
        <v>88160</v>
      </c>
      <c r="AW350" s="23">
        <f t="shared" si="207"/>
        <v>88701.666666666672</v>
      </c>
      <c r="AX350" s="23">
        <f t="shared" si="208"/>
        <v>88618.333333333328</v>
      </c>
      <c r="AY350" s="23">
        <f t="shared" si="209"/>
        <v>89410</v>
      </c>
      <c r="AZ350" s="23">
        <f t="shared" si="210"/>
        <v>87910</v>
      </c>
      <c r="BA350" s="23">
        <f t="shared" si="218"/>
        <v>90786.75</v>
      </c>
      <c r="BB350" s="43"/>
      <c r="BC350" s="51">
        <f t="shared" si="193"/>
        <v>88660</v>
      </c>
      <c r="BD350" s="52">
        <f t="shared" si="197"/>
        <v>90786.75</v>
      </c>
      <c r="BE350" s="37">
        <f t="shared" si="214"/>
        <v>-2126.75</v>
      </c>
      <c r="BF350">
        <f t="shared" si="215"/>
        <v>2126.75</v>
      </c>
      <c r="BG350">
        <f t="shared" si="216"/>
        <v>2.3987705842544553E-2</v>
      </c>
    </row>
    <row r="351" spans="1:59">
      <c r="A351" s="1" t="s">
        <v>352</v>
      </c>
      <c r="B351" s="1">
        <v>86610</v>
      </c>
      <c r="Q351">
        <v>348</v>
      </c>
      <c r="R351" s="27" t="str">
        <f t="shared" si="194"/>
        <v>15/08/2024</v>
      </c>
      <c r="S351" s="27">
        <f t="shared" si="194"/>
        <v>88380</v>
      </c>
      <c r="T351" s="4" t="str">
        <f t="shared" si="195"/>
        <v>A8</v>
      </c>
      <c r="V351">
        <v>348</v>
      </c>
      <c r="W351" s="28" t="str">
        <f t="shared" si="192"/>
        <v>15/08/2024</v>
      </c>
      <c r="X351" s="28">
        <f t="shared" si="192"/>
        <v>88380</v>
      </c>
      <c r="Y351" s="28" t="str">
        <f t="shared" si="192"/>
        <v>A8</v>
      </c>
      <c r="Z351" s="5" t="str">
        <f t="shared" si="217"/>
        <v>A8</v>
      </c>
      <c r="AA351" s="5" t="str">
        <f t="shared" si="196"/>
        <v>A8</v>
      </c>
      <c r="AG351" s="49" t="str">
        <f t="shared" si="191"/>
        <v>15/08/2024</v>
      </c>
      <c r="AH351" s="46">
        <f t="shared" si="191"/>
        <v>88380</v>
      </c>
      <c r="AI351" s="49" t="str">
        <f t="shared" si="191"/>
        <v>A8</v>
      </c>
      <c r="AJ351" s="49" t="str">
        <f t="shared" si="198"/>
        <v>A8</v>
      </c>
      <c r="AK351" s="50">
        <f t="shared" si="189"/>
        <v>85922.5</v>
      </c>
      <c r="AL351" s="49" t="str">
        <f t="shared" si="211"/>
        <v>A8</v>
      </c>
      <c r="AM351" s="50">
        <f t="shared" si="199"/>
        <v>85922.5</v>
      </c>
      <c r="AN351" s="56">
        <f t="shared" si="212"/>
        <v>90</v>
      </c>
      <c r="AO351" s="57">
        <f t="shared" si="213"/>
        <v>88425</v>
      </c>
      <c r="AP351" s="23">
        <f t="shared" si="200"/>
        <v>88335</v>
      </c>
      <c r="AQ351" s="23">
        <f t="shared" si="201"/>
        <v>88470</v>
      </c>
      <c r="AR351" s="23">
        <f t="shared" si="202"/>
        <v>88290</v>
      </c>
      <c r="AS351" s="23">
        <f t="shared" si="203"/>
        <v>88402.5</v>
      </c>
      <c r="AT351" s="23">
        <f t="shared" si="204"/>
        <v>88357.5</v>
      </c>
      <c r="AU351" s="23">
        <f t="shared" si="205"/>
        <v>88560</v>
      </c>
      <c r="AV351" s="23">
        <f t="shared" si="206"/>
        <v>88200</v>
      </c>
      <c r="AW351" s="23">
        <f t="shared" si="207"/>
        <v>88395</v>
      </c>
      <c r="AX351" s="23">
        <f t="shared" si="208"/>
        <v>88365</v>
      </c>
      <c r="AY351" s="23">
        <f t="shared" si="209"/>
        <v>88650</v>
      </c>
      <c r="AZ351" s="23">
        <f t="shared" si="210"/>
        <v>88110</v>
      </c>
      <c r="BA351" s="23">
        <f t="shared" si="218"/>
        <v>87353.75</v>
      </c>
      <c r="BB351" s="43"/>
      <c r="BC351" s="51">
        <f t="shared" si="193"/>
        <v>88380</v>
      </c>
      <c r="BD351" s="52">
        <f t="shared" si="197"/>
        <v>87353.75</v>
      </c>
      <c r="BE351" s="37">
        <f t="shared" si="214"/>
        <v>1026.25</v>
      </c>
      <c r="BF351">
        <f t="shared" si="215"/>
        <v>1026.25</v>
      </c>
      <c r="BG351">
        <f t="shared" si="216"/>
        <v>1.1611789997737045E-2</v>
      </c>
    </row>
    <row r="352" spans="1:59">
      <c r="A352" s="1" t="s">
        <v>353</v>
      </c>
      <c r="B352" s="1">
        <v>85160</v>
      </c>
      <c r="Q352">
        <v>349</v>
      </c>
      <c r="R352" s="27" t="str">
        <f t="shared" si="194"/>
        <v>16/08/2024</v>
      </c>
      <c r="S352" s="27">
        <f t="shared" si="194"/>
        <v>87100</v>
      </c>
      <c r="T352" s="4" t="str">
        <f t="shared" si="195"/>
        <v>A8</v>
      </c>
      <c r="V352">
        <v>349</v>
      </c>
      <c r="W352" s="28" t="str">
        <f t="shared" si="192"/>
        <v>16/08/2024</v>
      </c>
      <c r="X352" s="28">
        <f t="shared" si="192"/>
        <v>87100</v>
      </c>
      <c r="Y352" s="28" t="str">
        <f t="shared" si="192"/>
        <v>A8</v>
      </c>
      <c r="Z352" s="5" t="str">
        <f t="shared" si="217"/>
        <v>A8</v>
      </c>
      <c r="AA352" s="5" t="str">
        <f t="shared" si="196"/>
        <v>A8</v>
      </c>
      <c r="AG352" s="49" t="str">
        <f t="shared" si="191"/>
        <v>16/08/2024</v>
      </c>
      <c r="AH352" s="46">
        <f t="shared" si="191"/>
        <v>87100</v>
      </c>
      <c r="AI352" s="49" t="str">
        <f t="shared" si="191"/>
        <v>A8</v>
      </c>
      <c r="AJ352" s="49" t="str">
        <f t="shared" si="198"/>
        <v>A8</v>
      </c>
      <c r="AK352" s="50">
        <f t="shared" si="189"/>
        <v>85922.5</v>
      </c>
      <c r="AL352" s="49" t="str">
        <f t="shared" si="211"/>
        <v>A8</v>
      </c>
      <c r="AM352" s="50">
        <f t="shared" si="199"/>
        <v>85922.5</v>
      </c>
      <c r="AN352" s="56">
        <f t="shared" si="212"/>
        <v>1000</v>
      </c>
      <c r="AO352" s="57">
        <f t="shared" si="213"/>
        <v>87600</v>
      </c>
      <c r="AP352" s="23">
        <f t="shared" si="200"/>
        <v>86600</v>
      </c>
      <c r="AQ352" s="23">
        <f t="shared" si="201"/>
        <v>88100</v>
      </c>
      <c r="AR352" s="23">
        <f t="shared" si="202"/>
        <v>86100</v>
      </c>
      <c r="AS352" s="23">
        <f t="shared" si="203"/>
        <v>87350</v>
      </c>
      <c r="AT352" s="23">
        <f t="shared" si="204"/>
        <v>86850</v>
      </c>
      <c r="AU352" s="23">
        <f t="shared" si="205"/>
        <v>89100</v>
      </c>
      <c r="AV352" s="23">
        <f t="shared" si="206"/>
        <v>85100</v>
      </c>
      <c r="AW352" s="23">
        <f t="shared" si="207"/>
        <v>87266.666666666672</v>
      </c>
      <c r="AX352" s="23">
        <f t="shared" si="208"/>
        <v>86933.333333333328</v>
      </c>
      <c r="AY352" s="23">
        <f t="shared" si="209"/>
        <v>90100</v>
      </c>
      <c r="AZ352" s="23">
        <f t="shared" si="210"/>
        <v>84100</v>
      </c>
      <c r="BA352" s="23">
        <f t="shared" si="218"/>
        <v>87173.75</v>
      </c>
      <c r="BB352" s="43"/>
      <c r="BC352" s="51">
        <f t="shared" si="193"/>
        <v>87100</v>
      </c>
      <c r="BD352" s="52">
        <f t="shared" si="197"/>
        <v>87173.75</v>
      </c>
      <c r="BE352" s="37">
        <f t="shared" si="214"/>
        <v>-73.75</v>
      </c>
      <c r="BF352">
        <f t="shared" si="215"/>
        <v>73.75</v>
      </c>
      <c r="BG352">
        <f t="shared" si="216"/>
        <v>8.4672789896670492E-4</v>
      </c>
    </row>
    <row r="353" spans="1:59">
      <c r="A353" s="1" t="s">
        <v>354</v>
      </c>
      <c r="B353" s="1">
        <v>85330</v>
      </c>
      <c r="Q353">
        <v>350</v>
      </c>
      <c r="R353" s="27" t="str">
        <f t="shared" si="194"/>
        <v>17/08/2024</v>
      </c>
      <c r="S353" s="27">
        <f t="shared" si="194"/>
        <v>86610</v>
      </c>
      <c r="T353" s="4" t="str">
        <f t="shared" si="195"/>
        <v>A8</v>
      </c>
      <c r="V353">
        <v>350</v>
      </c>
      <c r="W353" s="28" t="str">
        <f t="shared" si="192"/>
        <v>17/08/2024</v>
      </c>
      <c r="X353" s="28">
        <f t="shared" si="192"/>
        <v>86610</v>
      </c>
      <c r="Y353" s="28" t="str">
        <f t="shared" si="192"/>
        <v>A8</v>
      </c>
      <c r="Z353" s="5" t="str">
        <f t="shared" si="217"/>
        <v>A8</v>
      </c>
      <c r="AA353" s="5" t="str">
        <f t="shared" si="196"/>
        <v>A8</v>
      </c>
      <c r="AG353" s="49" t="str">
        <f t="shared" si="191"/>
        <v>17/08/2024</v>
      </c>
      <c r="AH353" s="46">
        <f t="shared" si="191"/>
        <v>86610</v>
      </c>
      <c r="AI353" s="49" t="str">
        <f t="shared" si="191"/>
        <v>A8</v>
      </c>
      <c r="AJ353" s="49" t="str">
        <f t="shared" si="198"/>
        <v>A8</v>
      </c>
      <c r="AK353" s="50">
        <f t="shared" si="189"/>
        <v>85922.5</v>
      </c>
      <c r="AL353" s="49" t="str">
        <f t="shared" si="211"/>
        <v>A8</v>
      </c>
      <c r="AM353" s="50">
        <f t="shared" si="199"/>
        <v>85922.5</v>
      </c>
      <c r="AN353" s="56">
        <f t="shared" si="212"/>
        <v>790</v>
      </c>
      <c r="AO353" s="57">
        <f t="shared" si="213"/>
        <v>87005</v>
      </c>
      <c r="AP353" s="23">
        <f t="shared" si="200"/>
        <v>86215</v>
      </c>
      <c r="AQ353" s="23">
        <f t="shared" si="201"/>
        <v>87400</v>
      </c>
      <c r="AR353" s="23">
        <f t="shared" si="202"/>
        <v>85820</v>
      </c>
      <c r="AS353" s="23">
        <f t="shared" si="203"/>
        <v>86807.5</v>
      </c>
      <c r="AT353" s="23">
        <f t="shared" si="204"/>
        <v>86412.5</v>
      </c>
      <c r="AU353" s="23">
        <f t="shared" si="205"/>
        <v>88190</v>
      </c>
      <c r="AV353" s="23">
        <f t="shared" si="206"/>
        <v>85030</v>
      </c>
      <c r="AW353" s="23">
        <f t="shared" si="207"/>
        <v>86741.666666666672</v>
      </c>
      <c r="AX353" s="23">
        <f t="shared" si="208"/>
        <v>86478.333333333328</v>
      </c>
      <c r="AY353" s="23">
        <f t="shared" si="209"/>
        <v>88980</v>
      </c>
      <c r="AZ353" s="23">
        <f t="shared" si="210"/>
        <v>84240</v>
      </c>
      <c r="BA353" s="23">
        <f t="shared" si="218"/>
        <v>86761.25</v>
      </c>
      <c r="BB353" s="43"/>
      <c r="BC353" s="51">
        <f t="shared" si="193"/>
        <v>86610</v>
      </c>
      <c r="BD353" s="52">
        <f t="shared" si="197"/>
        <v>86761.25</v>
      </c>
      <c r="BE353" s="37">
        <f t="shared" si="214"/>
        <v>-151.25</v>
      </c>
      <c r="BF353">
        <f t="shared" si="215"/>
        <v>151.25</v>
      </c>
      <c r="BG353">
        <f t="shared" si="216"/>
        <v>1.7463341415540931E-3</v>
      </c>
    </row>
    <row r="354" spans="1:59">
      <c r="A354" s="1" t="s">
        <v>355</v>
      </c>
      <c r="B354" s="1">
        <v>84060</v>
      </c>
      <c r="Q354">
        <v>351</v>
      </c>
      <c r="R354" s="27" t="str">
        <f t="shared" si="194"/>
        <v>18/08/2024</v>
      </c>
      <c r="S354" s="27">
        <f t="shared" si="194"/>
        <v>85160</v>
      </c>
      <c r="T354" s="4" t="str">
        <f t="shared" si="195"/>
        <v>A8</v>
      </c>
      <c r="V354">
        <v>351</v>
      </c>
      <c r="W354" s="28" t="str">
        <f t="shared" si="192"/>
        <v>18/08/2024</v>
      </c>
      <c r="X354" s="28">
        <f t="shared" si="192"/>
        <v>85160</v>
      </c>
      <c r="Y354" s="28" t="str">
        <f t="shared" si="192"/>
        <v>A8</v>
      </c>
      <c r="Z354" s="5" t="str">
        <f t="shared" si="217"/>
        <v>A8</v>
      </c>
      <c r="AA354" s="5" t="str">
        <f t="shared" si="196"/>
        <v>A8</v>
      </c>
      <c r="AG354" s="49" t="str">
        <f t="shared" si="191"/>
        <v>18/08/2024</v>
      </c>
      <c r="AH354" s="46">
        <f t="shared" si="191"/>
        <v>85160</v>
      </c>
      <c r="AI354" s="49" t="str">
        <f t="shared" si="191"/>
        <v>A8</v>
      </c>
      <c r="AJ354" s="49" t="str">
        <f t="shared" si="198"/>
        <v>A8</v>
      </c>
      <c r="AK354" s="50">
        <f t="shared" si="189"/>
        <v>85922.5</v>
      </c>
      <c r="AL354" s="49" t="str">
        <f t="shared" si="211"/>
        <v>A8</v>
      </c>
      <c r="AM354" s="50">
        <f t="shared" si="199"/>
        <v>85922.5</v>
      </c>
      <c r="AN354" s="56">
        <f t="shared" si="212"/>
        <v>960</v>
      </c>
      <c r="AO354" s="57">
        <f t="shared" si="213"/>
        <v>85640</v>
      </c>
      <c r="AP354" s="23">
        <f t="shared" si="200"/>
        <v>84680</v>
      </c>
      <c r="AQ354" s="23">
        <f t="shared" si="201"/>
        <v>86120</v>
      </c>
      <c r="AR354" s="23">
        <f t="shared" si="202"/>
        <v>84200</v>
      </c>
      <c r="AS354" s="23">
        <f t="shared" si="203"/>
        <v>85400</v>
      </c>
      <c r="AT354" s="23">
        <f t="shared" si="204"/>
        <v>84920</v>
      </c>
      <c r="AU354" s="23">
        <f t="shared" si="205"/>
        <v>87080</v>
      </c>
      <c r="AV354" s="23">
        <f t="shared" si="206"/>
        <v>83240</v>
      </c>
      <c r="AW354" s="23">
        <f t="shared" si="207"/>
        <v>85320</v>
      </c>
      <c r="AX354" s="23">
        <f t="shared" si="208"/>
        <v>85000</v>
      </c>
      <c r="AY354" s="23">
        <f t="shared" si="209"/>
        <v>88040</v>
      </c>
      <c r="AZ354" s="23">
        <f t="shared" si="210"/>
        <v>82280</v>
      </c>
      <c r="BA354" s="23">
        <f t="shared" si="218"/>
        <v>86463.75</v>
      </c>
      <c r="BB354" s="43"/>
      <c r="BC354" s="51">
        <f t="shared" si="193"/>
        <v>85160</v>
      </c>
      <c r="BD354" s="52">
        <f t="shared" si="197"/>
        <v>86463.75</v>
      </c>
      <c r="BE354" s="37">
        <f t="shared" si="214"/>
        <v>-1303.75</v>
      </c>
      <c r="BF354">
        <f t="shared" si="215"/>
        <v>1303.75</v>
      </c>
      <c r="BG354">
        <f t="shared" si="216"/>
        <v>1.5309417566932833E-2</v>
      </c>
    </row>
    <row r="355" spans="1:59">
      <c r="A355" s="1" t="s">
        <v>356</v>
      </c>
      <c r="B355" s="1">
        <v>83230</v>
      </c>
      <c r="Q355">
        <v>352</v>
      </c>
      <c r="R355" s="27" t="str">
        <f t="shared" si="194"/>
        <v>19/08/2024</v>
      </c>
      <c r="S355" s="27">
        <f t="shared" si="194"/>
        <v>85330</v>
      </c>
      <c r="T355" s="4" t="str">
        <f t="shared" si="195"/>
        <v>A8</v>
      </c>
      <c r="V355">
        <v>352</v>
      </c>
      <c r="W355" s="28" t="str">
        <f t="shared" si="192"/>
        <v>19/08/2024</v>
      </c>
      <c r="X355" s="28">
        <f t="shared" si="192"/>
        <v>85330</v>
      </c>
      <c r="Y355" s="28" t="str">
        <f t="shared" si="192"/>
        <v>A8</v>
      </c>
      <c r="Z355" s="5" t="str">
        <f t="shared" si="217"/>
        <v>A8</v>
      </c>
      <c r="AA355" s="5" t="str">
        <f t="shared" si="196"/>
        <v>A8</v>
      </c>
      <c r="AG355" s="49" t="str">
        <f t="shared" si="191"/>
        <v>19/08/2024</v>
      </c>
      <c r="AH355" s="46">
        <f t="shared" si="191"/>
        <v>85330</v>
      </c>
      <c r="AI355" s="49" t="str">
        <f t="shared" si="191"/>
        <v>A8</v>
      </c>
      <c r="AJ355" s="49" t="str">
        <f t="shared" si="198"/>
        <v>A8</v>
      </c>
      <c r="AK355" s="50">
        <f t="shared" si="189"/>
        <v>85922.5</v>
      </c>
      <c r="AL355" s="49" t="str">
        <f t="shared" si="211"/>
        <v>A8</v>
      </c>
      <c r="AM355" s="50">
        <f t="shared" si="199"/>
        <v>85922.5</v>
      </c>
      <c r="AN355" s="56">
        <f t="shared" si="212"/>
        <v>1280</v>
      </c>
      <c r="AO355" s="57">
        <f t="shared" si="213"/>
        <v>85970</v>
      </c>
      <c r="AP355" s="23">
        <f t="shared" si="200"/>
        <v>84690</v>
      </c>
      <c r="AQ355" s="23">
        <f t="shared" si="201"/>
        <v>86610</v>
      </c>
      <c r="AR355" s="23">
        <f t="shared" si="202"/>
        <v>84050</v>
      </c>
      <c r="AS355" s="23">
        <f t="shared" si="203"/>
        <v>85650</v>
      </c>
      <c r="AT355" s="23">
        <f t="shared" si="204"/>
        <v>85010</v>
      </c>
      <c r="AU355" s="23">
        <f t="shared" si="205"/>
        <v>87890</v>
      </c>
      <c r="AV355" s="23">
        <f t="shared" si="206"/>
        <v>82770</v>
      </c>
      <c r="AW355" s="23">
        <f t="shared" si="207"/>
        <v>85543.333333333328</v>
      </c>
      <c r="AX355" s="23">
        <f t="shared" si="208"/>
        <v>85116.666666666672</v>
      </c>
      <c r="AY355" s="23">
        <f t="shared" si="209"/>
        <v>89170</v>
      </c>
      <c r="AZ355" s="23">
        <f t="shared" si="210"/>
        <v>81490</v>
      </c>
      <c r="BA355" s="23">
        <f t="shared" si="218"/>
        <v>85781.25</v>
      </c>
      <c r="BB355" s="43"/>
      <c r="BC355" s="51">
        <f t="shared" si="193"/>
        <v>85330</v>
      </c>
      <c r="BD355" s="52">
        <f t="shared" si="197"/>
        <v>85781.25</v>
      </c>
      <c r="BE355" s="37">
        <f t="shared" si="214"/>
        <v>-451.25</v>
      </c>
      <c r="BF355">
        <f t="shared" si="215"/>
        <v>451.25</v>
      </c>
      <c r="BG355">
        <f t="shared" si="216"/>
        <v>5.2882925114262277E-3</v>
      </c>
    </row>
    <row r="356" spans="1:59">
      <c r="A356" s="1" t="s">
        <v>357</v>
      </c>
      <c r="B356" s="1">
        <v>82120</v>
      </c>
      <c r="Q356">
        <v>353</v>
      </c>
      <c r="R356" s="27" t="str">
        <f t="shared" si="194"/>
        <v>20/08/2024</v>
      </c>
      <c r="S356" s="27">
        <f t="shared" si="194"/>
        <v>84060</v>
      </c>
      <c r="T356" s="4" t="str">
        <f t="shared" si="195"/>
        <v>A8</v>
      </c>
      <c r="V356">
        <v>353</v>
      </c>
      <c r="W356" s="28" t="str">
        <f t="shared" si="192"/>
        <v>20/08/2024</v>
      </c>
      <c r="X356" s="28">
        <f t="shared" si="192"/>
        <v>84060</v>
      </c>
      <c r="Y356" s="28" t="str">
        <f t="shared" si="192"/>
        <v>A8</v>
      </c>
      <c r="Z356" s="5" t="str">
        <f t="shared" si="217"/>
        <v>A8</v>
      </c>
      <c r="AA356" s="5" t="str">
        <f t="shared" si="196"/>
        <v>A8</v>
      </c>
      <c r="AG356" s="49" t="str">
        <f t="shared" si="191"/>
        <v>20/08/2024</v>
      </c>
      <c r="AH356" s="46">
        <f t="shared" si="191"/>
        <v>84060</v>
      </c>
      <c r="AI356" s="49" t="str">
        <f t="shared" si="191"/>
        <v>A8</v>
      </c>
      <c r="AJ356" s="49" t="str">
        <f t="shared" si="198"/>
        <v>A8</v>
      </c>
      <c r="AK356" s="50">
        <f t="shared" si="189"/>
        <v>85922.5</v>
      </c>
      <c r="AL356" s="49" t="str">
        <f t="shared" si="211"/>
        <v>A8</v>
      </c>
      <c r="AM356" s="50">
        <f t="shared" si="199"/>
        <v>85922.5</v>
      </c>
      <c r="AN356" s="56">
        <f t="shared" si="212"/>
        <v>1100</v>
      </c>
      <c r="AO356" s="57">
        <f t="shared" si="213"/>
        <v>84610</v>
      </c>
      <c r="AP356" s="23">
        <f t="shared" si="200"/>
        <v>83510</v>
      </c>
      <c r="AQ356" s="23">
        <f t="shared" si="201"/>
        <v>85160</v>
      </c>
      <c r="AR356" s="23">
        <f t="shared" si="202"/>
        <v>82960</v>
      </c>
      <c r="AS356" s="23">
        <f t="shared" si="203"/>
        <v>84335</v>
      </c>
      <c r="AT356" s="23">
        <f t="shared" si="204"/>
        <v>83785</v>
      </c>
      <c r="AU356" s="23">
        <f t="shared" si="205"/>
        <v>86260</v>
      </c>
      <c r="AV356" s="23">
        <f t="shared" si="206"/>
        <v>81860</v>
      </c>
      <c r="AW356" s="23">
        <f t="shared" si="207"/>
        <v>84243.333333333328</v>
      </c>
      <c r="AX356" s="23">
        <f t="shared" si="208"/>
        <v>83876.666666666672</v>
      </c>
      <c r="AY356" s="23">
        <f t="shared" si="209"/>
        <v>87360</v>
      </c>
      <c r="AZ356" s="23">
        <f t="shared" si="210"/>
        <v>80760</v>
      </c>
      <c r="BA356" s="23">
        <f t="shared" si="218"/>
        <v>85946.25</v>
      </c>
      <c r="BB356" s="43"/>
      <c r="BC356" s="51">
        <f t="shared" si="193"/>
        <v>84060</v>
      </c>
      <c r="BD356" s="52">
        <f t="shared" si="197"/>
        <v>85946.25</v>
      </c>
      <c r="BE356" s="37">
        <f t="shared" si="214"/>
        <v>-1886.25</v>
      </c>
      <c r="BF356">
        <f t="shared" si="215"/>
        <v>1886.25</v>
      </c>
      <c r="BG356">
        <f t="shared" si="216"/>
        <v>2.2439329050678088E-2</v>
      </c>
    </row>
    <row r="357" spans="1:59">
      <c r="A357" s="1" t="s">
        <v>358</v>
      </c>
      <c r="B357" s="1">
        <v>81410</v>
      </c>
      <c r="Q357">
        <v>354</v>
      </c>
      <c r="R357" s="27" t="str">
        <f t="shared" si="194"/>
        <v>21/08/2024</v>
      </c>
      <c r="S357" s="27">
        <f t="shared" si="194"/>
        <v>83230</v>
      </c>
      <c r="T357" s="4" t="str">
        <f t="shared" si="195"/>
        <v>A8</v>
      </c>
      <c r="V357">
        <v>354</v>
      </c>
      <c r="W357" s="28" t="str">
        <f t="shared" si="192"/>
        <v>21/08/2024</v>
      </c>
      <c r="X357" s="28">
        <f t="shared" si="192"/>
        <v>83230</v>
      </c>
      <c r="Y357" s="28" t="str">
        <f t="shared" si="192"/>
        <v>A8</v>
      </c>
      <c r="Z357" s="5" t="str">
        <f t="shared" si="217"/>
        <v>A8</v>
      </c>
      <c r="AA357" s="5" t="str">
        <f t="shared" si="196"/>
        <v>A8</v>
      </c>
      <c r="AG357" s="49" t="str">
        <f t="shared" si="191"/>
        <v>21/08/2024</v>
      </c>
      <c r="AH357" s="46">
        <f t="shared" si="191"/>
        <v>83230</v>
      </c>
      <c r="AI357" s="49" t="str">
        <f t="shared" si="191"/>
        <v>A8</v>
      </c>
      <c r="AJ357" s="49" t="str">
        <f t="shared" si="198"/>
        <v>A8</v>
      </c>
      <c r="AK357" s="50">
        <f t="shared" si="189"/>
        <v>85922.5</v>
      </c>
      <c r="AL357" s="49" t="str">
        <f t="shared" si="211"/>
        <v>A8</v>
      </c>
      <c r="AM357" s="50">
        <f t="shared" si="199"/>
        <v>85922.5</v>
      </c>
      <c r="AN357" s="56">
        <f t="shared" si="212"/>
        <v>440</v>
      </c>
      <c r="AO357" s="57">
        <f t="shared" si="213"/>
        <v>83450</v>
      </c>
      <c r="AP357" s="23">
        <f t="shared" si="200"/>
        <v>83010</v>
      </c>
      <c r="AQ357" s="23">
        <f t="shared" si="201"/>
        <v>83670</v>
      </c>
      <c r="AR357" s="23">
        <f t="shared" si="202"/>
        <v>82790</v>
      </c>
      <c r="AS357" s="23">
        <f t="shared" si="203"/>
        <v>83340</v>
      </c>
      <c r="AT357" s="23">
        <f t="shared" si="204"/>
        <v>83120</v>
      </c>
      <c r="AU357" s="23">
        <f t="shared" si="205"/>
        <v>84110</v>
      </c>
      <c r="AV357" s="23">
        <f t="shared" si="206"/>
        <v>82350</v>
      </c>
      <c r="AW357" s="23">
        <f t="shared" si="207"/>
        <v>83303.333333333328</v>
      </c>
      <c r="AX357" s="23">
        <f t="shared" si="208"/>
        <v>83156.666666666672</v>
      </c>
      <c r="AY357" s="23">
        <f t="shared" si="209"/>
        <v>84550</v>
      </c>
      <c r="AZ357" s="23">
        <f t="shared" si="210"/>
        <v>81910</v>
      </c>
      <c r="BA357" s="23">
        <f t="shared" si="218"/>
        <v>85266.25</v>
      </c>
      <c r="BB357" s="43"/>
      <c r="BC357" s="51">
        <f t="shared" si="193"/>
        <v>83230</v>
      </c>
      <c r="BD357" s="52">
        <f t="shared" si="197"/>
        <v>85266.25</v>
      </c>
      <c r="BE357" s="37">
        <f t="shared" si="214"/>
        <v>-2036.25</v>
      </c>
      <c r="BF357">
        <f t="shared" si="215"/>
        <v>2036.25</v>
      </c>
      <c r="BG357">
        <f t="shared" si="216"/>
        <v>2.4465337017902197E-2</v>
      </c>
    </row>
    <row r="358" spans="1:59">
      <c r="A358" s="1" t="s">
        <v>359</v>
      </c>
      <c r="B358" s="1">
        <v>79530</v>
      </c>
      <c r="Q358">
        <v>355</v>
      </c>
      <c r="R358" s="27" t="str">
        <f t="shared" si="194"/>
        <v>22/08/2024</v>
      </c>
      <c r="S358" s="27">
        <f t="shared" si="194"/>
        <v>82120</v>
      </c>
      <c r="T358" s="4" t="str">
        <f t="shared" si="195"/>
        <v>A7</v>
      </c>
      <c r="V358">
        <v>355</v>
      </c>
      <c r="W358" s="28" t="str">
        <f t="shared" si="192"/>
        <v>22/08/2024</v>
      </c>
      <c r="X358" s="28">
        <f t="shared" si="192"/>
        <v>82120</v>
      </c>
      <c r="Y358" s="28" t="str">
        <f t="shared" si="192"/>
        <v>A7</v>
      </c>
      <c r="Z358" s="5" t="str">
        <f t="shared" si="217"/>
        <v>A8</v>
      </c>
      <c r="AA358" s="5" t="str">
        <f t="shared" si="196"/>
        <v>A7</v>
      </c>
      <c r="AG358" s="49" t="str">
        <f t="shared" si="191"/>
        <v>22/08/2024</v>
      </c>
      <c r="AH358" s="46">
        <f t="shared" si="191"/>
        <v>82120</v>
      </c>
      <c r="AI358" s="49" t="str">
        <f t="shared" si="191"/>
        <v>A7</v>
      </c>
      <c r="AJ358" s="49" t="str">
        <f t="shared" si="198"/>
        <v>A8</v>
      </c>
      <c r="AK358" s="50">
        <f t="shared" si="189"/>
        <v>85922.5</v>
      </c>
      <c r="AL358" s="49" t="str">
        <f t="shared" si="211"/>
        <v>A7</v>
      </c>
      <c r="AM358" s="50">
        <f t="shared" si="199"/>
        <v>79891.5</v>
      </c>
      <c r="AN358" s="56">
        <f t="shared" si="212"/>
        <v>280</v>
      </c>
      <c r="AO358" s="57">
        <f t="shared" si="213"/>
        <v>82260</v>
      </c>
      <c r="AP358" s="23">
        <f t="shared" si="200"/>
        <v>81980</v>
      </c>
      <c r="AQ358" s="23">
        <f t="shared" si="201"/>
        <v>82400</v>
      </c>
      <c r="AR358" s="23">
        <f t="shared" si="202"/>
        <v>81840</v>
      </c>
      <c r="AS358" s="23">
        <f t="shared" si="203"/>
        <v>82190</v>
      </c>
      <c r="AT358" s="23">
        <f t="shared" si="204"/>
        <v>82050</v>
      </c>
      <c r="AU358" s="23">
        <f t="shared" si="205"/>
        <v>82680</v>
      </c>
      <c r="AV358" s="23">
        <f t="shared" si="206"/>
        <v>81560</v>
      </c>
      <c r="AW358" s="23">
        <f t="shared" si="207"/>
        <v>82166.666666666672</v>
      </c>
      <c r="AX358" s="23">
        <f t="shared" si="208"/>
        <v>82073.333333333328</v>
      </c>
      <c r="AY358" s="23">
        <f t="shared" si="209"/>
        <v>82960</v>
      </c>
      <c r="AZ358" s="23">
        <f t="shared" si="210"/>
        <v>81280</v>
      </c>
      <c r="BA358" s="23">
        <f t="shared" si="218"/>
        <v>84686.25</v>
      </c>
      <c r="BB358" s="43"/>
      <c r="BC358" s="51">
        <f t="shared" si="193"/>
        <v>82120</v>
      </c>
      <c r="BD358" s="52">
        <f t="shared" si="197"/>
        <v>84686.25</v>
      </c>
      <c r="BE358" s="37">
        <f t="shared" si="214"/>
        <v>-2566.25</v>
      </c>
      <c r="BF358">
        <f t="shared" si="215"/>
        <v>2566.25</v>
      </c>
      <c r="BG358">
        <f t="shared" si="216"/>
        <v>3.125E-2</v>
      </c>
    </row>
    <row r="359" spans="1:59">
      <c r="A359" s="1" t="s">
        <v>360</v>
      </c>
      <c r="B359" s="1">
        <v>78420</v>
      </c>
      <c r="Q359">
        <v>356</v>
      </c>
      <c r="R359" s="27" t="str">
        <f t="shared" si="194"/>
        <v>23/08/2024</v>
      </c>
      <c r="S359" s="27">
        <f t="shared" si="194"/>
        <v>81410</v>
      </c>
      <c r="T359" s="4" t="str">
        <f t="shared" si="195"/>
        <v>A7</v>
      </c>
      <c r="V359">
        <v>356</v>
      </c>
      <c r="W359" s="28" t="str">
        <f t="shared" si="192"/>
        <v>23/08/2024</v>
      </c>
      <c r="X359" s="28">
        <f t="shared" si="192"/>
        <v>81410</v>
      </c>
      <c r="Y359" s="28" t="str">
        <f t="shared" si="192"/>
        <v>A7</v>
      </c>
      <c r="Z359" s="5" t="str">
        <f t="shared" si="217"/>
        <v>A7</v>
      </c>
      <c r="AA359" s="5" t="str">
        <f t="shared" si="196"/>
        <v>A7</v>
      </c>
      <c r="AG359" s="49" t="str">
        <f t="shared" si="191"/>
        <v>23/08/2024</v>
      </c>
      <c r="AH359" s="46">
        <f t="shared" si="191"/>
        <v>81410</v>
      </c>
      <c r="AI359" s="49" t="str">
        <f t="shared" si="191"/>
        <v>A7</v>
      </c>
      <c r="AJ359" s="49" t="str">
        <f t="shared" si="198"/>
        <v>A7</v>
      </c>
      <c r="AK359" s="50">
        <f t="shared" si="189"/>
        <v>79891.5</v>
      </c>
      <c r="AL359" s="49" t="str">
        <f t="shared" si="211"/>
        <v>A7</v>
      </c>
      <c r="AM359" s="50">
        <f t="shared" si="199"/>
        <v>79891.5</v>
      </c>
      <c r="AN359" s="56">
        <f t="shared" si="212"/>
        <v>400</v>
      </c>
      <c r="AO359" s="57">
        <f t="shared" si="213"/>
        <v>81610</v>
      </c>
      <c r="AP359" s="23">
        <f t="shared" si="200"/>
        <v>81210</v>
      </c>
      <c r="AQ359" s="23">
        <f t="shared" si="201"/>
        <v>81810</v>
      </c>
      <c r="AR359" s="23">
        <f t="shared" si="202"/>
        <v>81010</v>
      </c>
      <c r="AS359" s="23">
        <f t="shared" si="203"/>
        <v>81510</v>
      </c>
      <c r="AT359" s="23">
        <f t="shared" si="204"/>
        <v>81310</v>
      </c>
      <c r="AU359" s="23">
        <f t="shared" si="205"/>
        <v>82210</v>
      </c>
      <c r="AV359" s="23">
        <f t="shared" si="206"/>
        <v>80610</v>
      </c>
      <c r="AW359" s="23">
        <f t="shared" si="207"/>
        <v>81476.666666666672</v>
      </c>
      <c r="AX359" s="23">
        <f t="shared" si="208"/>
        <v>81343.333333333328</v>
      </c>
      <c r="AY359" s="23">
        <f t="shared" si="209"/>
        <v>82610</v>
      </c>
      <c r="AZ359" s="23">
        <f t="shared" si="210"/>
        <v>80210</v>
      </c>
      <c r="BA359" s="23">
        <f t="shared" si="218"/>
        <v>81075.75</v>
      </c>
      <c r="BB359" s="43"/>
      <c r="BC359" s="51">
        <f t="shared" si="193"/>
        <v>81410</v>
      </c>
      <c r="BD359" s="52">
        <f t="shared" si="197"/>
        <v>81075.75</v>
      </c>
      <c r="BE359" s="37">
        <f t="shared" si="214"/>
        <v>334.25</v>
      </c>
      <c r="BF359">
        <f t="shared" si="215"/>
        <v>334.25</v>
      </c>
      <c r="BG359">
        <f t="shared" si="216"/>
        <v>4.1057609630266549E-3</v>
      </c>
    </row>
    <row r="360" spans="1:59">
      <c r="A360" s="1" t="s">
        <v>361</v>
      </c>
      <c r="B360" s="1">
        <v>77190</v>
      </c>
      <c r="Q360">
        <v>357</v>
      </c>
      <c r="R360" s="27" t="str">
        <f t="shared" si="194"/>
        <v>24/08/2024</v>
      </c>
      <c r="S360" s="27">
        <f t="shared" si="194"/>
        <v>79530</v>
      </c>
      <c r="T360" s="4" t="str">
        <f t="shared" si="195"/>
        <v>A7</v>
      </c>
      <c r="V360">
        <v>357</v>
      </c>
      <c r="W360" s="28" t="str">
        <f t="shared" si="192"/>
        <v>24/08/2024</v>
      </c>
      <c r="X360" s="28">
        <f t="shared" si="192"/>
        <v>79530</v>
      </c>
      <c r="Y360" s="28" t="str">
        <f t="shared" si="192"/>
        <v>A7</v>
      </c>
      <c r="Z360" s="5" t="str">
        <f t="shared" si="217"/>
        <v>A7</v>
      </c>
      <c r="AA360" s="5" t="str">
        <f t="shared" si="196"/>
        <v>A7</v>
      </c>
      <c r="AG360" s="49" t="str">
        <f t="shared" si="191"/>
        <v>24/08/2024</v>
      </c>
      <c r="AH360" s="46">
        <f t="shared" si="191"/>
        <v>79530</v>
      </c>
      <c r="AI360" s="49" t="str">
        <f t="shared" si="191"/>
        <v>A7</v>
      </c>
      <c r="AJ360" s="49" t="str">
        <f t="shared" si="198"/>
        <v>A7</v>
      </c>
      <c r="AK360" s="50">
        <f t="shared" si="189"/>
        <v>79891.5</v>
      </c>
      <c r="AL360" s="49" t="str">
        <f t="shared" si="211"/>
        <v>A7</v>
      </c>
      <c r="AM360" s="50">
        <f t="shared" si="199"/>
        <v>79891.5</v>
      </c>
      <c r="AN360" s="56">
        <f t="shared" si="212"/>
        <v>1170</v>
      </c>
      <c r="AO360" s="57">
        <f t="shared" si="213"/>
        <v>80115</v>
      </c>
      <c r="AP360" s="23">
        <f t="shared" si="200"/>
        <v>78945</v>
      </c>
      <c r="AQ360" s="23">
        <f t="shared" si="201"/>
        <v>80700</v>
      </c>
      <c r="AR360" s="23">
        <f t="shared" si="202"/>
        <v>78360</v>
      </c>
      <c r="AS360" s="23">
        <f t="shared" si="203"/>
        <v>79822.5</v>
      </c>
      <c r="AT360" s="23">
        <f t="shared" si="204"/>
        <v>79237.5</v>
      </c>
      <c r="AU360" s="23">
        <f t="shared" si="205"/>
        <v>81870</v>
      </c>
      <c r="AV360" s="23">
        <f t="shared" si="206"/>
        <v>77190</v>
      </c>
      <c r="AW360" s="23">
        <f t="shared" si="207"/>
        <v>79725</v>
      </c>
      <c r="AX360" s="23">
        <f t="shared" si="208"/>
        <v>79335</v>
      </c>
      <c r="AY360" s="23">
        <f t="shared" si="209"/>
        <v>83040</v>
      </c>
      <c r="AZ360" s="23">
        <f t="shared" si="210"/>
        <v>76020</v>
      </c>
      <c r="BA360" s="23">
        <f t="shared" si="218"/>
        <v>80750.75</v>
      </c>
      <c r="BB360" s="43"/>
      <c r="BC360" s="51">
        <f t="shared" si="193"/>
        <v>79530</v>
      </c>
      <c r="BD360" s="52">
        <f t="shared" si="197"/>
        <v>80750.75</v>
      </c>
      <c r="BE360" s="37">
        <f t="shared" si="214"/>
        <v>-1220.75</v>
      </c>
      <c r="BF360">
        <f t="shared" si="215"/>
        <v>1220.75</v>
      </c>
      <c r="BG360">
        <f t="shared" si="216"/>
        <v>1.5349553627561926E-2</v>
      </c>
    </row>
    <row r="361" spans="1:59">
      <c r="A361" s="1" t="s">
        <v>362</v>
      </c>
      <c r="B361" s="1">
        <v>79820</v>
      </c>
      <c r="Q361">
        <v>358</v>
      </c>
      <c r="R361" s="27" t="str">
        <f t="shared" si="194"/>
        <v>25/08/2024</v>
      </c>
      <c r="S361" s="27">
        <f t="shared" si="194"/>
        <v>78420</v>
      </c>
      <c r="T361" s="4" t="str">
        <f t="shared" si="195"/>
        <v>A7</v>
      </c>
      <c r="V361">
        <v>358</v>
      </c>
      <c r="W361" s="28" t="str">
        <f t="shared" si="192"/>
        <v>25/08/2024</v>
      </c>
      <c r="X361" s="28">
        <f t="shared" si="192"/>
        <v>78420</v>
      </c>
      <c r="Y361" s="28" t="str">
        <f t="shared" si="192"/>
        <v>A7</v>
      </c>
      <c r="Z361" s="5" t="str">
        <f t="shared" si="217"/>
        <v>A7</v>
      </c>
      <c r="AA361" s="5" t="str">
        <f t="shared" si="196"/>
        <v>A7</v>
      </c>
      <c r="AG361" s="49" t="str">
        <f t="shared" si="191"/>
        <v>25/08/2024</v>
      </c>
      <c r="AH361" s="46">
        <f t="shared" si="191"/>
        <v>78420</v>
      </c>
      <c r="AI361" s="49" t="str">
        <f t="shared" si="191"/>
        <v>A7</v>
      </c>
      <c r="AJ361" s="49" t="str">
        <f t="shared" si="198"/>
        <v>A7</v>
      </c>
      <c r="AK361" s="50">
        <f t="shared" si="189"/>
        <v>79891.5</v>
      </c>
      <c r="AL361" s="49" t="str">
        <f t="shared" si="211"/>
        <v>A7</v>
      </c>
      <c r="AM361" s="50">
        <f t="shared" si="199"/>
        <v>79891.5</v>
      </c>
      <c r="AN361" s="56">
        <f t="shared" si="212"/>
        <v>770</v>
      </c>
      <c r="AO361" s="57">
        <f t="shared" si="213"/>
        <v>78805</v>
      </c>
      <c r="AP361" s="23">
        <f t="shared" si="200"/>
        <v>78035</v>
      </c>
      <c r="AQ361" s="23">
        <f t="shared" si="201"/>
        <v>79190</v>
      </c>
      <c r="AR361" s="23">
        <f t="shared" si="202"/>
        <v>77650</v>
      </c>
      <c r="AS361" s="23">
        <f t="shared" si="203"/>
        <v>78612.5</v>
      </c>
      <c r="AT361" s="23">
        <f t="shared" si="204"/>
        <v>78227.5</v>
      </c>
      <c r="AU361" s="23">
        <f t="shared" si="205"/>
        <v>79960</v>
      </c>
      <c r="AV361" s="23">
        <f t="shared" si="206"/>
        <v>76880</v>
      </c>
      <c r="AW361" s="23">
        <f t="shared" si="207"/>
        <v>78548.333333333328</v>
      </c>
      <c r="AX361" s="23">
        <f t="shared" si="208"/>
        <v>78291.666666666672</v>
      </c>
      <c r="AY361" s="23">
        <f t="shared" si="209"/>
        <v>80730</v>
      </c>
      <c r="AZ361" s="23">
        <f t="shared" si="210"/>
        <v>76110</v>
      </c>
      <c r="BA361" s="23">
        <f t="shared" si="218"/>
        <v>80003.25</v>
      </c>
      <c r="BB361" s="43"/>
      <c r="BC361" s="51">
        <f t="shared" si="193"/>
        <v>78420</v>
      </c>
      <c r="BD361" s="52">
        <f t="shared" si="197"/>
        <v>80003.25</v>
      </c>
      <c r="BE361" s="37">
        <f t="shared" si="214"/>
        <v>-1583.25</v>
      </c>
      <c r="BF361">
        <f t="shared" si="215"/>
        <v>1583.25</v>
      </c>
      <c r="BG361">
        <f t="shared" si="216"/>
        <v>2.0189364957918898E-2</v>
      </c>
    </row>
    <row r="362" spans="1:59">
      <c r="A362" s="1" t="s">
        <v>363</v>
      </c>
      <c r="B362" s="1">
        <v>78280</v>
      </c>
      <c r="Q362">
        <v>359</v>
      </c>
      <c r="R362" s="27" t="str">
        <f t="shared" si="194"/>
        <v>26/08/2024</v>
      </c>
      <c r="S362" s="27">
        <f t="shared" si="194"/>
        <v>77190</v>
      </c>
      <c r="T362" s="4" t="str">
        <f t="shared" si="195"/>
        <v>A7</v>
      </c>
      <c r="V362">
        <v>359</v>
      </c>
      <c r="W362" s="28" t="str">
        <f t="shared" si="192"/>
        <v>26/08/2024</v>
      </c>
      <c r="X362" s="28">
        <f t="shared" si="192"/>
        <v>77190</v>
      </c>
      <c r="Y362" s="28" t="str">
        <f t="shared" si="192"/>
        <v>A7</v>
      </c>
      <c r="Z362" s="5" t="str">
        <f t="shared" si="217"/>
        <v>A7</v>
      </c>
      <c r="AA362" s="5" t="str">
        <f t="shared" si="196"/>
        <v>A7</v>
      </c>
      <c r="AG362" s="49" t="str">
        <f t="shared" si="191"/>
        <v>26/08/2024</v>
      </c>
      <c r="AH362" s="46">
        <f t="shared" si="191"/>
        <v>77190</v>
      </c>
      <c r="AI362" s="49" t="str">
        <f t="shared" si="191"/>
        <v>A7</v>
      </c>
      <c r="AJ362" s="49" t="str">
        <f t="shared" si="198"/>
        <v>A7</v>
      </c>
      <c r="AK362" s="50">
        <f t="shared" si="189"/>
        <v>79891.5</v>
      </c>
      <c r="AL362" s="49" t="str">
        <f t="shared" si="211"/>
        <v>A7</v>
      </c>
      <c r="AM362" s="50">
        <f t="shared" si="199"/>
        <v>79891.5</v>
      </c>
      <c r="AN362" s="56">
        <f t="shared" si="212"/>
        <v>120</v>
      </c>
      <c r="AO362" s="57">
        <f t="shared" si="213"/>
        <v>77250</v>
      </c>
      <c r="AP362" s="23">
        <f t="shared" si="200"/>
        <v>77130</v>
      </c>
      <c r="AQ362" s="23">
        <f t="shared" si="201"/>
        <v>77310</v>
      </c>
      <c r="AR362" s="23">
        <f t="shared" si="202"/>
        <v>77070</v>
      </c>
      <c r="AS362" s="23">
        <f t="shared" si="203"/>
        <v>77220</v>
      </c>
      <c r="AT362" s="23">
        <f t="shared" si="204"/>
        <v>77160</v>
      </c>
      <c r="AU362" s="23">
        <f t="shared" si="205"/>
        <v>77430</v>
      </c>
      <c r="AV362" s="23">
        <f t="shared" si="206"/>
        <v>76950</v>
      </c>
      <c r="AW362" s="23">
        <f t="shared" si="207"/>
        <v>77210</v>
      </c>
      <c r="AX362" s="23">
        <f t="shared" si="208"/>
        <v>77170</v>
      </c>
      <c r="AY362" s="23">
        <f t="shared" si="209"/>
        <v>77550</v>
      </c>
      <c r="AZ362" s="23">
        <f t="shared" si="210"/>
        <v>76830</v>
      </c>
      <c r="BA362" s="23">
        <f t="shared" si="218"/>
        <v>79348.25</v>
      </c>
      <c r="BB362" s="43"/>
      <c r="BC362" s="51">
        <f t="shared" si="193"/>
        <v>77190</v>
      </c>
      <c r="BD362" s="52">
        <f t="shared" si="197"/>
        <v>79348.25</v>
      </c>
      <c r="BE362" s="37">
        <f t="shared" si="214"/>
        <v>-2158.25</v>
      </c>
      <c r="BF362">
        <f t="shared" si="215"/>
        <v>2158.25</v>
      </c>
      <c r="BG362">
        <f t="shared" si="216"/>
        <v>2.7960228008809433E-2</v>
      </c>
    </row>
    <row r="363" spans="1:59">
      <c r="A363" s="1" t="s">
        <v>364</v>
      </c>
      <c r="B363" s="1">
        <v>75010</v>
      </c>
      <c r="Q363">
        <v>360</v>
      </c>
      <c r="R363" s="27" t="str">
        <f t="shared" si="194"/>
        <v>27/08/2024</v>
      </c>
      <c r="S363" s="27">
        <f t="shared" si="194"/>
        <v>79820</v>
      </c>
      <c r="T363" s="4" t="str">
        <f t="shared" si="195"/>
        <v>A7</v>
      </c>
      <c r="V363">
        <v>360</v>
      </c>
      <c r="W363" s="28" t="str">
        <f t="shared" si="192"/>
        <v>27/08/2024</v>
      </c>
      <c r="X363" s="28">
        <f t="shared" si="192"/>
        <v>79820</v>
      </c>
      <c r="Y363" s="28" t="str">
        <f t="shared" si="192"/>
        <v>A7</v>
      </c>
      <c r="Z363" s="5" t="str">
        <f t="shared" si="217"/>
        <v>A7</v>
      </c>
      <c r="AA363" s="5" t="str">
        <f t="shared" si="196"/>
        <v>A7</v>
      </c>
      <c r="AG363" s="49" t="str">
        <f t="shared" si="191"/>
        <v>27/08/2024</v>
      </c>
      <c r="AH363" s="46">
        <f t="shared" si="191"/>
        <v>79820</v>
      </c>
      <c r="AI363" s="49" t="str">
        <f t="shared" si="191"/>
        <v>A7</v>
      </c>
      <c r="AJ363" s="49" t="str">
        <f t="shared" si="198"/>
        <v>A7</v>
      </c>
      <c r="AK363" s="50">
        <f t="shared" si="189"/>
        <v>79891.5</v>
      </c>
      <c r="AL363" s="49" t="str">
        <f t="shared" si="211"/>
        <v>A7</v>
      </c>
      <c r="AM363" s="50">
        <f t="shared" si="199"/>
        <v>79891.5</v>
      </c>
      <c r="AN363" s="56">
        <f t="shared" si="212"/>
        <v>1400</v>
      </c>
      <c r="AO363" s="57">
        <f t="shared" si="213"/>
        <v>80520</v>
      </c>
      <c r="AP363" s="23">
        <f t="shared" si="200"/>
        <v>79120</v>
      </c>
      <c r="AQ363" s="23">
        <f t="shared" si="201"/>
        <v>81220</v>
      </c>
      <c r="AR363" s="23">
        <f t="shared" si="202"/>
        <v>78420</v>
      </c>
      <c r="AS363" s="23">
        <f t="shared" si="203"/>
        <v>80170</v>
      </c>
      <c r="AT363" s="23">
        <f t="shared" si="204"/>
        <v>79470</v>
      </c>
      <c r="AU363" s="23">
        <f t="shared" si="205"/>
        <v>82620</v>
      </c>
      <c r="AV363" s="23">
        <f t="shared" si="206"/>
        <v>77020</v>
      </c>
      <c r="AW363" s="23">
        <f t="shared" si="207"/>
        <v>80053.333333333328</v>
      </c>
      <c r="AX363" s="23">
        <f t="shared" si="208"/>
        <v>79586.666666666672</v>
      </c>
      <c r="AY363" s="23">
        <f t="shared" si="209"/>
        <v>84020</v>
      </c>
      <c r="AZ363" s="23">
        <f t="shared" si="210"/>
        <v>75620</v>
      </c>
      <c r="BA363" s="23">
        <f t="shared" si="218"/>
        <v>78570.75</v>
      </c>
      <c r="BB363" s="43"/>
      <c r="BC363" s="51">
        <f t="shared" si="193"/>
        <v>79820</v>
      </c>
      <c r="BD363" s="52">
        <f t="shared" si="197"/>
        <v>78570.75</v>
      </c>
      <c r="BE363" s="37">
        <f t="shared" si="214"/>
        <v>1249.25</v>
      </c>
      <c r="BF363">
        <f t="shared" si="215"/>
        <v>1249.25</v>
      </c>
      <c r="BG363">
        <f t="shared" si="216"/>
        <v>1.5650839388624403E-2</v>
      </c>
    </row>
    <row r="364" spans="1:59">
      <c r="A364" s="1" t="s">
        <v>365</v>
      </c>
      <c r="B364" s="1">
        <v>72750</v>
      </c>
      <c r="Q364">
        <v>361</v>
      </c>
      <c r="R364" s="27" t="str">
        <f t="shared" si="194"/>
        <v>28/08/2024</v>
      </c>
      <c r="S364" s="27">
        <f t="shared" si="194"/>
        <v>78280</v>
      </c>
      <c r="T364" s="4" t="str">
        <f t="shared" si="195"/>
        <v>A7</v>
      </c>
      <c r="V364">
        <v>361</v>
      </c>
      <c r="W364" s="28" t="str">
        <f t="shared" si="192"/>
        <v>28/08/2024</v>
      </c>
      <c r="X364" s="28">
        <f t="shared" si="192"/>
        <v>78280</v>
      </c>
      <c r="Y364" s="28" t="str">
        <f t="shared" si="192"/>
        <v>A7</v>
      </c>
      <c r="Z364" s="5" t="str">
        <f t="shared" si="217"/>
        <v>A7</v>
      </c>
      <c r="AA364" s="5" t="str">
        <f t="shared" si="196"/>
        <v>A7</v>
      </c>
      <c r="AG364" s="49" t="str">
        <f t="shared" si="191"/>
        <v>28/08/2024</v>
      </c>
      <c r="AH364" s="46">
        <f t="shared" si="191"/>
        <v>78280</v>
      </c>
      <c r="AI364" s="49" t="str">
        <f t="shared" si="191"/>
        <v>A7</v>
      </c>
      <c r="AJ364" s="49" t="str">
        <f t="shared" si="198"/>
        <v>A7</v>
      </c>
      <c r="AK364" s="50">
        <f t="shared" si="189"/>
        <v>79891.5</v>
      </c>
      <c r="AL364" s="49" t="str">
        <f t="shared" si="211"/>
        <v>A7</v>
      </c>
      <c r="AM364" s="50">
        <f t="shared" si="199"/>
        <v>79891.5</v>
      </c>
      <c r="AN364" s="56">
        <f t="shared" si="212"/>
        <v>1090</v>
      </c>
      <c r="AO364" s="57">
        <f t="shared" si="213"/>
        <v>78825</v>
      </c>
      <c r="AP364" s="23">
        <f t="shared" si="200"/>
        <v>77735</v>
      </c>
      <c r="AQ364" s="23">
        <f t="shared" si="201"/>
        <v>79370</v>
      </c>
      <c r="AR364" s="23">
        <f t="shared" si="202"/>
        <v>77190</v>
      </c>
      <c r="AS364" s="23">
        <f t="shared" si="203"/>
        <v>78552.5</v>
      </c>
      <c r="AT364" s="23">
        <f t="shared" si="204"/>
        <v>78007.5</v>
      </c>
      <c r="AU364" s="23">
        <f t="shared" si="205"/>
        <v>80460</v>
      </c>
      <c r="AV364" s="23">
        <f t="shared" si="206"/>
        <v>76100</v>
      </c>
      <c r="AW364" s="23">
        <f t="shared" si="207"/>
        <v>78461.666666666672</v>
      </c>
      <c r="AX364" s="23">
        <f t="shared" si="208"/>
        <v>78098.333333333328</v>
      </c>
      <c r="AY364" s="23">
        <f t="shared" si="209"/>
        <v>81550</v>
      </c>
      <c r="AZ364" s="23">
        <f t="shared" si="210"/>
        <v>75010</v>
      </c>
      <c r="BA364" s="23">
        <f t="shared" si="218"/>
        <v>80205.75</v>
      </c>
      <c r="BB364" s="43"/>
      <c r="BC364" s="51">
        <f t="shared" si="193"/>
        <v>78280</v>
      </c>
      <c r="BD364" s="52">
        <f t="shared" si="197"/>
        <v>80205.75</v>
      </c>
      <c r="BE364" s="37">
        <f t="shared" si="214"/>
        <v>-1925.75</v>
      </c>
      <c r="BF364">
        <f t="shared" si="215"/>
        <v>1925.75</v>
      </c>
      <c r="BG364">
        <f t="shared" si="216"/>
        <v>2.4600792028615228E-2</v>
      </c>
    </row>
    <row r="365" spans="1:59">
      <c r="A365" s="1" t="s">
        <v>366</v>
      </c>
      <c r="B365" s="1">
        <v>74940</v>
      </c>
      <c r="Q365">
        <v>362</v>
      </c>
      <c r="R365" s="27" t="str">
        <f t="shared" si="194"/>
        <v>29/08/2024</v>
      </c>
      <c r="S365" s="27">
        <f t="shared" si="194"/>
        <v>75010</v>
      </c>
      <c r="T365" s="4" t="str">
        <f t="shared" si="195"/>
        <v>A6</v>
      </c>
      <c r="V365">
        <v>362</v>
      </c>
      <c r="W365" s="28" t="str">
        <f t="shared" si="192"/>
        <v>29/08/2024</v>
      </c>
      <c r="X365" s="28">
        <f t="shared" si="192"/>
        <v>75010</v>
      </c>
      <c r="Y365" s="28" t="str">
        <f t="shared" si="192"/>
        <v>A6</v>
      </c>
      <c r="Z365" s="5" t="str">
        <f t="shared" si="217"/>
        <v>A7</v>
      </c>
      <c r="AA365" s="5" t="str">
        <f t="shared" si="196"/>
        <v>A6</v>
      </c>
      <c r="AG365" s="49" t="str">
        <f t="shared" si="191"/>
        <v>29/08/2024</v>
      </c>
      <c r="AH365" s="46">
        <f t="shared" si="191"/>
        <v>75010</v>
      </c>
      <c r="AI365" s="49" t="str">
        <f t="shared" si="191"/>
        <v>A6</v>
      </c>
      <c r="AJ365" s="49" t="str">
        <f t="shared" si="198"/>
        <v>A7</v>
      </c>
      <c r="AK365" s="50">
        <f t="shared" si="189"/>
        <v>79891.5</v>
      </c>
      <c r="AL365" s="49" t="str">
        <f t="shared" si="211"/>
        <v>A6</v>
      </c>
      <c r="AM365" s="50">
        <f t="shared" si="199"/>
        <v>73860.5</v>
      </c>
      <c r="AN365" s="56">
        <f t="shared" si="212"/>
        <v>1730</v>
      </c>
      <c r="AO365" s="57">
        <f t="shared" si="213"/>
        <v>75875</v>
      </c>
      <c r="AP365" s="23">
        <f t="shared" si="200"/>
        <v>74145</v>
      </c>
      <c r="AQ365" s="23">
        <f t="shared" si="201"/>
        <v>76740</v>
      </c>
      <c r="AR365" s="23">
        <f t="shared" si="202"/>
        <v>73280</v>
      </c>
      <c r="AS365" s="23">
        <f t="shared" si="203"/>
        <v>75442.5</v>
      </c>
      <c r="AT365" s="23">
        <f t="shared" si="204"/>
        <v>74577.5</v>
      </c>
      <c r="AU365" s="23">
        <f t="shared" si="205"/>
        <v>78470</v>
      </c>
      <c r="AV365" s="23">
        <f t="shared" si="206"/>
        <v>71550</v>
      </c>
      <c r="AW365" s="23">
        <f t="shared" si="207"/>
        <v>75298.333333333328</v>
      </c>
      <c r="AX365" s="23">
        <f t="shared" si="208"/>
        <v>74721.666666666672</v>
      </c>
      <c r="AY365" s="23">
        <f t="shared" si="209"/>
        <v>80200</v>
      </c>
      <c r="AZ365" s="23">
        <f t="shared" si="210"/>
        <v>69820</v>
      </c>
      <c r="BA365" s="23">
        <f t="shared" si="218"/>
        <v>79358.25</v>
      </c>
      <c r="BB365" s="43"/>
      <c r="BC365" s="51">
        <f t="shared" si="193"/>
        <v>75010</v>
      </c>
      <c r="BD365" s="52">
        <f t="shared" si="197"/>
        <v>79358.25</v>
      </c>
      <c r="BE365" s="37">
        <f t="shared" si="214"/>
        <v>-4348.25</v>
      </c>
      <c r="BF365">
        <f t="shared" si="215"/>
        <v>4348.25</v>
      </c>
      <c r="BG365">
        <f t="shared" si="216"/>
        <v>5.7968937475003333E-2</v>
      </c>
    </row>
    <row r="366" spans="1:59">
      <c r="A366" s="1" t="s">
        <v>367</v>
      </c>
      <c r="B366" s="1">
        <v>74940</v>
      </c>
      <c r="Q366">
        <v>363</v>
      </c>
      <c r="R366" s="27" t="str">
        <f t="shared" si="194"/>
        <v>30/08/2024</v>
      </c>
      <c r="S366" s="27">
        <f t="shared" si="194"/>
        <v>72750</v>
      </c>
      <c r="T366" s="4" t="str">
        <f t="shared" si="195"/>
        <v>A6</v>
      </c>
      <c r="V366">
        <v>363</v>
      </c>
      <c r="W366" s="28" t="str">
        <f t="shared" si="192"/>
        <v>30/08/2024</v>
      </c>
      <c r="X366" s="28">
        <f t="shared" si="192"/>
        <v>72750</v>
      </c>
      <c r="Y366" s="28" t="str">
        <f t="shared" si="192"/>
        <v>A6</v>
      </c>
      <c r="Z366" s="5" t="str">
        <f t="shared" si="217"/>
        <v>A6</v>
      </c>
      <c r="AA366" s="5" t="str">
        <f t="shared" si="196"/>
        <v>A6</v>
      </c>
      <c r="AG366" s="49" t="str">
        <f t="shared" si="191"/>
        <v>30/08/2024</v>
      </c>
      <c r="AH366" s="46">
        <f t="shared" si="191"/>
        <v>72750</v>
      </c>
      <c r="AI366" s="49" t="str">
        <f t="shared" si="191"/>
        <v>A6</v>
      </c>
      <c r="AJ366" s="49" t="str">
        <f t="shared" si="198"/>
        <v>A6</v>
      </c>
      <c r="AK366" s="50">
        <f t="shared" si="189"/>
        <v>73860.5</v>
      </c>
      <c r="AL366" s="49" t="str">
        <f t="shared" si="211"/>
        <v>A6</v>
      </c>
      <c r="AM366" s="50">
        <f t="shared" si="199"/>
        <v>73860.5</v>
      </c>
      <c r="AN366" s="56">
        <f t="shared" si="212"/>
        <v>1010</v>
      </c>
      <c r="AO366" s="57">
        <f t="shared" si="213"/>
        <v>73255</v>
      </c>
      <c r="AP366" s="23">
        <f t="shared" si="200"/>
        <v>72245</v>
      </c>
      <c r="AQ366" s="23">
        <f t="shared" si="201"/>
        <v>73760</v>
      </c>
      <c r="AR366" s="23">
        <f t="shared" si="202"/>
        <v>71740</v>
      </c>
      <c r="AS366" s="23">
        <f t="shared" si="203"/>
        <v>73002.5</v>
      </c>
      <c r="AT366" s="23">
        <f t="shared" si="204"/>
        <v>72497.5</v>
      </c>
      <c r="AU366" s="23">
        <f t="shared" si="205"/>
        <v>74770</v>
      </c>
      <c r="AV366" s="23">
        <f t="shared" si="206"/>
        <v>70730</v>
      </c>
      <c r="AW366" s="23">
        <f t="shared" si="207"/>
        <v>72918.333333333328</v>
      </c>
      <c r="AX366" s="23">
        <f t="shared" si="208"/>
        <v>72581.666666666672</v>
      </c>
      <c r="AY366" s="23">
        <f t="shared" si="209"/>
        <v>75780</v>
      </c>
      <c r="AZ366" s="23">
        <f t="shared" si="210"/>
        <v>69720</v>
      </c>
      <c r="BA366" s="23">
        <f t="shared" si="218"/>
        <v>74867.75</v>
      </c>
      <c r="BB366" s="43"/>
      <c r="BC366" s="51">
        <f t="shared" si="193"/>
        <v>72750</v>
      </c>
      <c r="BD366" s="52">
        <f t="shared" si="197"/>
        <v>74867.75</v>
      </c>
      <c r="BE366" s="37">
        <f t="shared" si="214"/>
        <v>-2117.75</v>
      </c>
      <c r="BF366">
        <f t="shared" si="215"/>
        <v>2117.75</v>
      </c>
      <c r="BG366">
        <f t="shared" si="216"/>
        <v>2.9109965635738831E-2</v>
      </c>
    </row>
    <row r="367" spans="1:59">
      <c r="A367" s="1" t="s">
        <v>368</v>
      </c>
      <c r="B367" s="1">
        <v>73060</v>
      </c>
      <c r="Q367">
        <v>364</v>
      </c>
      <c r="R367" s="27" t="str">
        <f t="shared" si="194"/>
        <v>31/08/2024</v>
      </c>
      <c r="S367" s="27">
        <f t="shared" si="194"/>
        <v>74940</v>
      </c>
      <c r="T367" s="4" t="str">
        <f t="shared" si="195"/>
        <v>A6</v>
      </c>
      <c r="V367">
        <v>364</v>
      </c>
      <c r="W367" s="28" t="str">
        <f t="shared" si="192"/>
        <v>31/08/2024</v>
      </c>
      <c r="X367" s="28">
        <f t="shared" si="192"/>
        <v>74940</v>
      </c>
      <c r="Y367" s="28" t="str">
        <f t="shared" si="192"/>
        <v>A6</v>
      </c>
      <c r="Z367" s="5" t="str">
        <f t="shared" si="217"/>
        <v>A6</v>
      </c>
      <c r="AA367" s="5" t="str">
        <f t="shared" si="196"/>
        <v>A6</v>
      </c>
      <c r="AG367" s="49" t="str">
        <f t="shared" si="191"/>
        <v>31/08/2024</v>
      </c>
      <c r="AH367" s="46">
        <f t="shared" si="191"/>
        <v>74940</v>
      </c>
      <c r="AI367" s="49" t="str">
        <f t="shared" si="191"/>
        <v>A6</v>
      </c>
      <c r="AJ367" s="49" t="str">
        <f t="shared" si="198"/>
        <v>A6</v>
      </c>
      <c r="AK367" s="50">
        <f t="shared" si="189"/>
        <v>73860.5</v>
      </c>
      <c r="AL367" s="49" t="str">
        <f t="shared" si="211"/>
        <v>A6</v>
      </c>
      <c r="AM367" s="50">
        <f t="shared" si="199"/>
        <v>73860.5</v>
      </c>
      <c r="AN367" s="56">
        <f t="shared" si="212"/>
        <v>70</v>
      </c>
      <c r="AO367" s="57">
        <f t="shared" si="213"/>
        <v>74975</v>
      </c>
      <c r="AP367" s="23">
        <f t="shared" si="200"/>
        <v>74905</v>
      </c>
      <c r="AQ367" s="23">
        <f t="shared" si="201"/>
        <v>75010</v>
      </c>
      <c r="AR367" s="23">
        <f t="shared" si="202"/>
        <v>74870</v>
      </c>
      <c r="AS367" s="23">
        <f t="shared" si="203"/>
        <v>74957.5</v>
      </c>
      <c r="AT367" s="23">
        <f t="shared" si="204"/>
        <v>74922.5</v>
      </c>
      <c r="AU367" s="23">
        <f t="shared" si="205"/>
        <v>75080</v>
      </c>
      <c r="AV367" s="23">
        <f t="shared" si="206"/>
        <v>74800</v>
      </c>
      <c r="AW367" s="23">
        <f t="shared" si="207"/>
        <v>74951.666666666672</v>
      </c>
      <c r="AX367" s="23">
        <f t="shared" si="208"/>
        <v>74928.333333333328</v>
      </c>
      <c r="AY367" s="23">
        <f t="shared" si="209"/>
        <v>75150</v>
      </c>
      <c r="AZ367" s="23">
        <f t="shared" si="210"/>
        <v>74730</v>
      </c>
      <c r="BA367" s="23">
        <f t="shared" si="218"/>
        <v>73557.75</v>
      </c>
      <c r="BB367" s="43"/>
      <c r="BC367" s="51">
        <f t="shared" si="193"/>
        <v>74940</v>
      </c>
      <c r="BD367" s="52">
        <f t="shared" si="197"/>
        <v>73557.75</v>
      </c>
      <c r="BE367" s="37">
        <f t="shared" si="214"/>
        <v>1382.25</v>
      </c>
      <c r="BF367">
        <f t="shared" si="215"/>
        <v>1382.25</v>
      </c>
      <c r="BG367">
        <f t="shared" si="216"/>
        <v>1.8444755804643716E-2</v>
      </c>
    </row>
    <row r="368" spans="1:59">
      <c r="A368" s="1" t="s">
        <v>369</v>
      </c>
      <c r="B368" s="1">
        <v>75620</v>
      </c>
      <c r="Q368">
        <v>365</v>
      </c>
      <c r="R368" s="27" t="str">
        <f t="shared" si="194"/>
        <v>01/09/2024</v>
      </c>
      <c r="S368" s="27">
        <f t="shared" si="194"/>
        <v>74940</v>
      </c>
      <c r="T368" s="4" t="str">
        <f t="shared" si="195"/>
        <v>A6</v>
      </c>
      <c r="V368">
        <v>365</v>
      </c>
      <c r="W368" s="28" t="str">
        <f t="shared" si="192"/>
        <v>01/09/2024</v>
      </c>
      <c r="X368" s="28">
        <f t="shared" si="192"/>
        <v>74940</v>
      </c>
      <c r="Y368" s="28" t="str">
        <f t="shared" si="192"/>
        <v>A6</v>
      </c>
      <c r="Z368" s="5" t="str">
        <f t="shared" si="217"/>
        <v>A6</v>
      </c>
      <c r="AA368" s="5" t="str">
        <f t="shared" si="196"/>
        <v>A6</v>
      </c>
      <c r="AG368" s="49" t="str">
        <f t="shared" si="191"/>
        <v>01/09/2024</v>
      </c>
      <c r="AH368" s="46">
        <f t="shared" si="191"/>
        <v>74940</v>
      </c>
      <c r="AI368" s="49" t="str">
        <f t="shared" si="191"/>
        <v>A6</v>
      </c>
      <c r="AJ368" s="49" t="str">
        <f t="shared" si="198"/>
        <v>A6</v>
      </c>
      <c r="AK368" s="50">
        <f t="shared" si="189"/>
        <v>73860.5</v>
      </c>
      <c r="AL368" s="49" t="str">
        <f t="shared" si="211"/>
        <v>A6</v>
      </c>
      <c r="AM368" s="50">
        <f t="shared" si="199"/>
        <v>73860.5</v>
      </c>
      <c r="AN368" s="56">
        <f t="shared" si="212"/>
        <v>2190</v>
      </c>
      <c r="AO368" s="57">
        <f t="shared" si="213"/>
        <v>76035</v>
      </c>
      <c r="AP368" s="23">
        <f t="shared" si="200"/>
        <v>73845</v>
      </c>
      <c r="AQ368" s="23">
        <f t="shared" si="201"/>
        <v>77130</v>
      </c>
      <c r="AR368" s="23">
        <f t="shared" si="202"/>
        <v>72750</v>
      </c>
      <c r="AS368" s="23">
        <f t="shared" si="203"/>
        <v>75487.5</v>
      </c>
      <c r="AT368" s="23">
        <f t="shared" si="204"/>
        <v>74392.5</v>
      </c>
      <c r="AU368" s="23">
        <f t="shared" si="205"/>
        <v>79320</v>
      </c>
      <c r="AV368" s="23">
        <f t="shared" si="206"/>
        <v>70560</v>
      </c>
      <c r="AW368" s="23">
        <f t="shared" si="207"/>
        <v>75305</v>
      </c>
      <c r="AX368" s="23">
        <f t="shared" si="208"/>
        <v>74575</v>
      </c>
      <c r="AY368" s="23">
        <f t="shared" si="209"/>
        <v>81510</v>
      </c>
      <c r="AZ368" s="23">
        <f t="shared" si="210"/>
        <v>68370</v>
      </c>
      <c r="BA368" s="23">
        <f t="shared" si="218"/>
        <v>74417.75</v>
      </c>
      <c r="BB368" s="43"/>
      <c r="BC368" s="51">
        <f t="shared" si="193"/>
        <v>74940</v>
      </c>
      <c r="BD368" s="52">
        <f t="shared" si="197"/>
        <v>74417.75</v>
      </c>
      <c r="BE368" s="37">
        <f t="shared" si="214"/>
        <v>522.25</v>
      </c>
      <c r="BF368">
        <f t="shared" si="215"/>
        <v>522.25</v>
      </c>
      <c r="BG368">
        <f t="shared" si="216"/>
        <v>6.9689084601014147E-3</v>
      </c>
    </row>
    <row r="369" spans="1:59">
      <c r="A369" s="1" t="s">
        <v>370</v>
      </c>
      <c r="B369" s="1">
        <v>74340</v>
      </c>
      <c r="Q369">
        <v>366</v>
      </c>
      <c r="R369" s="27" t="str">
        <f t="shared" si="194"/>
        <v>02/09/2024</v>
      </c>
      <c r="S369" s="27">
        <f t="shared" si="194"/>
        <v>73060</v>
      </c>
      <c r="T369" s="4" t="str">
        <f t="shared" si="195"/>
        <v>A6</v>
      </c>
      <c r="V369">
        <v>366</v>
      </c>
      <c r="W369" s="28" t="str">
        <f t="shared" si="192"/>
        <v>02/09/2024</v>
      </c>
      <c r="X369" s="28">
        <f t="shared" si="192"/>
        <v>73060</v>
      </c>
      <c r="Y369" s="28" t="str">
        <f t="shared" si="192"/>
        <v>A6</v>
      </c>
      <c r="Z369" s="5" t="str">
        <f t="shared" si="217"/>
        <v>A6</v>
      </c>
      <c r="AA369" s="5" t="str">
        <f t="shared" si="196"/>
        <v>A6</v>
      </c>
      <c r="AG369" s="49" t="str">
        <f t="shared" si="191"/>
        <v>02/09/2024</v>
      </c>
      <c r="AH369" s="46">
        <f t="shared" si="191"/>
        <v>73060</v>
      </c>
      <c r="AI369" s="49" t="str">
        <f t="shared" si="191"/>
        <v>A6</v>
      </c>
      <c r="AJ369" s="49" t="str">
        <f t="shared" si="198"/>
        <v>A6</v>
      </c>
      <c r="AK369" s="50">
        <f t="shared" si="189"/>
        <v>73860.5</v>
      </c>
      <c r="AL369" s="49" t="str">
        <f t="shared" si="211"/>
        <v>A6</v>
      </c>
      <c r="AM369" s="50">
        <f t="shared" si="199"/>
        <v>73860.5</v>
      </c>
      <c r="AN369" s="56">
        <f t="shared" si="212"/>
        <v>1880</v>
      </c>
      <c r="AO369" s="57">
        <f t="shared" si="213"/>
        <v>74000</v>
      </c>
      <c r="AP369" s="23">
        <f t="shared" si="200"/>
        <v>72120</v>
      </c>
      <c r="AQ369" s="23">
        <f t="shared" si="201"/>
        <v>74940</v>
      </c>
      <c r="AR369" s="23">
        <f t="shared" si="202"/>
        <v>71180</v>
      </c>
      <c r="AS369" s="23">
        <f t="shared" si="203"/>
        <v>73530</v>
      </c>
      <c r="AT369" s="23">
        <f t="shared" si="204"/>
        <v>72590</v>
      </c>
      <c r="AU369" s="23">
        <f t="shared" si="205"/>
        <v>76820</v>
      </c>
      <c r="AV369" s="23">
        <f t="shared" si="206"/>
        <v>69300</v>
      </c>
      <c r="AW369" s="23">
        <f t="shared" si="207"/>
        <v>73373.333333333328</v>
      </c>
      <c r="AX369" s="23">
        <f t="shared" si="208"/>
        <v>72746.666666666672</v>
      </c>
      <c r="AY369" s="23">
        <f t="shared" si="209"/>
        <v>78700</v>
      </c>
      <c r="AZ369" s="23">
        <f t="shared" si="210"/>
        <v>67420</v>
      </c>
      <c r="BA369" s="23">
        <f t="shared" si="218"/>
        <v>74947.75</v>
      </c>
      <c r="BB369" s="43"/>
      <c r="BC369" s="51">
        <f t="shared" si="193"/>
        <v>73060</v>
      </c>
      <c r="BD369" s="52">
        <f t="shared" si="197"/>
        <v>74947.75</v>
      </c>
      <c r="BE369" s="37">
        <f t="shared" si="214"/>
        <v>-1887.75</v>
      </c>
      <c r="BF369">
        <f t="shared" si="215"/>
        <v>1887.75</v>
      </c>
      <c r="BG369">
        <f t="shared" si="216"/>
        <v>2.5838352039419653E-2</v>
      </c>
    </row>
    <row r="370" spans="1:59">
      <c r="A370" s="1" t="s">
        <v>371</v>
      </c>
      <c r="B370" s="1">
        <v>75110</v>
      </c>
      <c r="Q370">
        <v>367</v>
      </c>
      <c r="R370" s="27" t="str">
        <f t="shared" si="194"/>
        <v>03/09/2024</v>
      </c>
      <c r="S370" s="27">
        <f t="shared" si="194"/>
        <v>75620</v>
      </c>
      <c r="T370" s="4" t="str">
        <f t="shared" si="195"/>
        <v>A6</v>
      </c>
      <c r="V370">
        <v>367</v>
      </c>
      <c r="W370" s="28" t="str">
        <f t="shared" si="192"/>
        <v>03/09/2024</v>
      </c>
      <c r="X370" s="28">
        <f t="shared" si="192"/>
        <v>75620</v>
      </c>
      <c r="Y370" s="28" t="str">
        <f t="shared" si="192"/>
        <v>A6</v>
      </c>
      <c r="Z370" s="5" t="str">
        <f t="shared" si="217"/>
        <v>A6</v>
      </c>
      <c r="AA370" s="5" t="str">
        <f t="shared" si="196"/>
        <v>A6</v>
      </c>
      <c r="AG370" s="49" t="str">
        <f t="shared" si="191"/>
        <v>03/09/2024</v>
      </c>
      <c r="AH370" s="46">
        <f t="shared" si="191"/>
        <v>75620</v>
      </c>
      <c r="AI370" s="49" t="str">
        <f t="shared" si="191"/>
        <v>A6</v>
      </c>
      <c r="AJ370" s="49" t="str">
        <f t="shared" si="198"/>
        <v>A6</v>
      </c>
      <c r="AK370" s="50">
        <f t="shared" si="189"/>
        <v>73860.5</v>
      </c>
      <c r="AL370" s="49" t="str">
        <f t="shared" si="211"/>
        <v>A6</v>
      </c>
      <c r="AM370" s="50">
        <f t="shared" si="199"/>
        <v>73860.5</v>
      </c>
      <c r="AN370" s="56">
        <f t="shared" si="212"/>
        <v>680</v>
      </c>
      <c r="AO370" s="57">
        <f t="shared" si="213"/>
        <v>75960</v>
      </c>
      <c r="AP370" s="23">
        <f t="shared" si="200"/>
        <v>75280</v>
      </c>
      <c r="AQ370" s="23">
        <f t="shared" si="201"/>
        <v>76300</v>
      </c>
      <c r="AR370" s="23">
        <f t="shared" si="202"/>
        <v>74940</v>
      </c>
      <c r="AS370" s="23">
        <f t="shared" si="203"/>
        <v>75790</v>
      </c>
      <c r="AT370" s="23">
        <f t="shared" si="204"/>
        <v>75450</v>
      </c>
      <c r="AU370" s="23">
        <f t="shared" si="205"/>
        <v>76980</v>
      </c>
      <c r="AV370" s="23">
        <f t="shared" si="206"/>
        <v>74260</v>
      </c>
      <c r="AW370" s="23">
        <f t="shared" si="207"/>
        <v>75733.333333333328</v>
      </c>
      <c r="AX370" s="23">
        <f t="shared" si="208"/>
        <v>75506.666666666672</v>
      </c>
      <c r="AY370" s="23">
        <f t="shared" si="209"/>
        <v>77660</v>
      </c>
      <c r="AZ370" s="23">
        <f t="shared" si="210"/>
        <v>73580</v>
      </c>
      <c r="BA370" s="23">
        <f t="shared" si="218"/>
        <v>73930.25</v>
      </c>
      <c r="BB370" s="43"/>
      <c r="BC370" s="51">
        <f t="shared" si="193"/>
        <v>75620</v>
      </c>
      <c r="BD370" s="52">
        <f t="shared" si="197"/>
        <v>73930.25</v>
      </c>
      <c r="BE370" s="37">
        <f t="shared" si="214"/>
        <v>1689.75</v>
      </c>
      <c r="BF370">
        <f t="shared" si="215"/>
        <v>1689.75</v>
      </c>
      <c r="BG370">
        <f t="shared" si="216"/>
        <v>2.234527902671251E-2</v>
      </c>
    </row>
    <row r="371" spans="1:59">
      <c r="A371" s="1" t="s">
        <v>372</v>
      </c>
      <c r="B371" s="1">
        <v>72860</v>
      </c>
      <c r="Q371">
        <v>368</v>
      </c>
      <c r="R371" s="27" t="str">
        <f t="shared" si="194"/>
        <v>04/09/2024</v>
      </c>
      <c r="S371" s="27">
        <f t="shared" si="194"/>
        <v>74340</v>
      </c>
      <c r="T371" s="4" t="str">
        <f t="shared" si="195"/>
        <v>A6</v>
      </c>
      <c r="V371">
        <v>368</v>
      </c>
      <c r="W371" s="28" t="str">
        <f t="shared" si="192"/>
        <v>04/09/2024</v>
      </c>
      <c r="X371" s="28">
        <f t="shared" si="192"/>
        <v>74340</v>
      </c>
      <c r="Y371" s="28" t="str">
        <f t="shared" si="192"/>
        <v>A6</v>
      </c>
      <c r="Z371" s="5" t="str">
        <f t="shared" si="217"/>
        <v>A6</v>
      </c>
      <c r="AA371" s="5" t="str">
        <f t="shared" si="196"/>
        <v>A6</v>
      </c>
      <c r="AG371" s="49" t="str">
        <f t="shared" si="191"/>
        <v>04/09/2024</v>
      </c>
      <c r="AH371" s="46">
        <f t="shared" si="191"/>
        <v>74340</v>
      </c>
      <c r="AI371" s="49" t="str">
        <f t="shared" si="191"/>
        <v>A6</v>
      </c>
      <c r="AJ371" s="49" t="str">
        <f t="shared" si="198"/>
        <v>A6</v>
      </c>
      <c r="AK371" s="50">
        <f t="shared" ref="AK371:AK386" si="219">VLOOKUP(AJ371,$AC$18:$AD$27,2,FALSE)</f>
        <v>73860.5</v>
      </c>
      <c r="AL371" s="49" t="str">
        <f t="shared" si="211"/>
        <v>A6</v>
      </c>
      <c r="AM371" s="50">
        <f t="shared" si="199"/>
        <v>73860.5</v>
      </c>
      <c r="AN371" s="56">
        <f t="shared" si="212"/>
        <v>1280</v>
      </c>
      <c r="AO371" s="57">
        <f t="shared" si="213"/>
        <v>74980</v>
      </c>
      <c r="AP371" s="23">
        <f t="shared" si="200"/>
        <v>73700</v>
      </c>
      <c r="AQ371" s="23">
        <f t="shared" si="201"/>
        <v>75620</v>
      </c>
      <c r="AR371" s="23">
        <f t="shared" si="202"/>
        <v>73060</v>
      </c>
      <c r="AS371" s="23">
        <f t="shared" si="203"/>
        <v>74660</v>
      </c>
      <c r="AT371" s="23">
        <f t="shared" si="204"/>
        <v>74020</v>
      </c>
      <c r="AU371" s="23">
        <f t="shared" si="205"/>
        <v>76900</v>
      </c>
      <c r="AV371" s="23">
        <f t="shared" si="206"/>
        <v>71780</v>
      </c>
      <c r="AW371" s="23">
        <f t="shared" si="207"/>
        <v>74553.333333333328</v>
      </c>
      <c r="AX371" s="23">
        <f t="shared" si="208"/>
        <v>74126.666666666672</v>
      </c>
      <c r="AY371" s="23">
        <f t="shared" si="209"/>
        <v>78180</v>
      </c>
      <c r="AZ371" s="23">
        <f t="shared" si="210"/>
        <v>70500</v>
      </c>
      <c r="BA371" s="23">
        <f t="shared" si="218"/>
        <v>74910.25</v>
      </c>
      <c r="BB371" s="43"/>
      <c r="BC371" s="51">
        <f t="shared" si="193"/>
        <v>74340</v>
      </c>
      <c r="BD371" s="52">
        <f t="shared" si="197"/>
        <v>74910.25</v>
      </c>
      <c r="BE371" s="37">
        <f t="shared" si="214"/>
        <v>-570.25</v>
      </c>
      <c r="BF371">
        <f t="shared" si="215"/>
        <v>570.25</v>
      </c>
      <c r="BG371">
        <f t="shared" si="216"/>
        <v>7.6708366962604255E-3</v>
      </c>
    </row>
    <row r="372" spans="1:59">
      <c r="A372" s="1" t="s">
        <v>373</v>
      </c>
      <c r="B372" s="1">
        <v>72100</v>
      </c>
      <c r="Q372">
        <v>369</v>
      </c>
      <c r="R372" s="27" t="str">
        <f t="shared" si="194"/>
        <v>05/09/2024</v>
      </c>
      <c r="S372" s="27">
        <f t="shared" si="194"/>
        <v>75110</v>
      </c>
      <c r="T372" s="4" t="str">
        <f t="shared" si="195"/>
        <v>A6</v>
      </c>
      <c r="V372">
        <v>369</v>
      </c>
      <c r="W372" s="28" t="str">
        <f t="shared" si="192"/>
        <v>05/09/2024</v>
      </c>
      <c r="X372" s="28">
        <f t="shared" si="192"/>
        <v>75110</v>
      </c>
      <c r="Y372" s="28" t="str">
        <f t="shared" si="192"/>
        <v>A6</v>
      </c>
      <c r="Z372" s="5" t="str">
        <f t="shared" si="217"/>
        <v>A6</v>
      </c>
      <c r="AA372" s="5" t="str">
        <f t="shared" si="196"/>
        <v>A6</v>
      </c>
      <c r="AG372" s="49" t="str">
        <f t="shared" si="191"/>
        <v>05/09/2024</v>
      </c>
      <c r="AH372" s="46">
        <f t="shared" si="191"/>
        <v>75110</v>
      </c>
      <c r="AI372" s="49" t="str">
        <f t="shared" si="191"/>
        <v>A6</v>
      </c>
      <c r="AJ372" s="49" t="str">
        <f t="shared" si="198"/>
        <v>A6</v>
      </c>
      <c r="AK372" s="50">
        <f t="shared" si="219"/>
        <v>73860.5</v>
      </c>
      <c r="AL372" s="49" t="str">
        <f t="shared" si="211"/>
        <v>A6</v>
      </c>
      <c r="AM372" s="50">
        <f t="shared" si="199"/>
        <v>73860.5</v>
      </c>
      <c r="AN372" s="56">
        <f t="shared" si="212"/>
        <v>510</v>
      </c>
      <c r="AO372" s="57">
        <f t="shared" si="213"/>
        <v>75365</v>
      </c>
      <c r="AP372" s="23">
        <f t="shared" si="200"/>
        <v>74855</v>
      </c>
      <c r="AQ372" s="23">
        <f t="shared" si="201"/>
        <v>75620</v>
      </c>
      <c r="AR372" s="23">
        <f t="shared" si="202"/>
        <v>74600</v>
      </c>
      <c r="AS372" s="23">
        <f t="shared" si="203"/>
        <v>75237.5</v>
      </c>
      <c r="AT372" s="23">
        <f t="shared" si="204"/>
        <v>74982.5</v>
      </c>
      <c r="AU372" s="23">
        <f t="shared" si="205"/>
        <v>76130</v>
      </c>
      <c r="AV372" s="23">
        <f t="shared" si="206"/>
        <v>74090</v>
      </c>
      <c r="AW372" s="23">
        <f t="shared" si="207"/>
        <v>75195</v>
      </c>
      <c r="AX372" s="23">
        <f t="shared" si="208"/>
        <v>75025</v>
      </c>
      <c r="AY372" s="23">
        <f t="shared" si="209"/>
        <v>76640</v>
      </c>
      <c r="AZ372" s="23">
        <f t="shared" si="210"/>
        <v>73580</v>
      </c>
      <c r="BA372" s="23">
        <f t="shared" si="218"/>
        <v>74420.25</v>
      </c>
      <c r="BB372" s="43"/>
      <c r="BC372" s="51">
        <f t="shared" si="193"/>
        <v>75110</v>
      </c>
      <c r="BD372" s="52">
        <f t="shared" si="197"/>
        <v>74420.25</v>
      </c>
      <c r="BE372" s="37">
        <f t="shared" si="214"/>
        <v>689.75</v>
      </c>
      <c r="BF372">
        <f t="shared" si="215"/>
        <v>689.75</v>
      </c>
      <c r="BG372">
        <f t="shared" si="216"/>
        <v>9.183197976301424E-3</v>
      </c>
    </row>
    <row r="373" spans="1:59">
      <c r="A373" s="1" t="s">
        <v>374</v>
      </c>
      <c r="B373" s="1">
        <v>71600</v>
      </c>
      <c r="Q373">
        <v>370</v>
      </c>
      <c r="R373" s="27" t="str">
        <f t="shared" si="194"/>
        <v>06/09/2024</v>
      </c>
      <c r="S373" s="27">
        <f t="shared" si="194"/>
        <v>72860</v>
      </c>
      <c r="T373" s="4" t="str">
        <f t="shared" si="195"/>
        <v>A6</v>
      </c>
      <c r="V373">
        <v>370</v>
      </c>
      <c r="W373" s="28" t="str">
        <f t="shared" si="192"/>
        <v>06/09/2024</v>
      </c>
      <c r="X373" s="28">
        <f t="shared" si="192"/>
        <v>72860</v>
      </c>
      <c r="Y373" s="28" t="str">
        <f t="shared" si="192"/>
        <v>A6</v>
      </c>
      <c r="Z373" s="5" t="str">
        <f t="shared" si="217"/>
        <v>A6</v>
      </c>
      <c r="AA373" s="5" t="str">
        <f t="shared" si="196"/>
        <v>A6</v>
      </c>
      <c r="AG373" s="49" t="str">
        <f t="shared" si="191"/>
        <v>06/09/2024</v>
      </c>
      <c r="AH373" s="46">
        <f t="shared" si="191"/>
        <v>72860</v>
      </c>
      <c r="AI373" s="49" t="str">
        <f t="shared" si="191"/>
        <v>A6</v>
      </c>
      <c r="AJ373" s="49" t="str">
        <f t="shared" si="198"/>
        <v>A6</v>
      </c>
      <c r="AK373" s="50">
        <f t="shared" si="219"/>
        <v>73860.5</v>
      </c>
      <c r="AL373" s="49" t="str">
        <f t="shared" si="211"/>
        <v>A6</v>
      </c>
      <c r="AM373" s="50">
        <f t="shared" si="199"/>
        <v>73860.5</v>
      </c>
      <c r="AN373" s="56">
        <f t="shared" si="212"/>
        <v>1480</v>
      </c>
      <c r="AO373" s="57">
        <f t="shared" si="213"/>
        <v>73600</v>
      </c>
      <c r="AP373" s="23">
        <f t="shared" si="200"/>
        <v>72120</v>
      </c>
      <c r="AQ373" s="23">
        <f t="shared" si="201"/>
        <v>74340</v>
      </c>
      <c r="AR373" s="23">
        <f t="shared" si="202"/>
        <v>71380</v>
      </c>
      <c r="AS373" s="23">
        <f t="shared" si="203"/>
        <v>73230</v>
      </c>
      <c r="AT373" s="23">
        <f t="shared" si="204"/>
        <v>72490</v>
      </c>
      <c r="AU373" s="23">
        <f t="shared" si="205"/>
        <v>75820</v>
      </c>
      <c r="AV373" s="23">
        <f t="shared" si="206"/>
        <v>69900</v>
      </c>
      <c r="AW373" s="23">
        <f t="shared" si="207"/>
        <v>73106.666666666672</v>
      </c>
      <c r="AX373" s="23">
        <f t="shared" si="208"/>
        <v>72613.333333333328</v>
      </c>
      <c r="AY373" s="23">
        <f t="shared" si="209"/>
        <v>77300</v>
      </c>
      <c r="AZ373" s="23">
        <f t="shared" si="210"/>
        <v>68420</v>
      </c>
      <c r="BA373" s="23">
        <f t="shared" si="218"/>
        <v>74612.75</v>
      </c>
      <c r="BB373" s="43"/>
      <c r="BC373" s="51">
        <f t="shared" si="193"/>
        <v>72860</v>
      </c>
      <c r="BD373" s="52">
        <f t="shared" si="197"/>
        <v>74612.75</v>
      </c>
      <c r="BE373" s="37">
        <f t="shared" si="214"/>
        <v>-1752.75</v>
      </c>
      <c r="BF373">
        <f t="shared" si="215"/>
        <v>1752.75</v>
      </c>
      <c r="BG373">
        <f t="shared" si="216"/>
        <v>2.4056409552566566E-2</v>
      </c>
    </row>
    <row r="374" spans="1:59">
      <c r="A374" s="1" t="s">
        <v>375</v>
      </c>
      <c r="B374" s="1">
        <v>72430</v>
      </c>
      <c r="Q374">
        <v>371</v>
      </c>
      <c r="R374" s="27" t="str">
        <f t="shared" si="194"/>
        <v>07/09/2024</v>
      </c>
      <c r="S374" s="27">
        <f t="shared" si="194"/>
        <v>72100</v>
      </c>
      <c r="T374" s="4" t="str">
        <f t="shared" si="195"/>
        <v>A6</v>
      </c>
      <c r="V374">
        <v>371</v>
      </c>
      <c r="W374" s="28" t="str">
        <f t="shared" si="192"/>
        <v>07/09/2024</v>
      </c>
      <c r="X374" s="28">
        <f t="shared" si="192"/>
        <v>72100</v>
      </c>
      <c r="Y374" s="28" t="str">
        <f t="shared" si="192"/>
        <v>A6</v>
      </c>
      <c r="Z374" s="5" t="str">
        <f t="shared" si="217"/>
        <v>A6</v>
      </c>
      <c r="AA374" s="5" t="str">
        <f t="shared" si="196"/>
        <v>A6</v>
      </c>
      <c r="AG374" s="49" t="str">
        <f t="shared" si="191"/>
        <v>07/09/2024</v>
      </c>
      <c r="AH374" s="46">
        <f t="shared" si="191"/>
        <v>72100</v>
      </c>
      <c r="AI374" s="49" t="str">
        <f t="shared" si="191"/>
        <v>A6</v>
      </c>
      <c r="AJ374" s="49" t="str">
        <f t="shared" si="198"/>
        <v>A6</v>
      </c>
      <c r="AK374" s="50">
        <f t="shared" si="219"/>
        <v>73860.5</v>
      </c>
      <c r="AL374" s="49" t="str">
        <f t="shared" si="211"/>
        <v>A6</v>
      </c>
      <c r="AM374" s="50">
        <f t="shared" si="199"/>
        <v>73860.5</v>
      </c>
      <c r="AN374" s="56">
        <f t="shared" si="212"/>
        <v>1490</v>
      </c>
      <c r="AO374" s="57">
        <f t="shared" si="213"/>
        <v>72845</v>
      </c>
      <c r="AP374" s="23">
        <f t="shared" si="200"/>
        <v>71355</v>
      </c>
      <c r="AQ374" s="23">
        <f t="shared" si="201"/>
        <v>73590</v>
      </c>
      <c r="AR374" s="23">
        <f t="shared" si="202"/>
        <v>70610</v>
      </c>
      <c r="AS374" s="23">
        <f t="shared" si="203"/>
        <v>72472.5</v>
      </c>
      <c r="AT374" s="23">
        <f t="shared" si="204"/>
        <v>71727.5</v>
      </c>
      <c r="AU374" s="23">
        <f t="shared" si="205"/>
        <v>75080</v>
      </c>
      <c r="AV374" s="23">
        <f t="shared" si="206"/>
        <v>69120</v>
      </c>
      <c r="AW374" s="23">
        <f t="shared" si="207"/>
        <v>72348.333333333328</v>
      </c>
      <c r="AX374" s="23">
        <f t="shared" si="208"/>
        <v>71851.666666666672</v>
      </c>
      <c r="AY374" s="23">
        <f t="shared" si="209"/>
        <v>76570</v>
      </c>
      <c r="AZ374" s="23">
        <f t="shared" si="210"/>
        <v>67630</v>
      </c>
      <c r="BA374" s="23">
        <f t="shared" si="218"/>
        <v>73730.25</v>
      </c>
      <c r="BB374" s="43"/>
      <c r="BC374" s="51">
        <f t="shared" si="193"/>
        <v>72100</v>
      </c>
      <c r="BD374" s="52">
        <f t="shared" si="197"/>
        <v>73730.25</v>
      </c>
      <c r="BE374" s="37">
        <f t="shared" si="214"/>
        <v>-1630.25</v>
      </c>
      <c r="BF374">
        <f t="shared" si="215"/>
        <v>1630.25</v>
      </c>
      <c r="BG374">
        <f t="shared" si="216"/>
        <v>2.2610957004160888E-2</v>
      </c>
    </row>
    <row r="375" spans="1:59">
      <c r="A375" s="1" t="s">
        <v>376</v>
      </c>
      <c r="B375" s="1">
        <v>71270</v>
      </c>
      <c r="Q375">
        <v>372</v>
      </c>
      <c r="R375" s="27" t="str">
        <f t="shared" si="194"/>
        <v>08/09/2024</v>
      </c>
      <c r="S375" s="27">
        <f t="shared" si="194"/>
        <v>71600</v>
      </c>
      <c r="T375" s="4" t="str">
        <f t="shared" si="195"/>
        <v>A6</v>
      </c>
      <c r="V375">
        <v>372</v>
      </c>
      <c r="W375" s="28" t="str">
        <f t="shared" si="192"/>
        <v>08/09/2024</v>
      </c>
      <c r="X375" s="28">
        <f t="shared" si="192"/>
        <v>71600</v>
      </c>
      <c r="Y375" s="28" t="str">
        <f t="shared" si="192"/>
        <v>A6</v>
      </c>
      <c r="Z375" s="5" t="str">
        <f t="shared" si="217"/>
        <v>A6</v>
      </c>
      <c r="AA375" s="5" t="str">
        <f t="shared" si="196"/>
        <v>A6</v>
      </c>
      <c r="AG375" s="49" t="str">
        <f t="shared" si="191"/>
        <v>08/09/2024</v>
      </c>
      <c r="AH375" s="46">
        <f t="shared" si="191"/>
        <v>71600</v>
      </c>
      <c r="AI375" s="49" t="str">
        <f t="shared" si="191"/>
        <v>A6</v>
      </c>
      <c r="AJ375" s="49" t="str">
        <f t="shared" si="198"/>
        <v>A6</v>
      </c>
      <c r="AK375" s="50">
        <f t="shared" si="219"/>
        <v>73860.5</v>
      </c>
      <c r="AL375" s="49" t="str">
        <f t="shared" si="211"/>
        <v>A6</v>
      </c>
      <c r="AM375" s="50">
        <f t="shared" si="199"/>
        <v>73860.5</v>
      </c>
      <c r="AN375" s="56">
        <f t="shared" si="212"/>
        <v>260</v>
      </c>
      <c r="AO375" s="57">
        <f t="shared" si="213"/>
        <v>71730</v>
      </c>
      <c r="AP375" s="23">
        <f t="shared" si="200"/>
        <v>71470</v>
      </c>
      <c r="AQ375" s="23">
        <f t="shared" si="201"/>
        <v>71860</v>
      </c>
      <c r="AR375" s="23">
        <f t="shared" si="202"/>
        <v>71340</v>
      </c>
      <c r="AS375" s="23">
        <f t="shared" si="203"/>
        <v>71665</v>
      </c>
      <c r="AT375" s="23">
        <f t="shared" si="204"/>
        <v>71535</v>
      </c>
      <c r="AU375" s="23">
        <f t="shared" si="205"/>
        <v>72120</v>
      </c>
      <c r="AV375" s="23">
        <f t="shared" si="206"/>
        <v>71080</v>
      </c>
      <c r="AW375" s="23">
        <f t="shared" si="207"/>
        <v>71643.333333333328</v>
      </c>
      <c r="AX375" s="23">
        <f t="shared" si="208"/>
        <v>71556.666666666672</v>
      </c>
      <c r="AY375" s="23">
        <f t="shared" si="209"/>
        <v>72380</v>
      </c>
      <c r="AZ375" s="23">
        <f t="shared" si="210"/>
        <v>70820</v>
      </c>
      <c r="BA375" s="23">
        <f t="shared" si="218"/>
        <v>73352.75</v>
      </c>
      <c r="BB375" s="43"/>
      <c r="BC375" s="51">
        <f t="shared" si="193"/>
        <v>71600</v>
      </c>
      <c r="BD375" s="52">
        <f t="shared" si="197"/>
        <v>73352.75</v>
      </c>
      <c r="BE375" s="37">
        <f t="shared" si="214"/>
        <v>-1752.75</v>
      </c>
      <c r="BF375">
        <f t="shared" si="215"/>
        <v>1752.75</v>
      </c>
      <c r="BG375">
        <f t="shared" si="216"/>
        <v>2.4479748603351954E-2</v>
      </c>
    </row>
    <row r="376" spans="1:59">
      <c r="A376" s="1" t="s">
        <v>377</v>
      </c>
      <c r="B376" s="1">
        <v>71920</v>
      </c>
      <c r="Q376">
        <v>373</v>
      </c>
      <c r="R376" s="27" t="str">
        <f t="shared" si="194"/>
        <v>09/09/2024</v>
      </c>
      <c r="S376" s="27">
        <f t="shared" si="194"/>
        <v>72430</v>
      </c>
      <c r="T376" s="4" t="str">
        <f t="shared" si="195"/>
        <v>A6</v>
      </c>
      <c r="V376">
        <v>373</v>
      </c>
      <c r="W376" s="28" t="str">
        <f t="shared" si="192"/>
        <v>09/09/2024</v>
      </c>
      <c r="X376" s="28">
        <f t="shared" si="192"/>
        <v>72430</v>
      </c>
      <c r="Y376" s="28" t="str">
        <f t="shared" si="192"/>
        <v>A6</v>
      </c>
      <c r="Z376" s="5" t="str">
        <f t="shared" si="217"/>
        <v>A6</v>
      </c>
      <c r="AA376" s="5" t="str">
        <f t="shared" si="196"/>
        <v>A6</v>
      </c>
      <c r="AG376" s="49" t="str">
        <f t="shared" si="191"/>
        <v>09/09/2024</v>
      </c>
      <c r="AH376" s="46">
        <f t="shared" si="191"/>
        <v>72430</v>
      </c>
      <c r="AI376" s="49" t="str">
        <f t="shared" si="191"/>
        <v>A6</v>
      </c>
      <c r="AJ376" s="49" t="str">
        <f t="shared" si="198"/>
        <v>A6</v>
      </c>
      <c r="AK376" s="50">
        <f t="shared" si="219"/>
        <v>73860.5</v>
      </c>
      <c r="AL376" s="49" t="str">
        <f t="shared" si="211"/>
        <v>A6</v>
      </c>
      <c r="AM376" s="50">
        <f t="shared" si="199"/>
        <v>73860.5</v>
      </c>
      <c r="AN376" s="56">
        <f t="shared" si="212"/>
        <v>330</v>
      </c>
      <c r="AO376" s="57">
        <f t="shared" si="213"/>
        <v>72595</v>
      </c>
      <c r="AP376" s="23">
        <f t="shared" si="200"/>
        <v>72265</v>
      </c>
      <c r="AQ376" s="23">
        <f t="shared" si="201"/>
        <v>72760</v>
      </c>
      <c r="AR376" s="23">
        <f t="shared" si="202"/>
        <v>72100</v>
      </c>
      <c r="AS376" s="23">
        <f t="shared" si="203"/>
        <v>72512.5</v>
      </c>
      <c r="AT376" s="23">
        <f t="shared" si="204"/>
        <v>72347.5</v>
      </c>
      <c r="AU376" s="23">
        <f t="shared" si="205"/>
        <v>73090</v>
      </c>
      <c r="AV376" s="23">
        <f t="shared" si="206"/>
        <v>71770</v>
      </c>
      <c r="AW376" s="23">
        <f t="shared" si="207"/>
        <v>72485</v>
      </c>
      <c r="AX376" s="23">
        <f t="shared" si="208"/>
        <v>72375</v>
      </c>
      <c r="AY376" s="23">
        <f t="shared" si="209"/>
        <v>73420</v>
      </c>
      <c r="AZ376" s="23">
        <f t="shared" si="210"/>
        <v>71440</v>
      </c>
      <c r="BA376" s="23">
        <f t="shared" si="218"/>
        <v>72795.25</v>
      </c>
      <c r="BB376" s="43"/>
      <c r="BC376" s="51">
        <f t="shared" si="193"/>
        <v>72430</v>
      </c>
      <c r="BD376" s="52">
        <f t="shared" si="197"/>
        <v>72795.25</v>
      </c>
      <c r="BE376" s="37">
        <f t="shared" si="214"/>
        <v>-365.25</v>
      </c>
      <c r="BF376">
        <f t="shared" si="215"/>
        <v>365.25</v>
      </c>
      <c r="BG376">
        <f t="shared" si="216"/>
        <v>5.0427999447742646E-3</v>
      </c>
    </row>
    <row r="377" spans="1:59">
      <c r="A377" s="1" t="s">
        <v>378</v>
      </c>
      <c r="B377" s="1">
        <v>72640</v>
      </c>
      <c r="Q377">
        <v>374</v>
      </c>
      <c r="R377" s="27" t="str">
        <f t="shared" si="194"/>
        <v>10/09/2024</v>
      </c>
      <c r="S377" s="27">
        <f t="shared" si="194"/>
        <v>71270</v>
      </c>
      <c r="T377" s="4" t="str">
        <f t="shared" si="195"/>
        <v>A6</v>
      </c>
      <c r="V377">
        <v>374</v>
      </c>
      <c r="W377" s="28" t="str">
        <f t="shared" si="192"/>
        <v>10/09/2024</v>
      </c>
      <c r="X377" s="28">
        <f t="shared" si="192"/>
        <v>71270</v>
      </c>
      <c r="Y377" s="28" t="str">
        <f t="shared" si="192"/>
        <v>A6</v>
      </c>
      <c r="Z377" s="5" t="str">
        <f t="shared" si="217"/>
        <v>A6</v>
      </c>
      <c r="AA377" s="5" t="str">
        <f t="shared" si="196"/>
        <v>A6</v>
      </c>
      <c r="AG377" s="49" t="str">
        <f t="shared" si="191"/>
        <v>10/09/2024</v>
      </c>
      <c r="AH377" s="46">
        <f t="shared" si="191"/>
        <v>71270</v>
      </c>
      <c r="AI377" s="49" t="str">
        <f t="shared" si="191"/>
        <v>A6</v>
      </c>
      <c r="AJ377" s="49" t="str">
        <f t="shared" si="198"/>
        <v>A6</v>
      </c>
      <c r="AK377" s="50">
        <f t="shared" si="219"/>
        <v>73860.5</v>
      </c>
      <c r="AL377" s="49" t="str">
        <f t="shared" si="211"/>
        <v>A6</v>
      </c>
      <c r="AM377" s="50">
        <f t="shared" si="199"/>
        <v>73860.5</v>
      </c>
      <c r="AN377" s="56">
        <f t="shared" si="212"/>
        <v>330</v>
      </c>
      <c r="AO377" s="57">
        <f t="shared" si="213"/>
        <v>71435</v>
      </c>
      <c r="AP377" s="23">
        <f t="shared" si="200"/>
        <v>71105</v>
      </c>
      <c r="AQ377" s="23">
        <f t="shared" si="201"/>
        <v>71600</v>
      </c>
      <c r="AR377" s="23">
        <f t="shared" si="202"/>
        <v>70940</v>
      </c>
      <c r="AS377" s="23">
        <f t="shared" si="203"/>
        <v>71352.5</v>
      </c>
      <c r="AT377" s="23">
        <f t="shared" si="204"/>
        <v>71187.5</v>
      </c>
      <c r="AU377" s="23">
        <f t="shared" si="205"/>
        <v>71930</v>
      </c>
      <c r="AV377" s="23">
        <f t="shared" si="206"/>
        <v>70610</v>
      </c>
      <c r="AW377" s="23">
        <f t="shared" si="207"/>
        <v>71325</v>
      </c>
      <c r="AX377" s="23">
        <f t="shared" si="208"/>
        <v>71215</v>
      </c>
      <c r="AY377" s="23">
        <f t="shared" si="209"/>
        <v>72260</v>
      </c>
      <c r="AZ377" s="23">
        <f t="shared" si="210"/>
        <v>70280</v>
      </c>
      <c r="BA377" s="23">
        <f t="shared" si="218"/>
        <v>73227.75</v>
      </c>
      <c r="BB377" s="43"/>
      <c r="BC377" s="51">
        <f t="shared" si="193"/>
        <v>71270</v>
      </c>
      <c r="BD377" s="52">
        <f t="shared" si="197"/>
        <v>73227.75</v>
      </c>
      <c r="BE377" s="37">
        <f t="shared" si="214"/>
        <v>-1957.75</v>
      </c>
      <c r="BF377">
        <f t="shared" si="215"/>
        <v>1957.75</v>
      </c>
      <c r="BG377">
        <f t="shared" si="216"/>
        <v>2.7469482250596325E-2</v>
      </c>
    </row>
    <row r="378" spans="1:59">
      <c r="A378" s="1" t="s">
        <v>379</v>
      </c>
      <c r="B378" s="1">
        <v>71250</v>
      </c>
      <c r="Q378">
        <v>375</v>
      </c>
      <c r="R378" s="27" t="str">
        <f t="shared" si="194"/>
        <v>11/09/2024</v>
      </c>
      <c r="S378" s="27">
        <f t="shared" si="194"/>
        <v>71920</v>
      </c>
      <c r="T378" s="4" t="str">
        <f t="shared" si="195"/>
        <v>A6</v>
      </c>
      <c r="V378">
        <v>375</v>
      </c>
      <c r="W378" s="28" t="str">
        <f t="shared" si="192"/>
        <v>11/09/2024</v>
      </c>
      <c r="X378" s="28">
        <f t="shared" si="192"/>
        <v>71920</v>
      </c>
      <c r="Y378" s="28" t="str">
        <f t="shared" si="192"/>
        <v>A6</v>
      </c>
      <c r="Z378" s="5" t="str">
        <f t="shared" si="217"/>
        <v>A6</v>
      </c>
      <c r="AA378" s="5" t="str">
        <f t="shared" si="196"/>
        <v>A6</v>
      </c>
      <c r="AG378" s="49" t="str">
        <f t="shared" si="191"/>
        <v>11/09/2024</v>
      </c>
      <c r="AH378" s="46">
        <f t="shared" si="191"/>
        <v>71920</v>
      </c>
      <c r="AI378" s="49" t="str">
        <f t="shared" si="191"/>
        <v>A6</v>
      </c>
      <c r="AJ378" s="49" t="str">
        <f t="shared" si="198"/>
        <v>A6</v>
      </c>
      <c r="AK378" s="50">
        <f t="shared" si="219"/>
        <v>73860.5</v>
      </c>
      <c r="AL378" s="49" t="str">
        <f t="shared" si="211"/>
        <v>A6</v>
      </c>
      <c r="AM378" s="50">
        <f t="shared" si="199"/>
        <v>73860.5</v>
      </c>
      <c r="AN378" s="56">
        <f t="shared" si="212"/>
        <v>510</v>
      </c>
      <c r="AO378" s="57">
        <f t="shared" si="213"/>
        <v>72175</v>
      </c>
      <c r="AP378" s="23">
        <f t="shared" si="200"/>
        <v>71665</v>
      </c>
      <c r="AQ378" s="23">
        <f t="shared" si="201"/>
        <v>72430</v>
      </c>
      <c r="AR378" s="23">
        <f t="shared" si="202"/>
        <v>71410</v>
      </c>
      <c r="AS378" s="23">
        <f t="shared" si="203"/>
        <v>72047.5</v>
      </c>
      <c r="AT378" s="23">
        <f t="shared" si="204"/>
        <v>71792.5</v>
      </c>
      <c r="AU378" s="23">
        <f t="shared" si="205"/>
        <v>72940</v>
      </c>
      <c r="AV378" s="23">
        <f t="shared" si="206"/>
        <v>70900</v>
      </c>
      <c r="AW378" s="23">
        <f t="shared" si="207"/>
        <v>72005</v>
      </c>
      <c r="AX378" s="23">
        <f t="shared" si="208"/>
        <v>71835</v>
      </c>
      <c r="AY378" s="23">
        <f t="shared" si="209"/>
        <v>73450</v>
      </c>
      <c r="AZ378" s="23">
        <f t="shared" si="210"/>
        <v>70390</v>
      </c>
      <c r="BA378" s="23">
        <f t="shared" si="218"/>
        <v>72647.75</v>
      </c>
      <c r="BB378" s="43"/>
      <c r="BC378" s="51">
        <f t="shared" si="193"/>
        <v>71920</v>
      </c>
      <c r="BD378" s="52">
        <f t="shared" si="197"/>
        <v>72647.75</v>
      </c>
      <c r="BE378" s="37">
        <f t="shared" si="214"/>
        <v>-727.75</v>
      </c>
      <c r="BF378">
        <f t="shared" si="215"/>
        <v>727.75</v>
      </c>
      <c r="BG378">
        <f t="shared" si="216"/>
        <v>1.0118882091212459E-2</v>
      </c>
    </row>
    <row r="379" spans="1:59">
      <c r="A379" s="1" t="s">
        <v>380</v>
      </c>
      <c r="B379" s="1">
        <v>71590</v>
      </c>
      <c r="Q379">
        <v>376</v>
      </c>
      <c r="R379" s="27" t="str">
        <f t="shared" si="194"/>
        <v>12/09/2024</v>
      </c>
      <c r="S379" s="27">
        <f t="shared" si="194"/>
        <v>72640</v>
      </c>
      <c r="T379" s="4" t="str">
        <f t="shared" si="195"/>
        <v>A6</v>
      </c>
      <c r="V379">
        <v>376</v>
      </c>
      <c r="W379" s="28" t="str">
        <f t="shared" si="192"/>
        <v>12/09/2024</v>
      </c>
      <c r="X379" s="28">
        <f t="shared" si="192"/>
        <v>72640</v>
      </c>
      <c r="Y379" s="28" t="str">
        <f t="shared" si="192"/>
        <v>A6</v>
      </c>
      <c r="Z379" s="5" t="str">
        <f t="shared" si="217"/>
        <v>A6</v>
      </c>
      <c r="AA379" s="5" t="str">
        <f t="shared" si="196"/>
        <v>A6</v>
      </c>
      <c r="AG379" s="49" t="str">
        <f t="shared" si="191"/>
        <v>12/09/2024</v>
      </c>
      <c r="AH379" s="46">
        <f t="shared" si="191"/>
        <v>72640</v>
      </c>
      <c r="AI379" s="49" t="str">
        <f t="shared" si="191"/>
        <v>A6</v>
      </c>
      <c r="AJ379" s="49" t="str">
        <f t="shared" si="198"/>
        <v>A6</v>
      </c>
      <c r="AK379" s="50">
        <f t="shared" si="219"/>
        <v>73860.5</v>
      </c>
      <c r="AL379" s="49" t="str">
        <f t="shared" si="211"/>
        <v>A6</v>
      </c>
      <c r="AM379" s="50">
        <f t="shared" si="199"/>
        <v>73860.5</v>
      </c>
      <c r="AN379" s="56">
        <f t="shared" si="212"/>
        <v>70</v>
      </c>
      <c r="AO379" s="57">
        <f t="shared" si="213"/>
        <v>72675</v>
      </c>
      <c r="AP379" s="23">
        <f t="shared" si="200"/>
        <v>72605</v>
      </c>
      <c r="AQ379" s="23">
        <f t="shared" si="201"/>
        <v>72710</v>
      </c>
      <c r="AR379" s="23">
        <f t="shared" si="202"/>
        <v>72570</v>
      </c>
      <c r="AS379" s="23">
        <f t="shared" si="203"/>
        <v>72657.5</v>
      </c>
      <c r="AT379" s="23">
        <f t="shared" si="204"/>
        <v>72622.5</v>
      </c>
      <c r="AU379" s="23">
        <f t="shared" si="205"/>
        <v>72780</v>
      </c>
      <c r="AV379" s="23">
        <f t="shared" si="206"/>
        <v>72500</v>
      </c>
      <c r="AW379" s="23">
        <f t="shared" si="207"/>
        <v>72651.666666666672</v>
      </c>
      <c r="AX379" s="23">
        <f t="shared" si="208"/>
        <v>72628.333333333328</v>
      </c>
      <c r="AY379" s="23">
        <f t="shared" si="209"/>
        <v>72850</v>
      </c>
      <c r="AZ379" s="23">
        <f t="shared" si="210"/>
        <v>72430</v>
      </c>
      <c r="BA379" s="23">
        <f t="shared" si="218"/>
        <v>73017.75</v>
      </c>
      <c r="BB379" s="43"/>
      <c r="BC379" s="51">
        <f t="shared" si="193"/>
        <v>72640</v>
      </c>
      <c r="BD379" s="52">
        <f t="shared" si="197"/>
        <v>73017.75</v>
      </c>
      <c r="BE379" s="37">
        <f t="shared" si="214"/>
        <v>-377.75</v>
      </c>
      <c r="BF379">
        <f t="shared" si="215"/>
        <v>377.75</v>
      </c>
      <c r="BG379">
        <f t="shared" si="216"/>
        <v>5.2003028634361233E-3</v>
      </c>
    </row>
    <row r="380" spans="1:59">
      <c r="A380" s="1" t="s">
        <v>381</v>
      </c>
      <c r="B380" s="1">
        <v>71420</v>
      </c>
      <c r="Q380">
        <v>377</v>
      </c>
      <c r="R380" s="27" t="str">
        <f t="shared" si="194"/>
        <v>13/09/2024</v>
      </c>
      <c r="S380" s="27">
        <f t="shared" si="194"/>
        <v>71250</v>
      </c>
      <c r="T380" s="4" t="str">
        <f t="shared" si="195"/>
        <v>A6</v>
      </c>
      <c r="V380">
        <v>377</v>
      </c>
      <c r="W380" s="28" t="str">
        <f t="shared" si="192"/>
        <v>13/09/2024</v>
      </c>
      <c r="X380" s="28">
        <f t="shared" si="192"/>
        <v>71250</v>
      </c>
      <c r="Y380" s="28" t="str">
        <f t="shared" si="192"/>
        <v>A6</v>
      </c>
      <c r="Z380" s="5" t="str">
        <f t="shared" si="217"/>
        <v>A6</v>
      </c>
      <c r="AA380" s="5" t="str">
        <f t="shared" si="196"/>
        <v>A6</v>
      </c>
      <c r="AG380" s="49" t="str">
        <f t="shared" si="191"/>
        <v>13/09/2024</v>
      </c>
      <c r="AH380" s="46">
        <f t="shared" si="191"/>
        <v>71250</v>
      </c>
      <c r="AI380" s="49" t="str">
        <f t="shared" si="191"/>
        <v>A6</v>
      </c>
      <c r="AJ380" s="49" t="str">
        <f t="shared" si="198"/>
        <v>A6</v>
      </c>
      <c r="AK380" s="50">
        <f t="shared" si="219"/>
        <v>73860.5</v>
      </c>
      <c r="AL380" s="49" t="str">
        <f t="shared" si="211"/>
        <v>A6</v>
      </c>
      <c r="AM380" s="50">
        <f t="shared" si="199"/>
        <v>73860.5</v>
      </c>
      <c r="AN380" s="56">
        <f t="shared" si="212"/>
        <v>670</v>
      </c>
      <c r="AO380" s="57">
        <f t="shared" si="213"/>
        <v>71585</v>
      </c>
      <c r="AP380" s="23">
        <f t="shared" si="200"/>
        <v>70915</v>
      </c>
      <c r="AQ380" s="23">
        <f t="shared" si="201"/>
        <v>71920</v>
      </c>
      <c r="AR380" s="23">
        <f t="shared" si="202"/>
        <v>70580</v>
      </c>
      <c r="AS380" s="23">
        <f t="shared" si="203"/>
        <v>71417.5</v>
      </c>
      <c r="AT380" s="23">
        <f t="shared" si="204"/>
        <v>71082.5</v>
      </c>
      <c r="AU380" s="23">
        <f t="shared" si="205"/>
        <v>72590</v>
      </c>
      <c r="AV380" s="23">
        <f t="shared" si="206"/>
        <v>69910</v>
      </c>
      <c r="AW380" s="23">
        <f t="shared" si="207"/>
        <v>71361.666666666672</v>
      </c>
      <c r="AX380" s="23">
        <f t="shared" si="208"/>
        <v>71138.333333333328</v>
      </c>
      <c r="AY380" s="23">
        <f t="shared" si="209"/>
        <v>73260</v>
      </c>
      <c r="AZ380" s="23">
        <f t="shared" si="210"/>
        <v>69240</v>
      </c>
      <c r="BA380" s="23">
        <f t="shared" si="218"/>
        <v>73267.75</v>
      </c>
      <c r="BB380" s="43"/>
      <c r="BC380" s="51">
        <f t="shared" si="193"/>
        <v>71250</v>
      </c>
      <c r="BD380" s="52">
        <f t="shared" si="197"/>
        <v>73267.75</v>
      </c>
      <c r="BE380" s="37">
        <f t="shared" si="214"/>
        <v>-2017.75</v>
      </c>
      <c r="BF380">
        <f t="shared" si="215"/>
        <v>2017.75</v>
      </c>
      <c r="BG380">
        <f t="shared" si="216"/>
        <v>2.8319298245614036E-2</v>
      </c>
    </row>
    <row r="381" spans="1:59">
      <c r="A381" s="1" t="s">
        <v>382</v>
      </c>
      <c r="B381" s="1">
        <v>72230</v>
      </c>
      <c r="Q381">
        <v>378</v>
      </c>
      <c r="R381" s="27" t="str">
        <f t="shared" si="194"/>
        <v>14/09/2024</v>
      </c>
      <c r="S381" s="27">
        <f t="shared" si="194"/>
        <v>71590</v>
      </c>
      <c r="T381" s="4" t="str">
        <f t="shared" si="195"/>
        <v>A6</v>
      </c>
      <c r="V381">
        <v>378</v>
      </c>
      <c r="W381" s="28" t="str">
        <f t="shared" si="192"/>
        <v>14/09/2024</v>
      </c>
      <c r="X381" s="28">
        <f t="shared" si="192"/>
        <v>71590</v>
      </c>
      <c r="Y381" s="28" t="str">
        <f t="shared" si="192"/>
        <v>A6</v>
      </c>
      <c r="Z381" s="5" t="str">
        <f t="shared" si="217"/>
        <v>A6</v>
      </c>
      <c r="AA381" s="5" t="str">
        <f t="shared" si="196"/>
        <v>A6</v>
      </c>
      <c r="AG381" s="49" t="str">
        <f t="shared" si="191"/>
        <v>14/09/2024</v>
      </c>
      <c r="AH381" s="46">
        <f t="shared" si="191"/>
        <v>71590</v>
      </c>
      <c r="AI381" s="49" t="str">
        <f t="shared" si="191"/>
        <v>A6</v>
      </c>
      <c r="AJ381" s="49" t="str">
        <f t="shared" si="198"/>
        <v>A6</v>
      </c>
      <c r="AK381" s="50">
        <f t="shared" si="219"/>
        <v>73860.5</v>
      </c>
      <c r="AL381" s="49" t="str">
        <f t="shared" si="211"/>
        <v>A6</v>
      </c>
      <c r="AM381" s="50">
        <f t="shared" si="199"/>
        <v>73860.5</v>
      </c>
      <c r="AN381" s="56">
        <f t="shared" si="212"/>
        <v>1050</v>
      </c>
      <c r="AO381" s="57">
        <f t="shared" si="213"/>
        <v>72115</v>
      </c>
      <c r="AP381" s="23">
        <f t="shared" si="200"/>
        <v>71065</v>
      </c>
      <c r="AQ381" s="23">
        <f t="shared" si="201"/>
        <v>72640</v>
      </c>
      <c r="AR381" s="23">
        <f t="shared" si="202"/>
        <v>70540</v>
      </c>
      <c r="AS381" s="23">
        <f t="shared" si="203"/>
        <v>71852.5</v>
      </c>
      <c r="AT381" s="23">
        <f t="shared" si="204"/>
        <v>71327.5</v>
      </c>
      <c r="AU381" s="23">
        <f t="shared" si="205"/>
        <v>73690</v>
      </c>
      <c r="AV381" s="23">
        <f t="shared" si="206"/>
        <v>69490</v>
      </c>
      <c r="AW381" s="23">
        <f t="shared" si="207"/>
        <v>71765</v>
      </c>
      <c r="AX381" s="23">
        <f t="shared" si="208"/>
        <v>71415</v>
      </c>
      <c r="AY381" s="23">
        <f t="shared" si="209"/>
        <v>74740</v>
      </c>
      <c r="AZ381" s="23">
        <f t="shared" si="210"/>
        <v>68440</v>
      </c>
      <c r="BA381" s="23">
        <f t="shared" si="218"/>
        <v>72722.75</v>
      </c>
      <c r="BB381" s="43"/>
      <c r="BC381" s="51">
        <f t="shared" si="193"/>
        <v>71590</v>
      </c>
      <c r="BD381" s="52">
        <f t="shared" si="197"/>
        <v>72722.75</v>
      </c>
      <c r="BE381" s="37">
        <f t="shared" si="214"/>
        <v>-1132.75</v>
      </c>
      <c r="BF381">
        <f t="shared" si="215"/>
        <v>1132.75</v>
      </c>
      <c r="BG381">
        <f t="shared" si="216"/>
        <v>1.5822740606229919E-2</v>
      </c>
    </row>
    <row r="382" spans="1:59">
      <c r="A382" s="1" t="s">
        <v>383</v>
      </c>
      <c r="B382" s="1">
        <v>72980</v>
      </c>
      <c r="Q382">
        <v>379</v>
      </c>
      <c r="R382" s="27" t="str">
        <f t="shared" si="194"/>
        <v>15/09/2024</v>
      </c>
      <c r="S382" s="27">
        <f t="shared" si="194"/>
        <v>71420</v>
      </c>
      <c r="T382" s="4" t="str">
        <f t="shared" si="195"/>
        <v>A6</v>
      </c>
      <c r="V382">
        <v>379</v>
      </c>
      <c r="W382" s="28" t="str">
        <f t="shared" si="192"/>
        <v>15/09/2024</v>
      </c>
      <c r="X382" s="28">
        <f t="shared" si="192"/>
        <v>71420</v>
      </c>
      <c r="Y382" s="28" t="str">
        <f t="shared" si="192"/>
        <v>A6</v>
      </c>
      <c r="Z382" s="5" t="str">
        <f t="shared" si="217"/>
        <v>A6</v>
      </c>
      <c r="AA382" s="5" t="str">
        <f t="shared" si="196"/>
        <v>A6</v>
      </c>
      <c r="AG382" s="49" t="str">
        <f t="shared" si="191"/>
        <v>15/09/2024</v>
      </c>
      <c r="AH382" s="46">
        <f t="shared" si="191"/>
        <v>71420</v>
      </c>
      <c r="AI382" s="49" t="str">
        <f t="shared" si="191"/>
        <v>A6</v>
      </c>
      <c r="AJ382" s="49" t="str">
        <f t="shared" si="198"/>
        <v>A6</v>
      </c>
      <c r="AK382" s="50">
        <f t="shared" si="219"/>
        <v>73860.5</v>
      </c>
      <c r="AL382" s="49" t="str">
        <f t="shared" si="211"/>
        <v>A6</v>
      </c>
      <c r="AM382" s="50">
        <f t="shared" si="199"/>
        <v>73860.5</v>
      </c>
      <c r="AN382" s="56">
        <f t="shared" si="212"/>
        <v>170</v>
      </c>
      <c r="AO382" s="57">
        <f t="shared" si="213"/>
        <v>71505</v>
      </c>
      <c r="AP382" s="23">
        <f t="shared" si="200"/>
        <v>71335</v>
      </c>
      <c r="AQ382" s="23">
        <f t="shared" si="201"/>
        <v>71590</v>
      </c>
      <c r="AR382" s="23">
        <f t="shared" si="202"/>
        <v>71250</v>
      </c>
      <c r="AS382" s="23">
        <f t="shared" si="203"/>
        <v>71462.5</v>
      </c>
      <c r="AT382" s="23">
        <f t="shared" si="204"/>
        <v>71377.5</v>
      </c>
      <c r="AU382" s="23">
        <f t="shared" si="205"/>
        <v>71760</v>
      </c>
      <c r="AV382" s="23">
        <f t="shared" si="206"/>
        <v>71080</v>
      </c>
      <c r="AW382" s="23">
        <f t="shared" si="207"/>
        <v>71448.333333333328</v>
      </c>
      <c r="AX382" s="23">
        <f t="shared" si="208"/>
        <v>71391.666666666672</v>
      </c>
      <c r="AY382" s="23">
        <f t="shared" si="209"/>
        <v>71930</v>
      </c>
      <c r="AZ382" s="23">
        <f t="shared" si="210"/>
        <v>70910</v>
      </c>
      <c r="BA382" s="23">
        <f t="shared" si="218"/>
        <v>72987.75</v>
      </c>
      <c r="BB382" s="43"/>
      <c r="BC382" s="51">
        <f t="shared" si="193"/>
        <v>71420</v>
      </c>
      <c r="BD382" s="52">
        <f t="shared" si="197"/>
        <v>72987.75</v>
      </c>
      <c r="BE382" s="37">
        <f t="shared" si="214"/>
        <v>-1567.75</v>
      </c>
      <c r="BF382">
        <f t="shared" si="215"/>
        <v>1567.75</v>
      </c>
      <c r="BG382">
        <f t="shared" si="216"/>
        <v>2.1951134136096333E-2</v>
      </c>
    </row>
    <row r="383" spans="1:59">
      <c r="A383" s="1" t="s">
        <v>384</v>
      </c>
      <c r="B383" s="1">
        <v>70930</v>
      </c>
      <c r="Q383">
        <v>380</v>
      </c>
      <c r="R383" s="27" t="str">
        <f t="shared" si="194"/>
        <v>16/09/2024</v>
      </c>
      <c r="S383" s="27">
        <f t="shared" si="194"/>
        <v>72230</v>
      </c>
      <c r="T383" s="4" t="str">
        <f t="shared" si="195"/>
        <v>A6</v>
      </c>
      <c r="V383">
        <v>380</v>
      </c>
      <c r="W383" s="28" t="str">
        <f t="shared" si="192"/>
        <v>16/09/2024</v>
      </c>
      <c r="X383" s="28">
        <f t="shared" si="192"/>
        <v>72230</v>
      </c>
      <c r="Y383" s="28" t="str">
        <f t="shared" si="192"/>
        <v>A6</v>
      </c>
      <c r="Z383" s="5" t="str">
        <f t="shared" si="217"/>
        <v>A6</v>
      </c>
      <c r="AA383" s="5" t="str">
        <f t="shared" si="196"/>
        <v>A6</v>
      </c>
      <c r="AG383" s="49" t="str">
        <f t="shared" si="191"/>
        <v>16/09/2024</v>
      </c>
      <c r="AH383" s="46">
        <f t="shared" si="191"/>
        <v>72230</v>
      </c>
      <c r="AI383" s="49" t="str">
        <f t="shared" si="191"/>
        <v>A6</v>
      </c>
      <c r="AJ383" s="49" t="str">
        <f t="shared" si="198"/>
        <v>A6</v>
      </c>
      <c r="AK383" s="50">
        <f t="shared" si="219"/>
        <v>73860.5</v>
      </c>
      <c r="AL383" s="49" t="str">
        <f t="shared" si="211"/>
        <v>A6</v>
      </c>
      <c r="AM383" s="50">
        <f t="shared" si="199"/>
        <v>73860.5</v>
      </c>
      <c r="AN383" s="56">
        <f t="shared" si="212"/>
        <v>640</v>
      </c>
      <c r="AO383" s="57">
        <f t="shared" si="213"/>
        <v>72550</v>
      </c>
      <c r="AP383" s="23">
        <f t="shared" si="200"/>
        <v>71910</v>
      </c>
      <c r="AQ383" s="23">
        <f t="shared" si="201"/>
        <v>72870</v>
      </c>
      <c r="AR383" s="23">
        <f t="shared" si="202"/>
        <v>71590</v>
      </c>
      <c r="AS383" s="23">
        <f t="shared" si="203"/>
        <v>72390</v>
      </c>
      <c r="AT383" s="23">
        <f t="shared" si="204"/>
        <v>72070</v>
      </c>
      <c r="AU383" s="23">
        <f t="shared" si="205"/>
        <v>73510</v>
      </c>
      <c r="AV383" s="23">
        <f t="shared" si="206"/>
        <v>70950</v>
      </c>
      <c r="AW383" s="23">
        <f t="shared" si="207"/>
        <v>72336.666666666672</v>
      </c>
      <c r="AX383" s="23">
        <f t="shared" si="208"/>
        <v>72123.333333333328</v>
      </c>
      <c r="AY383" s="23">
        <f t="shared" si="209"/>
        <v>74150</v>
      </c>
      <c r="AZ383" s="23">
        <f t="shared" si="210"/>
        <v>70310</v>
      </c>
      <c r="BA383" s="23">
        <f t="shared" si="218"/>
        <v>72682.75</v>
      </c>
      <c r="BB383" s="43"/>
      <c r="BC383" s="51">
        <f t="shared" si="193"/>
        <v>72230</v>
      </c>
      <c r="BD383" s="52">
        <f t="shared" si="197"/>
        <v>72682.75</v>
      </c>
      <c r="BE383" s="37">
        <f t="shared" si="214"/>
        <v>-452.75</v>
      </c>
      <c r="BF383">
        <f t="shared" si="215"/>
        <v>452.75</v>
      </c>
      <c r="BG383">
        <f t="shared" si="216"/>
        <v>6.2681711200332276E-3</v>
      </c>
    </row>
    <row r="384" spans="1:59">
      <c r="A384" s="1" t="s">
        <v>385</v>
      </c>
      <c r="B384" s="1">
        <v>69690</v>
      </c>
      <c r="Q384">
        <v>381</v>
      </c>
      <c r="R384" s="27" t="str">
        <f t="shared" si="194"/>
        <v>17/09/2024</v>
      </c>
      <c r="S384" s="27">
        <f t="shared" si="194"/>
        <v>72980</v>
      </c>
      <c r="T384" s="4" t="str">
        <f t="shared" si="195"/>
        <v>A6</v>
      </c>
      <c r="V384">
        <v>381</v>
      </c>
      <c r="W384" s="28" t="str">
        <f t="shared" si="192"/>
        <v>17/09/2024</v>
      </c>
      <c r="X384" s="28">
        <f t="shared" si="192"/>
        <v>72980</v>
      </c>
      <c r="Y384" s="28" t="str">
        <f t="shared" si="192"/>
        <v>A6</v>
      </c>
      <c r="Z384" s="5" t="str">
        <f t="shared" si="217"/>
        <v>A6</v>
      </c>
      <c r="AA384" s="5" t="str">
        <f t="shared" si="196"/>
        <v>A6</v>
      </c>
      <c r="AG384" s="49" t="str">
        <f t="shared" ref="AG384:AI386" si="220">W384</f>
        <v>17/09/2024</v>
      </c>
      <c r="AH384" s="46">
        <f t="shared" si="220"/>
        <v>72980</v>
      </c>
      <c r="AI384" s="49" t="str">
        <f t="shared" si="220"/>
        <v>A6</v>
      </c>
      <c r="AJ384" s="49" t="str">
        <f t="shared" si="198"/>
        <v>A6</v>
      </c>
      <c r="AK384" s="50">
        <f t="shared" si="219"/>
        <v>73860.5</v>
      </c>
      <c r="AL384" s="49" t="str">
        <f t="shared" si="211"/>
        <v>A6</v>
      </c>
      <c r="AM384" s="50">
        <f t="shared" si="199"/>
        <v>73860.5</v>
      </c>
      <c r="AN384" s="56">
        <f t="shared" si="212"/>
        <v>60</v>
      </c>
      <c r="AO384" s="57">
        <f t="shared" si="213"/>
        <v>73010</v>
      </c>
      <c r="AP384" s="23">
        <f t="shared" si="200"/>
        <v>72950</v>
      </c>
      <c r="AQ384" s="23">
        <f t="shared" si="201"/>
        <v>73040</v>
      </c>
      <c r="AR384" s="23">
        <f t="shared" si="202"/>
        <v>72920</v>
      </c>
      <c r="AS384" s="23">
        <f t="shared" si="203"/>
        <v>72995</v>
      </c>
      <c r="AT384" s="23">
        <f t="shared" si="204"/>
        <v>72965</v>
      </c>
      <c r="AU384" s="23">
        <f t="shared" si="205"/>
        <v>73100</v>
      </c>
      <c r="AV384" s="23">
        <f t="shared" si="206"/>
        <v>72860</v>
      </c>
      <c r="AW384" s="23">
        <f t="shared" si="207"/>
        <v>72990</v>
      </c>
      <c r="AX384" s="23">
        <f t="shared" si="208"/>
        <v>72970</v>
      </c>
      <c r="AY384" s="23">
        <f t="shared" si="209"/>
        <v>73160</v>
      </c>
      <c r="AZ384" s="23">
        <f t="shared" si="210"/>
        <v>72800</v>
      </c>
      <c r="BA384" s="23">
        <f t="shared" si="218"/>
        <v>73205.25</v>
      </c>
      <c r="BB384" s="43"/>
      <c r="BC384" s="51">
        <f t="shared" si="193"/>
        <v>72980</v>
      </c>
      <c r="BD384" s="52">
        <f t="shared" si="197"/>
        <v>73205.25</v>
      </c>
      <c r="BE384" s="37">
        <f t="shared" si="214"/>
        <v>-225.25</v>
      </c>
      <c r="BF384">
        <f t="shared" si="215"/>
        <v>225.25</v>
      </c>
      <c r="BG384">
        <f t="shared" si="216"/>
        <v>3.0864620443957248E-3</v>
      </c>
    </row>
    <row r="385" spans="17:59">
      <c r="Q385">
        <v>382</v>
      </c>
      <c r="R385" s="27" t="str">
        <f t="shared" si="194"/>
        <v>18/09/2024</v>
      </c>
      <c r="S385" s="27">
        <f t="shared" si="194"/>
        <v>70930</v>
      </c>
      <c r="T385" s="4" t="str">
        <f t="shared" si="195"/>
        <v>A6</v>
      </c>
      <c r="V385">
        <v>382</v>
      </c>
      <c r="W385" s="28" t="str">
        <f t="shared" si="192"/>
        <v>18/09/2024</v>
      </c>
      <c r="X385" s="28">
        <f t="shared" si="192"/>
        <v>70930</v>
      </c>
      <c r="Y385" s="28" t="str">
        <f t="shared" si="192"/>
        <v>A6</v>
      </c>
      <c r="Z385" s="5" t="str">
        <f t="shared" si="217"/>
        <v>A6</v>
      </c>
      <c r="AA385" s="5" t="str">
        <f t="shared" si="196"/>
        <v>A6</v>
      </c>
      <c r="AG385" s="49" t="str">
        <f t="shared" si="220"/>
        <v>18/09/2024</v>
      </c>
      <c r="AH385" s="46">
        <f t="shared" si="220"/>
        <v>70930</v>
      </c>
      <c r="AI385" s="49" t="str">
        <f t="shared" si="220"/>
        <v>A6</v>
      </c>
      <c r="AJ385" s="49" t="str">
        <f t="shared" si="198"/>
        <v>A6</v>
      </c>
      <c r="AK385" s="50">
        <f t="shared" si="219"/>
        <v>73860.5</v>
      </c>
      <c r="AL385" s="49" t="str">
        <f t="shared" si="211"/>
        <v>A6</v>
      </c>
      <c r="AM385" s="50">
        <f t="shared" si="199"/>
        <v>73860.5</v>
      </c>
      <c r="AN385" s="56">
        <f t="shared" si="212"/>
        <v>1300</v>
      </c>
      <c r="AO385" s="57">
        <f t="shared" si="213"/>
        <v>71580</v>
      </c>
      <c r="AP385" s="23">
        <f t="shared" si="200"/>
        <v>70280</v>
      </c>
      <c r="AQ385" s="23">
        <f t="shared" si="201"/>
        <v>72230</v>
      </c>
      <c r="AR385" s="23">
        <f t="shared" si="202"/>
        <v>69630</v>
      </c>
      <c r="AS385" s="23">
        <f t="shared" si="203"/>
        <v>71255</v>
      </c>
      <c r="AT385" s="23">
        <f t="shared" si="204"/>
        <v>70605</v>
      </c>
      <c r="AU385" s="23">
        <f t="shared" si="205"/>
        <v>73530</v>
      </c>
      <c r="AV385" s="23">
        <f t="shared" si="206"/>
        <v>68330</v>
      </c>
      <c r="AW385" s="23">
        <f t="shared" si="207"/>
        <v>71146.666666666672</v>
      </c>
      <c r="AX385" s="23">
        <f t="shared" si="208"/>
        <v>70713.333333333328</v>
      </c>
      <c r="AY385" s="23">
        <f t="shared" si="209"/>
        <v>74830</v>
      </c>
      <c r="AZ385" s="23">
        <f t="shared" si="210"/>
        <v>67030</v>
      </c>
      <c r="BA385" s="23">
        <f t="shared" si="218"/>
        <v>73435.25</v>
      </c>
      <c r="BB385" s="43"/>
      <c r="BC385" s="51">
        <f t="shared" si="193"/>
        <v>70930</v>
      </c>
      <c r="BD385" s="52">
        <f t="shared" si="197"/>
        <v>73435.25</v>
      </c>
      <c r="BE385" s="37">
        <f t="shared" si="214"/>
        <v>-2505.25</v>
      </c>
      <c r="BF385">
        <f t="shared" si="215"/>
        <v>2505.25</v>
      </c>
      <c r="BG385">
        <f t="shared" si="216"/>
        <v>3.5320033836176511E-2</v>
      </c>
    </row>
    <row r="386" spans="17:59">
      <c r="Q386">
        <v>383</v>
      </c>
      <c r="R386" s="27" t="str">
        <f t="shared" ref="R386:S386" si="221">A384</f>
        <v>19/09/2024</v>
      </c>
      <c r="S386" s="27">
        <f t="shared" si="221"/>
        <v>69690</v>
      </c>
      <c r="T386" s="4" t="str">
        <f t="shared" si="195"/>
        <v>A5</v>
      </c>
      <c r="V386">
        <v>383</v>
      </c>
      <c r="W386" s="28" t="str">
        <f t="shared" ref="W386:Y386" si="222">R386</f>
        <v>19/09/2024</v>
      </c>
      <c r="X386" s="28">
        <f t="shared" si="222"/>
        <v>69690</v>
      </c>
      <c r="Y386" s="28" t="str">
        <f t="shared" si="222"/>
        <v>A5</v>
      </c>
      <c r="Z386" s="5" t="str">
        <f t="shared" si="217"/>
        <v>A6</v>
      </c>
      <c r="AA386" s="5" t="str">
        <f t="shared" si="196"/>
        <v>A5</v>
      </c>
      <c r="AG386" s="49" t="str">
        <f t="shared" si="220"/>
        <v>19/09/2024</v>
      </c>
      <c r="AH386" s="46">
        <f t="shared" si="220"/>
        <v>69690</v>
      </c>
      <c r="AI386" s="49" t="str">
        <f t="shared" si="220"/>
        <v>A5</v>
      </c>
      <c r="AJ386" s="49" t="str">
        <f t="shared" si="198"/>
        <v>A6</v>
      </c>
      <c r="AK386" s="50">
        <f t="shared" si="219"/>
        <v>73860.5</v>
      </c>
      <c r="AL386" s="49" t="str">
        <f t="shared" si="211"/>
        <v>A5</v>
      </c>
      <c r="AM386" s="50">
        <f t="shared" si="199"/>
        <v>67829.5</v>
      </c>
      <c r="AN386" s="56">
        <f t="shared" si="212"/>
        <v>810</v>
      </c>
      <c r="AO386" s="57">
        <f t="shared" si="213"/>
        <v>70095</v>
      </c>
      <c r="AP386" s="23">
        <f t="shared" si="200"/>
        <v>69285</v>
      </c>
      <c r="AQ386" s="23">
        <f t="shared" si="201"/>
        <v>70500</v>
      </c>
      <c r="AR386" s="23">
        <f t="shared" si="202"/>
        <v>68880</v>
      </c>
      <c r="AS386" s="23">
        <f t="shared" si="203"/>
        <v>69892.5</v>
      </c>
      <c r="AT386" s="23">
        <f t="shared" si="204"/>
        <v>69487.5</v>
      </c>
      <c r="AU386" s="23">
        <f t="shared" si="205"/>
        <v>71310</v>
      </c>
      <c r="AV386" s="23">
        <f t="shared" si="206"/>
        <v>68070</v>
      </c>
      <c r="AW386" s="23">
        <f t="shared" si="207"/>
        <v>69825</v>
      </c>
      <c r="AX386" s="23">
        <f t="shared" si="208"/>
        <v>69555</v>
      </c>
      <c r="AY386" s="23">
        <f t="shared" si="209"/>
        <v>72120</v>
      </c>
      <c r="AZ386" s="23">
        <f t="shared" si="210"/>
        <v>67260</v>
      </c>
      <c r="BA386" s="23">
        <f t="shared" si="218"/>
        <v>72720.25</v>
      </c>
      <c r="BB386" s="43"/>
      <c r="BC386" s="51">
        <f t="shared" si="193"/>
        <v>69690</v>
      </c>
      <c r="BD386" s="52">
        <f t="shared" si="197"/>
        <v>72720.25</v>
      </c>
      <c r="BE386" s="37">
        <f t="shared" si="214"/>
        <v>-3030.25</v>
      </c>
      <c r="BF386">
        <f t="shared" si="215"/>
        <v>3030.25</v>
      </c>
      <c r="BG386">
        <f t="shared" si="216"/>
        <v>4.3481848184818483E-2</v>
      </c>
    </row>
    <row r="387" spans="17:59">
      <c r="R387" s="27"/>
      <c r="S387" s="27"/>
    </row>
    <row r="388" spans="17:59">
      <c r="R388" s="27"/>
      <c r="S388" s="27"/>
    </row>
  </sheetData>
  <mergeCells count="15">
    <mergeCell ref="G10:G11"/>
    <mergeCell ref="H10:I10"/>
    <mergeCell ref="J10:J11"/>
    <mergeCell ref="BL2:CF2"/>
    <mergeCell ref="CH2:CL2"/>
    <mergeCell ref="L3:L4"/>
    <mergeCell ref="M3:N3"/>
    <mergeCell ref="O3:O4"/>
    <mergeCell ref="G9:J9"/>
    <mergeCell ref="L2:O2"/>
    <mergeCell ref="R2:T2"/>
    <mergeCell ref="W2:AA2"/>
    <mergeCell ref="AC2:AE2"/>
    <mergeCell ref="AG2:BA2"/>
    <mergeCell ref="BC2:B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FED-0294-428D-B429-1E9C0C9BFC7E}">
  <dimension ref="A1:N385"/>
  <sheetViews>
    <sheetView tabSelected="1" workbookViewId="0">
      <selection activeCell="N16" sqref="N16"/>
    </sheetView>
  </sheetViews>
  <sheetFormatPr defaultRowHeight="15"/>
  <cols>
    <col min="7" max="7" width="14.140625" customWidth="1"/>
    <col min="8" max="8" width="11.85546875" customWidth="1"/>
  </cols>
  <sheetData>
    <row r="1" spans="1:14" s="62" customFormat="1">
      <c r="A1" s="62" t="s">
        <v>520</v>
      </c>
      <c r="B1" s="62" t="s">
        <v>521</v>
      </c>
      <c r="C1" s="62" t="s">
        <v>522</v>
      </c>
      <c r="D1" s="62" t="s">
        <v>523</v>
      </c>
      <c r="G1" s="16" t="s">
        <v>438</v>
      </c>
      <c r="H1" s="16"/>
      <c r="I1" s="16"/>
      <c r="J1" s="16"/>
      <c r="K1" s="16"/>
      <c r="L1"/>
      <c r="M1"/>
      <c r="N1"/>
    </row>
    <row r="2" spans="1:14">
      <c r="A2" t="s">
        <v>524</v>
      </c>
      <c r="B2">
        <v>51720</v>
      </c>
      <c r="C2" t="s">
        <v>525</v>
      </c>
      <c r="G2" s="5" t="s">
        <v>445</v>
      </c>
      <c r="H2" s="5" t="s">
        <v>517</v>
      </c>
      <c r="I2" s="5" t="s">
        <v>466</v>
      </c>
      <c r="J2" s="5" t="s">
        <v>467</v>
      </c>
      <c r="K2" s="5" t="s">
        <v>468</v>
      </c>
      <c r="L2" s="5"/>
      <c r="M2" s="5"/>
      <c r="N2" s="5"/>
    </row>
    <row r="3" spans="1:14">
      <c r="A3" t="s">
        <v>526</v>
      </c>
      <c r="B3">
        <v>51660</v>
      </c>
      <c r="C3" t="s">
        <v>527</v>
      </c>
      <c r="G3" s="51">
        <f>B2</f>
        <v>51720</v>
      </c>
      <c r="H3" s="52">
        <f>D2</f>
        <v>0</v>
      </c>
    </row>
    <row r="4" spans="1:14">
      <c r="A4" t="s">
        <v>528</v>
      </c>
      <c r="B4">
        <v>54390</v>
      </c>
      <c r="C4" t="s">
        <v>529</v>
      </c>
      <c r="G4" s="51">
        <f t="shared" ref="G4:G67" si="0">B3</f>
        <v>51660</v>
      </c>
      <c r="H4" s="52">
        <f t="shared" ref="H4:H67" si="1">D3</f>
        <v>0</v>
      </c>
      <c r="I4" s="37"/>
      <c r="L4" s="38" t="s">
        <v>480</v>
      </c>
      <c r="M4">
        <f>SUM(K6:K385)</f>
        <v>5.7690846226368153</v>
      </c>
    </row>
    <row r="5" spans="1:14">
      <c r="A5" t="s">
        <v>530</v>
      </c>
      <c r="B5">
        <v>50560</v>
      </c>
      <c r="C5" t="s">
        <v>531</v>
      </c>
      <c r="D5">
        <v>50168.833333333343</v>
      </c>
      <c r="G5" s="51">
        <f t="shared" si="0"/>
        <v>54390</v>
      </c>
      <c r="H5" s="52">
        <f t="shared" si="1"/>
        <v>0</v>
      </c>
      <c r="I5" s="37"/>
      <c r="L5" s="38" t="s">
        <v>485</v>
      </c>
      <c r="M5">
        <f>AVERAGE(K6:K385)</f>
        <v>1.5181801638517935E-2</v>
      </c>
      <c r="N5">
        <f>M5*100</f>
        <v>1.5181801638517936</v>
      </c>
    </row>
    <row r="6" spans="1:14">
      <c r="A6" t="s">
        <v>532</v>
      </c>
      <c r="B6">
        <v>50750</v>
      </c>
      <c r="C6" t="s">
        <v>527</v>
      </c>
      <c r="D6">
        <v>49985.13636363636</v>
      </c>
      <c r="G6" s="51">
        <f t="shared" si="0"/>
        <v>50560</v>
      </c>
      <c r="H6" s="52">
        <f t="shared" si="1"/>
        <v>50168.833333333343</v>
      </c>
      <c r="I6" s="37">
        <f t="shared" ref="I6:I69" si="2">G6-H6</f>
        <v>391.16666666665697</v>
      </c>
      <c r="J6">
        <f t="shared" ref="J6:J69" si="3">ABS(I6)</f>
        <v>391.16666666665697</v>
      </c>
      <c r="K6">
        <f t="shared" ref="K6:K69" si="4">J6/G6</f>
        <v>7.736682489451285E-3</v>
      </c>
      <c r="L6" s="38"/>
      <c r="M6">
        <f>(M4/380)*100</f>
        <v>1.5181801638517936</v>
      </c>
    </row>
    <row r="7" spans="1:14">
      <c r="A7" t="s">
        <v>533</v>
      </c>
      <c r="B7">
        <v>50410</v>
      </c>
      <c r="C7" t="s">
        <v>527</v>
      </c>
      <c r="D7">
        <v>50168.3125</v>
      </c>
      <c r="G7" s="51">
        <f t="shared" si="0"/>
        <v>50750</v>
      </c>
      <c r="H7" s="52">
        <f t="shared" si="1"/>
        <v>49985.13636363636</v>
      </c>
      <c r="I7" s="37">
        <f t="shared" si="2"/>
        <v>764.86363636363967</v>
      </c>
      <c r="J7">
        <f t="shared" si="3"/>
        <v>764.86363636363967</v>
      </c>
      <c r="K7">
        <f t="shared" si="4"/>
        <v>1.5071204657411619E-2</v>
      </c>
    </row>
    <row r="8" spans="1:14">
      <c r="A8" t="s">
        <v>534</v>
      </c>
      <c r="B8">
        <v>50690</v>
      </c>
      <c r="C8" t="s">
        <v>527</v>
      </c>
      <c r="D8">
        <v>50358.192307692298</v>
      </c>
      <c r="G8" s="51">
        <f t="shared" si="0"/>
        <v>50410</v>
      </c>
      <c r="H8" s="52">
        <f t="shared" si="1"/>
        <v>50168.3125</v>
      </c>
      <c r="I8" s="37">
        <f t="shared" si="2"/>
        <v>241.6875</v>
      </c>
      <c r="J8">
        <f t="shared" si="3"/>
        <v>241.6875</v>
      </c>
      <c r="K8">
        <f t="shared" si="4"/>
        <v>4.7944356278516167E-3</v>
      </c>
    </row>
    <row r="9" spans="1:14">
      <c r="A9" t="s">
        <v>535</v>
      </c>
      <c r="B9">
        <v>50820</v>
      </c>
      <c r="C9" t="s">
        <v>527</v>
      </c>
      <c r="D9">
        <v>50616.653846153837</v>
      </c>
      <c r="G9" s="51">
        <f t="shared" si="0"/>
        <v>50690</v>
      </c>
      <c r="H9" s="52">
        <f t="shared" si="1"/>
        <v>50358.192307692298</v>
      </c>
      <c r="I9" s="37">
        <f t="shared" si="2"/>
        <v>331.80769230770238</v>
      </c>
      <c r="J9">
        <f t="shared" si="3"/>
        <v>331.80769230770238</v>
      </c>
      <c r="K9">
        <f t="shared" si="4"/>
        <v>6.5458215093253573E-3</v>
      </c>
    </row>
    <row r="10" spans="1:14">
      <c r="A10" t="s">
        <v>536</v>
      </c>
      <c r="B10">
        <v>51070</v>
      </c>
      <c r="C10" t="s">
        <v>527</v>
      </c>
      <c r="D10">
        <v>50736.653846153837</v>
      </c>
      <c r="G10" s="51">
        <f t="shared" si="0"/>
        <v>50820</v>
      </c>
      <c r="H10" s="52">
        <f t="shared" si="1"/>
        <v>50616.653846153837</v>
      </c>
      <c r="I10" s="37">
        <f t="shared" si="2"/>
        <v>203.34615384616336</v>
      </c>
      <c r="J10">
        <f t="shared" si="3"/>
        <v>203.34615384616336</v>
      </c>
      <c r="K10">
        <f t="shared" si="4"/>
        <v>4.001301728574643E-3</v>
      </c>
    </row>
    <row r="11" spans="1:14">
      <c r="A11" t="s">
        <v>537</v>
      </c>
      <c r="B11">
        <v>50630</v>
      </c>
      <c r="C11" t="s">
        <v>527</v>
      </c>
      <c r="D11">
        <v>50967.423076923078</v>
      </c>
      <c r="G11" s="51">
        <f t="shared" si="0"/>
        <v>51070</v>
      </c>
      <c r="H11" s="52">
        <f t="shared" si="1"/>
        <v>50736.653846153837</v>
      </c>
      <c r="I11" s="37">
        <f t="shared" si="2"/>
        <v>333.34615384616336</v>
      </c>
      <c r="J11">
        <f t="shared" si="3"/>
        <v>333.34615384616336</v>
      </c>
      <c r="K11">
        <f t="shared" si="4"/>
        <v>6.527240137970694E-3</v>
      </c>
    </row>
    <row r="12" spans="1:14">
      <c r="A12" t="s">
        <v>538</v>
      </c>
      <c r="B12">
        <v>49290</v>
      </c>
      <c r="C12" t="s">
        <v>527</v>
      </c>
      <c r="D12">
        <v>50561.269230769227</v>
      </c>
      <c r="G12" s="51">
        <f t="shared" si="0"/>
        <v>50630</v>
      </c>
      <c r="H12" s="52">
        <f t="shared" si="1"/>
        <v>50967.423076923078</v>
      </c>
      <c r="I12" s="37">
        <f t="shared" si="2"/>
        <v>-337.42307692307804</v>
      </c>
      <c r="J12">
        <f t="shared" si="3"/>
        <v>337.42307692307804</v>
      </c>
      <c r="K12">
        <f t="shared" si="4"/>
        <v>6.6644889773469886E-3</v>
      </c>
    </row>
    <row r="13" spans="1:14">
      <c r="A13" t="s">
        <v>539</v>
      </c>
      <c r="B13">
        <v>49820</v>
      </c>
      <c r="C13" t="s">
        <v>527</v>
      </c>
      <c r="D13">
        <v>49552.208333333343</v>
      </c>
      <c r="G13" s="51">
        <f t="shared" si="0"/>
        <v>49290</v>
      </c>
      <c r="H13" s="52">
        <f t="shared" si="1"/>
        <v>50561.269230769227</v>
      </c>
      <c r="I13" s="37">
        <f t="shared" si="2"/>
        <v>-1271.2692307692269</v>
      </c>
      <c r="J13">
        <f t="shared" si="3"/>
        <v>1271.2692307692269</v>
      </c>
      <c r="K13">
        <f t="shared" si="4"/>
        <v>2.5791625700329213E-2</v>
      </c>
    </row>
    <row r="14" spans="1:14">
      <c r="A14" t="s">
        <v>540</v>
      </c>
      <c r="B14">
        <v>50520</v>
      </c>
      <c r="C14" t="s">
        <v>527</v>
      </c>
      <c r="D14">
        <v>49813.576923076922</v>
      </c>
      <c r="G14" s="51">
        <f t="shared" si="0"/>
        <v>49820</v>
      </c>
      <c r="H14" s="52">
        <f t="shared" si="1"/>
        <v>49552.208333333343</v>
      </c>
      <c r="I14" s="37">
        <f t="shared" si="2"/>
        <v>267.79166666665697</v>
      </c>
      <c r="J14">
        <f t="shared" si="3"/>
        <v>267.79166666665697</v>
      </c>
      <c r="K14">
        <f t="shared" si="4"/>
        <v>5.3751839957177231E-3</v>
      </c>
    </row>
    <row r="15" spans="1:14">
      <c r="A15" t="s">
        <v>541</v>
      </c>
      <c r="B15">
        <v>49640</v>
      </c>
      <c r="C15" t="s">
        <v>527</v>
      </c>
      <c r="D15">
        <v>50459.730769230773</v>
      </c>
      <c r="G15" s="51">
        <f t="shared" si="0"/>
        <v>50520</v>
      </c>
      <c r="H15" s="52">
        <f t="shared" si="1"/>
        <v>49813.576923076922</v>
      </c>
      <c r="I15" s="37">
        <f t="shared" si="2"/>
        <v>706.42307692307804</v>
      </c>
      <c r="J15">
        <f t="shared" si="3"/>
        <v>706.42307692307804</v>
      </c>
      <c r="K15">
        <f t="shared" si="4"/>
        <v>1.3983037943845566E-2</v>
      </c>
    </row>
    <row r="16" spans="1:14">
      <c r="A16" t="s">
        <v>542</v>
      </c>
      <c r="B16">
        <v>49200</v>
      </c>
      <c r="C16" t="s">
        <v>527</v>
      </c>
      <c r="D16">
        <v>49647.423076923078</v>
      </c>
      <c r="G16" s="51">
        <f t="shared" si="0"/>
        <v>49640</v>
      </c>
      <c r="H16" s="52">
        <f t="shared" si="1"/>
        <v>50459.730769230773</v>
      </c>
      <c r="I16" s="37">
        <f t="shared" si="2"/>
        <v>-819.73076923077315</v>
      </c>
      <c r="J16">
        <f t="shared" si="3"/>
        <v>819.73076923077315</v>
      </c>
      <c r="K16">
        <f t="shared" si="4"/>
        <v>1.6513512675881813E-2</v>
      </c>
    </row>
    <row r="17" spans="1:11">
      <c r="A17" t="s">
        <v>543</v>
      </c>
      <c r="B17">
        <v>50650</v>
      </c>
      <c r="C17" t="s">
        <v>527</v>
      </c>
      <c r="D17">
        <v>49241.269230769227</v>
      </c>
      <c r="G17" s="51">
        <f t="shared" si="0"/>
        <v>49200</v>
      </c>
      <c r="H17" s="52">
        <f t="shared" si="1"/>
        <v>49647.423076923078</v>
      </c>
      <c r="I17" s="37">
        <f t="shared" si="2"/>
        <v>-447.42307692307804</v>
      </c>
      <c r="J17">
        <f t="shared" si="3"/>
        <v>447.42307692307804</v>
      </c>
      <c r="K17">
        <f t="shared" si="4"/>
        <v>9.0939649781113432E-3</v>
      </c>
    </row>
    <row r="18" spans="1:11">
      <c r="A18" t="s">
        <v>544</v>
      </c>
      <c r="B18">
        <v>49980</v>
      </c>
      <c r="C18" t="s">
        <v>527</v>
      </c>
      <c r="D18">
        <v>50321.375</v>
      </c>
      <c r="G18" s="51">
        <f t="shared" si="0"/>
        <v>50650</v>
      </c>
      <c r="H18" s="52">
        <f t="shared" si="1"/>
        <v>49241.269230769227</v>
      </c>
      <c r="I18" s="37">
        <f t="shared" si="2"/>
        <v>1408.7307692307731</v>
      </c>
      <c r="J18">
        <f t="shared" si="3"/>
        <v>1408.7307692307731</v>
      </c>
      <c r="K18">
        <f t="shared" si="4"/>
        <v>2.7813045789353862E-2</v>
      </c>
    </row>
    <row r="19" spans="1:11">
      <c r="A19" t="s">
        <v>545</v>
      </c>
      <c r="B19">
        <v>52830</v>
      </c>
      <c r="C19" t="s">
        <v>529</v>
      </c>
      <c r="D19">
        <v>55767.5</v>
      </c>
      <c r="G19" s="51">
        <f t="shared" si="0"/>
        <v>49980</v>
      </c>
      <c r="H19" s="52">
        <f t="shared" si="1"/>
        <v>50321.375</v>
      </c>
      <c r="I19" s="37">
        <f t="shared" si="2"/>
        <v>-341.375</v>
      </c>
      <c r="J19">
        <f t="shared" si="3"/>
        <v>341.375</v>
      </c>
      <c r="K19">
        <f t="shared" si="4"/>
        <v>6.830232092837135E-3</v>
      </c>
    </row>
    <row r="20" spans="1:11">
      <c r="A20" t="s">
        <v>546</v>
      </c>
      <c r="B20">
        <v>50560</v>
      </c>
      <c r="C20" t="s">
        <v>531</v>
      </c>
      <c r="D20">
        <v>50891.361111111102</v>
      </c>
      <c r="G20" s="51">
        <f t="shared" si="0"/>
        <v>52830</v>
      </c>
      <c r="H20" s="52">
        <f t="shared" si="1"/>
        <v>55767.5</v>
      </c>
      <c r="I20" s="37">
        <f t="shared" si="2"/>
        <v>-2937.5</v>
      </c>
      <c r="J20">
        <f t="shared" si="3"/>
        <v>2937.5</v>
      </c>
      <c r="K20">
        <f t="shared" si="4"/>
        <v>5.5602877153132689E-2</v>
      </c>
    </row>
    <row r="21" spans="1:11">
      <c r="A21" t="s">
        <v>547</v>
      </c>
      <c r="B21">
        <v>53130</v>
      </c>
      <c r="C21" t="s">
        <v>529</v>
      </c>
      <c r="D21">
        <v>55767.5</v>
      </c>
      <c r="G21" s="51">
        <f t="shared" si="0"/>
        <v>50560</v>
      </c>
      <c r="H21" s="52">
        <f t="shared" si="1"/>
        <v>50891.361111111102</v>
      </c>
      <c r="I21" s="37">
        <f t="shared" si="2"/>
        <v>-331.36111111110222</v>
      </c>
      <c r="J21">
        <f t="shared" si="3"/>
        <v>331.36111111110222</v>
      </c>
      <c r="K21">
        <f t="shared" si="4"/>
        <v>6.5538194444442685E-3</v>
      </c>
    </row>
    <row r="22" spans="1:11">
      <c r="A22" t="s">
        <v>548</v>
      </c>
      <c r="B22">
        <v>53580</v>
      </c>
      <c r="C22" t="s">
        <v>549</v>
      </c>
      <c r="D22">
        <v>53506.13636363636</v>
      </c>
      <c r="G22" s="51">
        <f t="shared" si="0"/>
        <v>53130</v>
      </c>
      <c r="H22" s="52">
        <f t="shared" si="1"/>
        <v>55767.5</v>
      </c>
      <c r="I22" s="37">
        <f t="shared" si="2"/>
        <v>-2637.5</v>
      </c>
      <c r="J22">
        <f t="shared" si="3"/>
        <v>2637.5</v>
      </c>
      <c r="K22">
        <f t="shared" si="4"/>
        <v>4.9642386598908336E-2</v>
      </c>
    </row>
    <row r="23" spans="1:11">
      <c r="A23" t="s">
        <v>550</v>
      </c>
      <c r="B23">
        <v>55150</v>
      </c>
      <c r="C23" t="s">
        <v>549</v>
      </c>
      <c r="D23">
        <v>54780.9375</v>
      </c>
      <c r="G23" s="51">
        <f t="shared" si="0"/>
        <v>53580</v>
      </c>
      <c r="H23" s="52">
        <f t="shared" si="1"/>
        <v>53506.13636363636</v>
      </c>
      <c r="I23" s="37">
        <f t="shared" si="2"/>
        <v>73.863636363639671</v>
      </c>
      <c r="J23">
        <f t="shared" si="3"/>
        <v>73.863636363639671</v>
      </c>
      <c r="K23">
        <f t="shared" si="4"/>
        <v>1.3785673080186575E-3</v>
      </c>
    </row>
    <row r="24" spans="1:11">
      <c r="A24" t="s">
        <v>551</v>
      </c>
      <c r="B24">
        <v>56540</v>
      </c>
      <c r="C24" t="s">
        <v>549</v>
      </c>
      <c r="D24">
        <v>55481.458333333343</v>
      </c>
      <c r="G24" s="51">
        <f t="shared" si="0"/>
        <v>55150</v>
      </c>
      <c r="H24" s="52">
        <f t="shared" si="1"/>
        <v>54780.9375</v>
      </c>
      <c r="I24" s="37">
        <f t="shared" si="2"/>
        <v>369.0625</v>
      </c>
      <c r="J24">
        <f t="shared" si="3"/>
        <v>369.0625</v>
      </c>
      <c r="K24">
        <f t="shared" si="4"/>
        <v>6.6919764279238445E-3</v>
      </c>
    </row>
    <row r="25" spans="1:11">
      <c r="A25" t="s">
        <v>552</v>
      </c>
      <c r="B25">
        <v>55860</v>
      </c>
      <c r="C25" t="s">
        <v>549</v>
      </c>
      <c r="D25">
        <v>56480.576923076922</v>
      </c>
      <c r="G25" s="51">
        <f t="shared" si="0"/>
        <v>56540</v>
      </c>
      <c r="H25" s="52">
        <f t="shared" si="1"/>
        <v>55481.458333333343</v>
      </c>
      <c r="I25" s="37">
        <f t="shared" si="2"/>
        <v>1058.541666666657</v>
      </c>
      <c r="J25">
        <f t="shared" si="3"/>
        <v>1058.541666666657</v>
      </c>
      <c r="K25">
        <f t="shared" si="4"/>
        <v>1.8721996226859869E-2</v>
      </c>
    </row>
    <row r="26" spans="1:11">
      <c r="A26" t="s">
        <v>553</v>
      </c>
      <c r="B26">
        <v>57090</v>
      </c>
      <c r="C26" t="s">
        <v>549</v>
      </c>
      <c r="D26">
        <v>55852.884615384617</v>
      </c>
      <c r="G26" s="51">
        <f t="shared" si="0"/>
        <v>55860</v>
      </c>
      <c r="H26" s="52">
        <f t="shared" si="1"/>
        <v>56480.576923076922</v>
      </c>
      <c r="I26" s="37">
        <f t="shared" si="2"/>
        <v>-620.57692307692196</v>
      </c>
      <c r="J26">
        <f t="shared" si="3"/>
        <v>620.57692307692196</v>
      </c>
      <c r="K26">
        <f t="shared" si="4"/>
        <v>1.1109504530557143E-2</v>
      </c>
    </row>
    <row r="27" spans="1:11">
      <c r="A27" t="s">
        <v>554</v>
      </c>
      <c r="B27">
        <v>57520</v>
      </c>
      <c r="C27" t="s">
        <v>549</v>
      </c>
      <c r="D27">
        <v>56988.269230769227</v>
      </c>
      <c r="G27" s="51">
        <f t="shared" si="0"/>
        <v>57090</v>
      </c>
      <c r="H27" s="52">
        <f t="shared" si="1"/>
        <v>55852.884615384617</v>
      </c>
      <c r="I27" s="37">
        <f t="shared" si="2"/>
        <v>1237.1153846153829</v>
      </c>
      <c r="J27">
        <f t="shared" si="3"/>
        <v>1237.1153846153829</v>
      </c>
      <c r="K27">
        <f t="shared" si="4"/>
        <v>2.1669563577077999E-2</v>
      </c>
    </row>
    <row r="28" spans="1:11">
      <c r="A28" t="s">
        <v>555</v>
      </c>
      <c r="B28">
        <v>57180</v>
      </c>
      <c r="C28" t="s">
        <v>549</v>
      </c>
      <c r="D28">
        <v>56997.045454545463</v>
      </c>
      <c r="G28" s="51">
        <f t="shared" si="0"/>
        <v>57520</v>
      </c>
      <c r="H28" s="52">
        <f t="shared" si="1"/>
        <v>56988.269230769227</v>
      </c>
      <c r="I28" s="37">
        <f t="shared" si="2"/>
        <v>531.73076923077315</v>
      </c>
      <c r="J28">
        <f t="shared" si="3"/>
        <v>531.73076923077315</v>
      </c>
      <c r="K28">
        <f t="shared" si="4"/>
        <v>9.2442762383653197E-3</v>
      </c>
    </row>
    <row r="29" spans="1:11">
      <c r="A29" t="s">
        <v>556</v>
      </c>
      <c r="B29">
        <v>56610</v>
      </c>
      <c r="C29" t="s">
        <v>549</v>
      </c>
      <c r="D29">
        <v>57071.346153846163</v>
      </c>
      <c r="G29" s="51">
        <f t="shared" si="0"/>
        <v>57180</v>
      </c>
      <c r="H29" s="52">
        <f t="shared" si="1"/>
        <v>56997.045454545463</v>
      </c>
      <c r="I29" s="37">
        <f t="shared" si="2"/>
        <v>182.95454545453686</v>
      </c>
      <c r="J29">
        <f t="shared" si="3"/>
        <v>182.95454545453686</v>
      </c>
      <c r="K29">
        <f t="shared" si="4"/>
        <v>3.1996247893413231E-3</v>
      </c>
    </row>
    <row r="30" spans="1:11">
      <c r="A30" t="s">
        <v>557</v>
      </c>
      <c r="B30">
        <v>59040</v>
      </c>
      <c r="C30" t="s">
        <v>558</v>
      </c>
      <c r="D30">
        <v>61798.5</v>
      </c>
      <c r="G30" s="51">
        <f t="shared" si="0"/>
        <v>56610</v>
      </c>
      <c r="H30" s="52">
        <f t="shared" si="1"/>
        <v>57071.346153846163</v>
      </c>
      <c r="I30" s="37">
        <f t="shared" si="2"/>
        <v>-461.34615384616336</v>
      </c>
      <c r="J30">
        <f t="shared" si="3"/>
        <v>461.34615384616336</v>
      </c>
      <c r="K30">
        <f t="shared" si="4"/>
        <v>8.1495522671994943E-3</v>
      </c>
    </row>
    <row r="31" spans="1:11">
      <c r="A31" t="s">
        <v>559</v>
      </c>
      <c r="B31">
        <v>60850</v>
      </c>
      <c r="C31" t="s">
        <v>560</v>
      </c>
      <c r="D31">
        <v>61271.928571428572</v>
      </c>
      <c r="G31" s="51">
        <f t="shared" si="0"/>
        <v>59040</v>
      </c>
      <c r="H31" s="52">
        <f t="shared" si="1"/>
        <v>61798.5</v>
      </c>
      <c r="I31" s="37">
        <f t="shared" si="2"/>
        <v>-2758.5</v>
      </c>
      <c r="J31">
        <f t="shared" si="3"/>
        <v>2758.5</v>
      </c>
      <c r="K31">
        <f t="shared" si="4"/>
        <v>4.6722560975609756E-2</v>
      </c>
    </row>
    <row r="32" spans="1:11">
      <c r="A32" t="s">
        <v>561</v>
      </c>
      <c r="B32">
        <v>59170</v>
      </c>
      <c r="C32" t="s">
        <v>560</v>
      </c>
      <c r="D32">
        <v>60922.961538461539</v>
      </c>
      <c r="G32" s="51">
        <f t="shared" si="0"/>
        <v>60850</v>
      </c>
      <c r="H32" s="52">
        <f t="shared" si="1"/>
        <v>61271.928571428572</v>
      </c>
      <c r="I32" s="37">
        <f t="shared" si="2"/>
        <v>-421.92857142857247</v>
      </c>
      <c r="J32">
        <f t="shared" si="3"/>
        <v>421.92857142857247</v>
      </c>
      <c r="K32">
        <f t="shared" si="4"/>
        <v>6.9339124310365237E-3</v>
      </c>
    </row>
    <row r="33" spans="1:11">
      <c r="A33" t="s">
        <v>562</v>
      </c>
      <c r="B33">
        <v>59780</v>
      </c>
      <c r="C33" t="s">
        <v>560</v>
      </c>
      <c r="D33">
        <v>59421.541666666657</v>
      </c>
      <c r="G33" s="51">
        <f t="shared" si="0"/>
        <v>59170</v>
      </c>
      <c r="H33" s="52">
        <f t="shared" si="1"/>
        <v>60922.961538461539</v>
      </c>
      <c r="I33" s="37">
        <f t="shared" si="2"/>
        <v>-1752.961538461539</v>
      </c>
      <c r="J33">
        <f t="shared" si="3"/>
        <v>1752.961538461539</v>
      </c>
      <c r="K33">
        <f t="shared" si="4"/>
        <v>2.9625849897947254E-2</v>
      </c>
    </row>
    <row r="34" spans="1:11">
      <c r="A34" t="s">
        <v>563</v>
      </c>
      <c r="B34">
        <v>60060</v>
      </c>
      <c r="C34" t="s">
        <v>560</v>
      </c>
      <c r="D34">
        <v>60623.85</v>
      </c>
      <c r="G34" s="51">
        <f t="shared" si="0"/>
        <v>59780</v>
      </c>
      <c r="H34" s="52">
        <f t="shared" si="1"/>
        <v>59421.541666666657</v>
      </c>
      <c r="I34" s="37">
        <f t="shared" si="2"/>
        <v>358.45833333334303</v>
      </c>
      <c r="J34">
        <f t="shared" si="3"/>
        <v>358.45833333334303</v>
      </c>
      <c r="K34">
        <f t="shared" si="4"/>
        <v>5.9962919594068759E-3</v>
      </c>
    </row>
    <row r="35" spans="1:11">
      <c r="A35" t="s">
        <v>564</v>
      </c>
      <c r="B35">
        <v>61520</v>
      </c>
      <c r="C35" t="s">
        <v>560</v>
      </c>
      <c r="D35">
        <v>60193.730769230773</v>
      </c>
      <c r="G35" s="51">
        <f t="shared" si="0"/>
        <v>60060</v>
      </c>
      <c r="H35" s="52">
        <f t="shared" si="1"/>
        <v>60623.85</v>
      </c>
      <c r="I35" s="37">
        <f t="shared" si="2"/>
        <v>-563.84999999999854</v>
      </c>
      <c r="J35">
        <f t="shared" si="3"/>
        <v>563.84999999999854</v>
      </c>
      <c r="K35">
        <f t="shared" si="4"/>
        <v>9.3881118881118646E-3</v>
      </c>
    </row>
    <row r="36" spans="1:11">
      <c r="A36" t="s">
        <v>565</v>
      </c>
      <c r="B36">
        <v>64300</v>
      </c>
      <c r="C36" t="s">
        <v>560</v>
      </c>
      <c r="D36">
        <v>61545.318181818177</v>
      </c>
      <c r="G36" s="51">
        <f t="shared" si="0"/>
        <v>61520</v>
      </c>
      <c r="H36" s="52">
        <f t="shared" si="1"/>
        <v>60193.730769230773</v>
      </c>
      <c r="I36" s="37">
        <f t="shared" si="2"/>
        <v>1326.2692307692269</v>
      </c>
      <c r="J36">
        <f t="shared" si="3"/>
        <v>1326.2692307692269</v>
      </c>
      <c r="K36">
        <f t="shared" si="4"/>
        <v>2.1558342502750762E-2</v>
      </c>
    </row>
    <row r="37" spans="1:11">
      <c r="A37" t="s">
        <v>566</v>
      </c>
      <c r="B37">
        <v>66000</v>
      </c>
      <c r="C37" t="s">
        <v>567</v>
      </c>
      <c r="D37">
        <v>66721.899999999994</v>
      </c>
      <c r="G37" s="51">
        <f t="shared" si="0"/>
        <v>64300</v>
      </c>
      <c r="H37" s="52">
        <f t="shared" si="1"/>
        <v>61545.318181818177</v>
      </c>
      <c r="I37" s="37">
        <f t="shared" si="2"/>
        <v>2754.6818181818235</v>
      </c>
      <c r="J37">
        <f t="shared" si="3"/>
        <v>2754.6818181818235</v>
      </c>
      <c r="K37">
        <f t="shared" si="4"/>
        <v>4.2841085819312966E-2</v>
      </c>
    </row>
    <row r="38" spans="1:11">
      <c r="A38" t="s">
        <v>568</v>
      </c>
      <c r="B38">
        <v>66700</v>
      </c>
      <c r="C38" t="s">
        <v>569</v>
      </c>
      <c r="D38">
        <v>66657.227272727279</v>
      </c>
      <c r="G38" s="51">
        <f t="shared" si="0"/>
        <v>66000</v>
      </c>
      <c r="H38" s="52">
        <f t="shared" si="1"/>
        <v>66721.899999999994</v>
      </c>
      <c r="I38" s="37">
        <f t="shared" si="2"/>
        <v>-721.89999999999418</v>
      </c>
      <c r="J38">
        <f t="shared" si="3"/>
        <v>721.89999999999418</v>
      </c>
      <c r="K38">
        <f t="shared" si="4"/>
        <v>1.09378787878787E-2</v>
      </c>
    </row>
    <row r="39" spans="1:11">
      <c r="A39" t="s">
        <v>570</v>
      </c>
      <c r="B39">
        <v>65730</v>
      </c>
      <c r="C39" t="s">
        <v>569</v>
      </c>
      <c r="D39">
        <v>67257.227272727279</v>
      </c>
      <c r="G39" s="51">
        <f t="shared" si="0"/>
        <v>66700</v>
      </c>
      <c r="H39" s="52">
        <f t="shared" si="1"/>
        <v>66657.227272727279</v>
      </c>
      <c r="I39" s="37">
        <f t="shared" si="2"/>
        <v>42.772727272720658</v>
      </c>
      <c r="J39">
        <f t="shared" si="3"/>
        <v>42.772727272720658</v>
      </c>
      <c r="K39">
        <f t="shared" si="4"/>
        <v>6.4127027395383292E-4</v>
      </c>
    </row>
    <row r="40" spans="1:11">
      <c r="A40" t="s">
        <v>571</v>
      </c>
      <c r="B40">
        <v>68730</v>
      </c>
      <c r="C40" t="s">
        <v>569</v>
      </c>
      <c r="D40">
        <v>65891.5</v>
      </c>
      <c r="G40" s="51">
        <f t="shared" si="0"/>
        <v>65730</v>
      </c>
      <c r="H40" s="52">
        <f t="shared" si="1"/>
        <v>67257.227272727279</v>
      </c>
      <c r="I40" s="37">
        <f t="shared" si="2"/>
        <v>-1527.2272727272793</v>
      </c>
      <c r="J40">
        <f t="shared" si="3"/>
        <v>1527.2272727272793</v>
      </c>
      <c r="K40">
        <f t="shared" si="4"/>
        <v>2.3234858857862153E-2</v>
      </c>
    </row>
    <row r="41" spans="1:11">
      <c r="A41" t="s">
        <v>572</v>
      </c>
      <c r="B41">
        <v>68790</v>
      </c>
      <c r="C41" t="s">
        <v>569</v>
      </c>
      <c r="D41">
        <v>68629.944444444438</v>
      </c>
      <c r="G41" s="51">
        <f t="shared" si="0"/>
        <v>68730</v>
      </c>
      <c r="H41" s="52">
        <f t="shared" si="1"/>
        <v>65891.5</v>
      </c>
      <c r="I41" s="37">
        <f t="shared" si="2"/>
        <v>2838.5</v>
      </c>
      <c r="J41">
        <f t="shared" si="3"/>
        <v>2838.5</v>
      </c>
      <c r="K41">
        <f t="shared" si="4"/>
        <v>4.1299287065328094E-2</v>
      </c>
    </row>
    <row r="42" spans="1:11">
      <c r="A42" t="s">
        <v>573</v>
      </c>
      <c r="B42">
        <v>69830</v>
      </c>
      <c r="C42" t="s">
        <v>569</v>
      </c>
      <c r="D42">
        <v>68302.4375</v>
      </c>
      <c r="G42" s="51">
        <f t="shared" si="0"/>
        <v>68790</v>
      </c>
      <c r="H42" s="52">
        <f t="shared" si="1"/>
        <v>68629.944444444438</v>
      </c>
      <c r="I42" s="37">
        <f t="shared" si="2"/>
        <v>160.05555555556202</v>
      </c>
      <c r="J42">
        <f t="shared" si="3"/>
        <v>160.05555555556202</v>
      </c>
      <c r="K42">
        <f t="shared" si="4"/>
        <v>2.3267270759639775E-3</v>
      </c>
    </row>
    <row r="43" spans="1:11">
      <c r="A43" t="s">
        <v>574</v>
      </c>
      <c r="B43">
        <v>71750</v>
      </c>
      <c r="C43" t="s">
        <v>575</v>
      </c>
      <c r="D43">
        <v>72806.833333333328</v>
      </c>
      <c r="G43" s="51">
        <f t="shared" si="0"/>
        <v>69830</v>
      </c>
      <c r="H43" s="52">
        <f t="shared" si="1"/>
        <v>68302.4375</v>
      </c>
      <c r="I43" s="37">
        <f t="shared" si="2"/>
        <v>1527.5625</v>
      </c>
      <c r="J43">
        <f t="shared" si="3"/>
        <v>1527.5625</v>
      </c>
      <c r="K43">
        <f t="shared" si="4"/>
        <v>2.1875447515394528E-2</v>
      </c>
    </row>
    <row r="44" spans="1:11">
      <c r="A44" t="s">
        <v>576</v>
      </c>
      <c r="B44">
        <v>69370</v>
      </c>
      <c r="C44" t="s">
        <v>577</v>
      </c>
      <c r="D44">
        <v>68976.5</v>
      </c>
      <c r="G44" s="51">
        <f t="shared" si="0"/>
        <v>71750</v>
      </c>
      <c r="H44" s="52">
        <f t="shared" si="1"/>
        <v>72806.833333333328</v>
      </c>
      <c r="I44" s="37">
        <f t="shared" si="2"/>
        <v>-1056.8333333333285</v>
      </c>
      <c r="J44">
        <f t="shared" si="3"/>
        <v>1056.8333333333285</v>
      </c>
      <c r="K44">
        <f t="shared" si="4"/>
        <v>1.4729384436701442E-2</v>
      </c>
    </row>
    <row r="45" spans="1:11">
      <c r="A45" t="s">
        <v>578</v>
      </c>
      <c r="B45">
        <v>71110</v>
      </c>
      <c r="C45" t="s">
        <v>575</v>
      </c>
      <c r="D45">
        <v>73860.5</v>
      </c>
      <c r="G45" s="51">
        <f t="shared" si="0"/>
        <v>69370</v>
      </c>
      <c r="H45" s="52">
        <f t="shared" si="1"/>
        <v>68976.5</v>
      </c>
      <c r="I45" s="37">
        <f t="shared" si="2"/>
        <v>393.5</v>
      </c>
      <c r="J45">
        <f t="shared" si="3"/>
        <v>393.5</v>
      </c>
      <c r="K45">
        <f t="shared" si="4"/>
        <v>5.6724808995242898E-3</v>
      </c>
    </row>
    <row r="46" spans="1:11">
      <c r="A46" t="s">
        <v>579</v>
      </c>
      <c r="B46">
        <v>69100</v>
      </c>
      <c r="C46" t="s">
        <v>577</v>
      </c>
      <c r="D46">
        <v>69621.899999999994</v>
      </c>
      <c r="G46" s="51">
        <f t="shared" si="0"/>
        <v>71110</v>
      </c>
      <c r="H46" s="52">
        <f t="shared" si="1"/>
        <v>73860.5</v>
      </c>
      <c r="I46" s="37">
        <f t="shared" si="2"/>
        <v>-2750.5</v>
      </c>
      <c r="J46">
        <f t="shared" si="3"/>
        <v>2750.5</v>
      </c>
      <c r="K46">
        <f t="shared" si="4"/>
        <v>3.8679510617353398E-2</v>
      </c>
    </row>
    <row r="47" spans="1:11">
      <c r="A47" t="s">
        <v>580</v>
      </c>
      <c r="B47">
        <v>67860</v>
      </c>
      <c r="C47" t="s">
        <v>569</v>
      </c>
      <c r="D47">
        <v>69002.269230769234</v>
      </c>
      <c r="G47" s="51">
        <f t="shared" si="0"/>
        <v>69100</v>
      </c>
      <c r="H47" s="52">
        <f t="shared" si="1"/>
        <v>69621.899999999994</v>
      </c>
      <c r="I47" s="37">
        <f t="shared" si="2"/>
        <v>-521.89999999999418</v>
      </c>
      <c r="J47">
        <f t="shared" si="3"/>
        <v>521.89999999999418</v>
      </c>
      <c r="K47">
        <f t="shared" si="4"/>
        <v>7.5528219971055599E-3</v>
      </c>
    </row>
    <row r="48" spans="1:11">
      <c r="A48" t="s">
        <v>581</v>
      </c>
      <c r="B48">
        <v>68470</v>
      </c>
      <c r="C48" t="s">
        <v>569</v>
      </c>
      <c r="D48">
        <v>67857.653846153844</v>
      </c>
      <c r="G48" s="51">
        <f t="shared" si="0"/>
        <v>67860</v>
      </c>
      <c r="H48" s="52">
        <f t="shared" si="1"/>
        <v>69002.269230769234</v>
      </c>
      <c r="I48" s="37">
        <f t="shared" si="2"/>
        <v>-1142.2692307692341</v>
      </c>
      <c r="J48">
        <f t="shared" si="3"/>
        <v>1142.2692307692341</v>
      </c>
      <c r="K48">
        <f t="shared" si="4"/>
        <v>1.683273254891297E-2</v>
      </c>
    </row>
    <row r="49" spans="1:11">
      <c r="A49" t="s">
        <v>582</v>
      </c>
      <c r="B49">
        <v>70740</v>
      </c>
      <c r="C49" t="s">
        <v>569</v>
      </c>
      <c r="D49">
        <v>68420.730769230766</v>
      </c>
      <c r="G49" s="51">
        <f t="shared" si="0"/>
        <v>68470</v>
      </c>
      <c r="H49" s="52">
        <f t="shared" si="1"/>
        <v>67857.653846153844</v>
      </c>
      <c r="I49" s="37">
        <f t="shared" si="2"/>
        <v>612.34615384615608</v>
      </c>
      <c r="J49">
        <f t="shared" si="3"/>
        <v>612.34615384615608</v>
      </c>
      <c r="K49">
        <f t="shared" si="4"/>
        <v>8.9432766736695785E-3</v>
      </c>
    </row>
    <row r="50" spans="1:11">
      <c r="A50" t="s">
        <v>583</v>
      </c>
      <c r="B50">
        <v>69340</v>
      </c>
      <c r="C50" t="s">
        <v>569</v>
      </c>
      <c r="D50">
        <v>68683.976190476184</v>
      </c>
      <c r="G50" s="51">
        <f t="shared" si="0"/>
        <v>70740</v>
      </c>
      <c r="H50" s="52">
        <f t="shared" si="1"/>
        <v>68420.730769230766</v>
      </c>
      <c r="I50" s="37">
        <f t="shared" si="2"/>
        <v>2319.2692307692341</v>
      </c>
      <c r="J50">
        <f t="shared" si="3"/>
        <v>2319.2692307692341</v>
      </c>
      <c r="K50">
        <f t="shared" si="4"/>
        <v>3.2785824579717758E-2</v>
      </c>
    </row>
    <row r="51" spans="1:11">
      <c r="A51" t="s">
        <v>584</v>
      </c>
      <c r="B51">
        <v>70720</v>
      </c>
      <c r="C51" t="s">
        <v>569</v>
      </c>
      <c r="D51">
        <v>68807.227272727279</v>
      </c>
      <c r="G51" s="51">
        <f t="shared" si="0"/>
        <v>69340</v>
      </c>
      <c r="H51" s="52">
        <f t="shared" si="1"/>
        <v>68683.976190476184</v>
      </c>
      <c r="I51" s="37">
        <f t="shared" si="2"/>
        <v>656.02380952381645</v>
      </c>
      <c r="J51">
        <f t="shared" si="3"/>
        <v>656.02380952381645</v>
      </c>
      <c r="K51">
        <f t="shared" si="4"/>
        <v>9.4609721592704994E-3</v>
      </c>
    </row>
    <row r="52" spans="1:11">
      <c r="A52" t="s">
        <v>585</v>
      </c>
      <c r="B52">
        <v>70870</v>
      </c>
      <c r="C52" t="s">
        <v>575</v>
      </c>
      <c r="D52">
        <v>73860.5</v>
      </c>
      <c r="G52" s="51">
        <f t="shared" si="0"/>
        <v>70720</v>
      </c>
      <c r="H52" s="52">
        <f t="shared" si="1"/>
        <v>68807.227272727279</v>
      </c>
      <c r="I52" s="37">
        <f t="shared" si="2"/>
        <v>1912.7727272727207</v>
      </c>
      <c r="J52">
        <f t="shared" si="3"/>
        <v>1912.7727272727207</v>
      </c>
      <c r="K52">
        <f t="shared" si="4"/>
        <v>2.7047125668449103E-2</v>
      </c>
    </row>
    <row r="53" spans="1:11">
      <c r="A53" t="s">
        <v>586</v>
      </c>
      <c r="B53">
        <v>70160</v>
      </c>
      <c r="C53" t="s">
        <v>577</v>
      </c>
      <c r="D53">
        <v>69220.28571428571</v>
      </c>
      <c r="G53" s="51">
        <f t="shared" si="0"/>
        <v>70870</v>
      </c>
      <c r="H53" s="52">
        <f t="shared" si="1"/>
        <v>73860.5</v>
      </c>
      <c r="I53" s="37">
        <f t="shared" si="2"/>
        <v>-2990.5</v>
      </c>
      <c r="J53">
        <f t="shared" si="3"/>
        <v>2990.5</v>
      </c>
      <c r="K53">
        <f t="shared" si="4"/>
        <v>4.2196980386623395E-2</v>
      </c>
    </row>
    <row r="54" spans="1:11">
      <c r="A54" t="s">
        <v>587</v>
      </c>
      <c r="B54">
        <v>71610</v>
      </c>
      <c r="C54" t="s">
        <v>575</v>
      </c>
      <c r="D54">
        <v>72326.833333333328</v>
      </c>
      <c r="G54" s="51">
        <f t="shared" si="0"/>
        <v>70160</v>
      </c>
      <c r="H54" s="52">
        <f t="shared" si="1"/>
        <v>69220.28571428571</v>
      </c>
      <c r="I54" s="37">
        <f t="shared" si="2"/>
        <v>939.71428571428987</v>
      </c>
      <c r="J54">
        <f t="shared" si="3"/>
        <v>939.71428571428987</v>
      </c>
      <c r="K54">
        <f t="shared" si="4"/>
        <v>1.3393875223977905E-2</v>
      </c>
    </row>
    <row r="55" spans="1:11">
      <c r="A55" t="s">
        <v>588</v>
      </c>
      <c r="B55">
        <v>70120</v>
      </c>
      <c r="C55" t="s">
        <v>577</v>
      </c>
      <c r="D55">
        <v>69116.5</v>
      </c>
      <c r="G55" s="51">
        <f t="shared" si="0"/>
        <v>71610</v>
      </c>
      <c r="H55" s="52">
        <f t="shared" si="1"/>
        <v>72326.833333333328</v>
      </c>
      <c r="I55" s="37">
        <f t="shared" si="2"/>
        <v>-716.83333333332848</v>
      </c>
      <c r="J55">
        <f t="shared" si="3"/>
        <v>716.83333333332848</v>
      </c>
      <c r="K55">
        <f t="shared" si="4"/>
        <v>1.0010240655401879E-2</v>
      </c>
    </row>
    <row r="56" spans="1:11">
      <c r="A56" t="s">
        <v>589</v>
      </c>
      <c r="B56">
        <v>71560</v>
      </c>
      <c r="C56" t="s">
        <v>575</v>
      </c>
      <c r="D56">
        <v>73860.5</v>
      </c>
      <c r="G56" s="51">
        <f t="shared" si="0"/>
        <v>70120</v>
      </c>
      <c r="H56" s="52">
        <f t="shared" si="1"/>
        <v>69116.5</v>
      </c>
      <c r="I56" s="37">
        <f t="shared" si="2"/>
        <v>1003.5</v>
      </c>
      <c r="J56">
        <f t="shared" si="3"/>
        <v>1003.5</v>
      </c>
      <c r="K56">
        <f t="shared" si="4"/>
        <v>1.4311180832857958E-2</v>
      </c>
    </row>
    <row r="57" spans="1:11">
      <c r="A57" t="s">
        <v>590</v>
      </c>
      <c r="B57">
        <v>72790</v>
      </c>
      <c r="C57" t="s">
        <v>591</v>
      </c>
      <c r="D57">
        <v>71736.961538461532</v>
      </c>
      <c r="G57" s="51">
        <f t="shared" si="0"/>
        <v>71560</v>
      </c>
      <c r="H57" s="52">
        <f t="shared" si="1"/>
        <v>73860.5</v>
      </c>
      <c r="I57" s="37">
        <f t="shared" si="2"/>
        <v>-2300.5</v>
      </c>
      <c r="J57">
        <f t="shared" si="3"/>
        <v>2300.5</v>
      </c>
      <c r="K57">
        <f t="shared" si="4"/>
        <v>3.2147847959754054E-2</v>
      </c>
    </row>
    <row r="58" spans="1:11">
      <c r="A58" t="s">
        <v>592</v>
      </c>
      <c r="B58">
        <v>73150</v>
      </c>
      <c r="C58" t="s">
        <v>591</v>
      </c>
      <c r="D58">
        <v>72872.346153846156</v>
      </c>
      <c r="G58" s="51">
        <f t="shared" si="0"/>
        <v>72790</v>
      </c>
      <c r="H58" s="52">
        <f t="shared" si="1"/>
        <v>71736.961538461532</v>
      </c>
      <c r="I58" s="37">
        <f t="shared" si="2"/>
        <v>1053.0384615384683</v>
      </c>
      <c r="J58">
        <f t="shared" si="3"/>
        <v>1053.0384615384683</v>
      </c>
      <c r="K58">
        <f t="shared" si="4"/>
        <v>1.4466801230092982E-2</v>
      </c>
    </row>
    <row r="59" spans="1:11">
      <c r="A59" t="s">
        <v>593</v>
      </c>
      <c r="B59">
        <v>75190</v>
      </c>
      <c r="C59" t="s">
        <v>591</v>
      </c>
      <c r="D59">
        <v>73426.708333333328</v>
      </c>
      <c r="G59" s="51">
        <f t="shared" si="0"/>
        <v>73150</v>
      </c>
      <c r="H59" s="52">
        <f t="shared" si="1"/>
        <v>72872.346153846156</v>
      </c>
      <c r="I59" s="37">
        <f t="shared" si="2"/>
        <v>277.65384615384392</v>
      </c>
      <c r="J59">
        <f t="shared" si="3"/>
        <v>277.65384615384392</v>
      </c>
      <c r="K59">
        <f t="shared" si="4"/>
        <v>3.7956780062042912E-3</v>
      </c>
    </row>
    <row r="60" spans="1:11">
      <c r="A60" t="s">
        <v>594</v>
      </c>
      <c r="B60">
        <v>75000</v>
      </c>
      <c r="C60" t="s">
        <v>591</v>
      </c>
      <c r="D60">
        <v>74721.05</v>
      </c>
      <c r="G60" s="51">
        <f t="shared" si="0"/>
        <v>75190</v>
      </c>
      <c r="H60" s="52">
        <f t="shared" si="1"/>
        <v>73426.708333333328</v>
      </c>
      <c r="I60" s="37">
        <f t="shared" si="2"/>
        <v>1763.2916666666715</v>
      </c>
      <c r="J60">
        <f t="shared" si="3"/>
        <v>1763.2916666666715</v>
      </c>
      <c r="K60">
        <f t="shared" si="4"/>
        <v>2.3451145985725116E-2</v>
      </c>
    </row>
    <row r="61" spans="1:11">
      <c r="A61" t="s">
        <v>595</v>
      </c>
      <c r="B61">
        <v>74260</v>
      </c>
      <c r="C61" t="s">
        <v>591</v>
      </c>
      <c r="D61">
        <v>74516.05</v>
      </c>
      <c r="G61" s="51">
        <f t="shared" si="0"/>
        <v>75000</v>
      </c>
      <c r="H61" s="52">
        <f t="shared" si="1"/>
        <v>74721.05</v>
      </c>
      <c r="I61" s="37">
        <f t="shared" si="2"/>
        <v>278.94999999999709</v>
      </c>
      <c r="J61">
        <f t="shared" si="3"/>
        <v>278.94999999999709</v>
      </c>
      <c r="K61">
        <f t="shared" si="4"/>
        <v>3.7193333333332946E-3</v>
      </c>
    </row>
    <row r="62" spans="1:11">
      <c r="A62" t="s">
        <v>596</v>
      </c>
      <c r="B62">
        <v>75490</v>
      </c>
      <c r="C62" t="s">
        <v>591</v>
      </c>
      <c r="D62">
        <v>74229.269230769234</v>
      </c>
      <c r="G62" s="51">
        <f t="shared" si="0"/>
        <v>74260</v>
      </c>
      <c r="H62" s="52">
        <f t="shared" si="1"/>
        <v>74516.05</v>
      </c>
      <c r="I62" s="37">
        <f t="shared" si="2"/>
        <v>-256.05000000000291</v>
      </c>
      <c r="J62">
        <f t="shared" si="3"/>
        <v>256.05000000000291</v>
      </c>
      <c r="K62">
        <f t="shared" si="4"/>
        <v>3.4480204686237934E-3</v>
      </c>
    </row>
    <row r="63" spans="1:11">
      <c r="A63" t="s">
        <v>597</v>
      </c>
      <c r="B63">
        <v>75700</v>
      </c>
      <c r="C63" t="s">
        <v>591</v>
      </c>
      <c r="D63">
        <v>75231.708333333328</v>
      </c>
      <c r="G63" s="51">
        <f t="shared" si="0"/>
        <v>75490</v>
      </c>
      <c r="H63" s="52">
        <f t="shared" si="1"/>
        <v>74229.269230769234</v>
      </c>
      <c r="I63" s="37">
        <f t="shared" si="2"/>
        <v>1260.7307692307659</v>
      </c>
      <c r="J63">
        <f t="shared" si="3"/>
        <v>1260.7307692307659</v>
      </c>
      <c r="K63">
        <f t="shared" si="4"/>
        <v>1.6700632788856352E-2</v>
      </c>
    </row>
    <row r="64" spans="1:11">
      <c r="A64" t="s">
        <v>598</v>
      </c>
      <c r="B64">
        <v>75840</v>
      </c>
      <c r="C64" t="s">
        <v>591</v>
      </c>
      <c r="D64">
        <v>75069.136363636368</v>
      </c>
      <c r="G64" s="51">
        <f t="shared" si="0"/>
        <v>75700</v>
      </c>
      <c r="H64" s="52">
        <f t="shared" si="1"/>
        <v>75231.708333333328</v>
      </c>
      <c r="I64" s="37">
        <f t="shared" si="2"/>
        <v>468.29166666667152</v>
      </c>
      <c r="J64">
        <f t="shared" si="3"/>
        <v>468.29166666667152</v>
      </c>
      <c r="K64">
        <f t="shared" si="4"/>
        <v>6.1861514751211559E-3</v>
      </c>
    </row>
    <row r="65" spans="1:11">
      <c r="A65" t="s">
        <v>599</v>
      </c>
      <c r="B65">
        <v>75360</v>
      </c>
      <c r="C65" t="s">
        <v>591</v>
      </c>
      <c r="D65">
        <v>75687.730769230766</v>
      </c>
      <c r="G65" s="51">
        <f t="shared" si="0"/>
        <v>75840</v>
      </c>
      <c r="H65" s="52">
        <f t="shared" si="1"/>
        <v>75069.136363636368</v>
      </c>
      <c r="I65" s="37">
        <f t="shared" si="2"/>
        <v>770.86363636363239</v>
      </c>
      <c r="J65">
        <f t="shared" si="3"/>
        <v>770.86363636363239</v>
      </c>
      <c r="K65">
        <f t="shared" si="4"/>
        <v>1.0164341196777853E-2</v>
      </c>
    </row>
    <row r="66" spans="1:11">
      <c r="A66" t="s">
        <v>600</v>
      </c>
      <c r="B66">
        <v>74520</v>
      </c>
      <c r="C66" t="s">
        <v>591</v>
      </c>
      <c r="D66">
        <v>75244.653846153844</v>
      </c>
      <c r="G66" s="51">
        <f t="shared" si="0"/>
        <v>75360</v>
      </c>
      <c r="H66" s="52">
        <f t="shared" si="1"/>
        <v>75687.730769230766</v>
      </c>
      <c r="I66" s="37">
        <f t="shared" si="2"/>
        <v>-327.73076923076587</v>
      </c>
      <c r="J66">
        <f t="shared" si="3"/>
        <v>327.73076923076587</v>
      </c>
      <c r="K66">
        <f t="shared" si="4"/>
        <v>4.3488690184549615E-3</v>
      </c>
    </row>
    <row r="67" spans="1:11">
      <c r="A67" t="s">
        <v>601</v>
      </c>
      <c r="B67">
        <v>73800</v>
      </c>
      <c r="C67" t="s">
        <v>591</v>
      </c>
      <c r="D67">
        <v>74469.269230769234</v>
      </c>
      <c r="G67" s="51">
        <f t="shared" si="0"/>
        <v>74520</v>
      </c>
      <c r="H67" s="52">
        <f t="shared" si="1"/>
        <v>75244.653846153844</v>
      </c>
      <c r="I67" s="37">
        <f t="shared" si="2"/>
        <v>-724.65384615384392</v>
      </c>
      <c r="J67">
        <f t="shared" si="3"/>
        <v>724.65384615384392</v>
      </c>
      <c r="K67">
        <f t="shared" si="4"/>
        <v>9.7242867170403095E-3</v>
      </c>
    </row>
    <row r="68" spans="1:11">
      <c r="A68" t="s">
        <v>602</v>
      </c>
      <c r="B68">
        <v>72390</v>
      </c>
      <c r="C68" t="s">
        <v>591</v>
      </c>
      <c r="D68">
        <v>73804.653846153844</v>
      </c>
      <c r="G68" s="51">
        <f t="shared" ref="G68:G131" si="5">B67</f>
        <v>73800</v>
      </c>
      <c r="H68" s="52">
        <f t="shared" ref="H68:H131" si="6">D67</f>
        <v>74469.269230769234</v>
      </c>
      <c r="I68" s="37">
        <f t="shared" si="2"/>
        <v>-669.26923076923413</v>
      </c>
      <c r="J68">
        <f t="shared" si="3"/>
        <v>669.26923076923413</v>
      </c>
      <c r="K68">
        <f t="shared" si="4"/>
        <v>9.0686887638107613E-3</v>
      </c>
    </row>
    <row r="69" spans="1:11">
      <c r="A69" t="s">
        <v>603</v>
      </c>
      <c r="B69">
        <v>71330</v>
      </c>
      <c r="C69" t="s">
        <v>591</v>
      </c>
      <c r="D69">
        <v>72685.041666666672</v>
      </c>
      <c r="G69" s="51">
        <f t="shared" si="5"/>
        <v>72390</v>
      </c>
      <c r="H69" s="52">
        <f t="shared" si="6"/>
        <v>73804.653846153844</v>
      </c>
      <c r="I69" s="37">
        <f t="shared" si="2"/>
        <v>-1414.6538461538439</v>
      </c>
      <c r="J69">
        <f t="shared" si="3"/>
        <v>1414.6538461538439</v>
      </c>
      <c r="K69">
        <f t="shared" si="4"/>
        <v>1.9542116951980163E-2</v>
      </c>
    </row>
    <row r="70" spans="1:11">
      <c r="A70" t="s">
        <v>604</v>
      </c>
      <c r="B70">
        <v>70210</v>
      </c>
      <c r="C70" t="s">
        <v>577</v>
      </c>
      <c r="D70">
        <v>69579.833333333328</v>
      </c>
      <c r="G70" s="51">
        <f t="shared" si="5"/>
        <v>71330</v>
      </c>
      <c r="H70" s="52">
        <f t="shared" si="6"/>
        <v>72685.041666666672</v>
      </c>
      <c r="I70" s="37">
        <f t="shared" ref="I70:I133" si="7">G70-H70</f>
        <v>-1355.0416666666715</v>
      </c>
      <c r="J70">
        <f t="shared" ref="J70:J133" si="8">ABS(I70)</f>
        <v>1355.0416666666715</v>
      </c>
      <c r="K70">
        <f t="shared" ref="K70:K133" si="9">J70/G70</f>
        <v>1.8996798915837255E-2</v>
      </c>
    </row>
    <row r="71" spans="1:11">
      <c r="A71" t="s">
        <v>605</v>
      </c>
      <c r="B71">
        <v>70490</v>
      </c>
      <c r="C71" t="s">
        <v>569</v>
      </c>
      <c r="D71">
        <v>70026.88461538461</v>
      </c>
      <c r="G71" s="51">
        <f t="shared" si="5"/>
        <v>70210</v>
      </c>
      <c r="H71" s="52">
        <f t="shared" si="6"/>
        <v>69579.833333333328</v>
      </c>
      <c r="I71" s="37">
        <f t="shared" si="7"/>
        <v>630.16666666667152</v>
      </c>
      <c r="J71">
        <f t="shared" si="8"/>
        <v>630.16666666667152</v>
      </c>
      <c r="K71">
        <f t="shared" si="9"/>
        <v>8.9754545886151765E-3</v>
      </c>
    </row>
    <row r="72" spans="1:11">
      <c r="A72" t="s">
        <v>606</v>
      </c>
      <c r="B72">
        <v>70880</v>
      </c>
      <c r="C72" t="s">
        <v>575</v>
      </c>
      <c r="D72">
        <v>72256.100000000006</v>
      </c>
      <c r="G72" s="51">
        <f t="shared" si="5"/>
        <v>70490</v>
      </c>
      <c r="H72" s="52">
        <f t="shared" si="6"/>
        <v>70026.88461538461</v>
      </c>
      <c r="I72" s="37">
        <f t="shared" si="7"/>
        <v>463.11538461539021</v>
      </c>
      <c r="J72">
        <f t="shared" si="8"/>
        <v>463.11538461539021</v>
      </c>
      <c r="K72">
        <f t="shared" si="9"/>
        <v>6.56994445475089E-3</v>
      </c>
    </row>
    <row r="73" spans="1:11">
      <c r="A73" t="s">
        <v>607</v>
      </c>
      <c r="B73">
        <v>70660</v>
      </c>
      <c r="C73" t="s">
        <v>577</v>
      </c>
      <c r="D73">
        <v>70126.899999999994</v>
      </c>
      <c r="G73" s="51">
        <f t="shared" si="5"/>
        <v>70880</v>
      </c>
      <c r="H73" s="52">
        <f t="shared" si="6"/>
        <v>72256.100000000006</v>
      </c>
      <c r="I73" s="37">
        <f t="shared" si="7"/>
        <v>-1376.1000000000058</v>
      </c>
      <c r="J73">
        <f t="shared" si="8"/>
        <v>1376.1000000000058</v>
      </c>
      <c r="K73">
        <f t="shared" si="9"/>
        <v>1.9414503386004596E-2</v>
      </c>
    </row>
    <row r="74" spans="1:11">
      <c r="A74" t="s">
        <v>608</v>
      </c>
      <c r="B74">
        <v>71720</v>
      </c>
      <c r="C74" t="s">
        <v>575</v>
      </c>
      <c r="D74">
        <v>72010.166666666672</v>
      </c>
      <c r="G74" s="51">
        <f t="shared" si="5"/>
        <v>70660</v>
      </c>
      <c r="H74" s="52">
        <f t="shared" si="6"/>
        <v>70126.899999999994</v>
      </c>
      <c r="I74" s="37">
        <f t="shared" si="7"/>
        <v>533.10000000000582</v>
      </c>
      <c r="J74">
        <f t="shared" si="8"/>
        <v>533.10000000000582</v>
      </c>
      <c r="K74">
        <f t="shared" si="9"/>
        <v>7.544579677328132E-3</v>
      </c>
    </row>
    <row r="75" spans="1:11">
      <c r="A75" t="s">
        <v>609</v>
      </c>
      <c r="B75">
        <v>68920</v>
      </c>
      <c r="C75" t="s">
        <v>577</v>
      </c>
      <c r="D75">
        <v>69023.166666666672</v>
      </c>
      <c r="G75" s="51">
        <f t="shared" si="5"/>
        <v>71720</v>
      </c>
      <c r="H75" s="52">
        <f t="shared" si="6"/>
        <v>72010.166666666672</v>
      </c>
      <c r="I75" s="37">
        <f t="shared" si="7"/>
        <v>-290.16666666667152</v>
      </c>
      <c r="J75">
        <f t="shared" si="8"/>
        <v>290.16666666667152</v>
      </c>
      <c r="K75">
        <f t="shared" si="9"/>
        <v>4.04582636177735E-3</v>
      </c>
    </row>
    <row r="76" spans="1:11">
      <c r="A76" t="s">
        <v>610</v>
      </c>
      <c r="B76">
        <v>67070</v>
      </c>
      <c r="C76" t="s">
        <v>569</v>
      </c>
      <c r="D76">
        <v>68462.95</v>
      </c>
      <c r="G76" s="51">
        <f t="shared" si="5"/>
        <v>68920</v>
      </c>
      <c r="H76" s="52">
        <f t="shared" si="6"/>
        <v>69023.166666666672</v>
      </c>
      <c r="I76" s="37">
        <f t="shared" si="7"/>
        <v>-103.16666666667152</v>
      </c>
      <c r="J76">
        <f t="shared" si="8"/>
        <v>103.16666666667152</v>
      </c>
      <c r="K76">
        <f t="shared" si="9"/>
        <v>1.4969046237183912E-3</v>
      </c>
    </row>
    <row r="77" spans="1:11">
      <c r="A77" t="s">
        <v>611</v>
      </c>
      <c r="B77">
        <v>67490</v>
      </c>
      <c r="C77" t="s">
        <v>569</v>
      </c>
      <c r="D77">
        <v>67370.791666666672</v>
      </c>
      <c r="G77" s="51">
        <f t="shared" si="5"/>
        <v>67070</v>
      </c>
      <c r="H77" s="52">
        <f t="shared" si="6"/>
        <v>68462.95</v>
      </c>
      <c r="I77" s="37">
        <f t="shared" si="7"/>
        <v>-1392.9499999999971</v>
      </c>
      <c r="J77">
        <f t="shared" si="8"/>
        <v>1392.9499999999971</v>
      </c>
      <c r="K77">
        <f t="shared" si="9"/>
        <v>2.0768599970180365E-2</v>
      </c>
    </row>
    <row r="78" spans="1:11">
      <c r="A78" t="s">
        <v>612</v>
      </c>
      <c r="B78">
        <v>67000</v>
      </c>
      <c r="C78" t="s">
        <v>569</v>
      </c>
      <c r="D78">
        <v>67809.95</v>
      </c>
      <c r="G78" s="51">
        <f t="shared" si="5"/>
        <v>67490</v>
      </c>
      <c r="H78" s="52">
        <f t="shared" si="6"/>
        <v>67370.791666666672</v>
      </c>
      <c r="I78" s="37">
        <f t="shared" si="7"/>
        <v>119.20833333332848</v>
      </c>
      <c r="J78">
        <f t="shared" si="8"/>
        <v>119.20833333332848</v>
      </c>
      <c r="K78">
        <f t="shared" si="9"/>
        <v>1.7663110584283373E-3</v>
      </c>
    </row>
    <row r="79" spans="1:11">
      <c r="A79" t="s">
        <v>613</v>
      </c>
      <c r="B79">
        <v>68140</v>
      </c>
      <c r="C79" t="s">
        <v>569</v>
      </c>
      <c r="D79">
        <v>67063.807692307688</v>
      </c>
      <c r="G79" s="51">
        <f t="shared" si="5"/>
        <v>67000</v>
      </c>
      <c r="H79" s="52">
        <f t="shared" si="6"/>
        <v>67809.95</v>
      </c>
      <c r="I79" s="37">
        <f t="shared" si="7"/>
        <v>-809.94999999999709</v>
      </c>
      <c r="J79">
        <f t="shared" si="8"/>
        <v>809.94999999999709</v>
      </c>
      <c r="K79">
        <f t="shared" si="9"/>
        <v>1.208880597014921E-2</v>
      </c>
    </row>
    <row r="80" spans="1:11">
      <c r="A80" t="s">
        <v>614</v>
      </c>
      <c r="B80">
        <v>69290</v>
      </c>
      <c r="C80" t="s">
        <v>569</v>
      </c>
      <c r="D80">
        <v>68116.11538461539</v>
      </c>
      <c r="G80" s="51">
        <f t="shared" si="5"/>
        <v>68140</v>
      </c>
      <c r="H80" s="52">
        <f t="shared" si="6"/>
        <v>67063.807692307688</v>
      </c>
      <c r="I80" s="37">
        <f t="shared" si="7"/>
        <v>1076.1923076923122</v>
      </c>
      <c r="J80">
        <f t="shared" si="8"/>
        <v>1076.1923076923122</v>
      </c>
      <c r="K80">
        <f t="shared" si="9"/>
        <v>1.5793840735138131E-2</v>
      </c>
    </row>
    <row r="81" spans="1:11">
      <c r="A81" t="s">
        <v>615</v>
      </c>
      <c r="B81">
        <v>69770</v>
      </c>
      <c r="C81" t="s">
        <v>569</v>
      </c>
      <c r="D81">
        <v>69177.653846153844</v>
      </c>
      <c r="G81" s="51">
        <f t="shared" si="5"/>
        <v>69290</v>
      </c>
      <c r="H81" s="52">
        <f t="shared" si="6"/>
        <v>68116.11538461539</v>
      </c>
      <c r="I81" s="37">
        <f t="shared" si="7"/>
        <v>1173.8846153846098</v>
      </c>
      <c r="J81">
        <f t="shared" si="8"/>
        <v>1173.8846153846098</v>
      </c>
      <c r="K81">
        <f t="shared" si="9"/>
        <v>1.6941616616894355E-2</v>
      </c>
    </row>
    <row r="82" spans="1:11">
      <c r="A82" t="s">
        <v>616</v>
      </c>
      <c r="B82">
        <v>70000</v>
      </c>
      <c r="C82" t="s">
        <v>569</v>
      </c>
      <c r="D82">
        <v>69289.045454545456</v>
      </c>
      <c r="G82" s="51">
        <f t="shared" si="5"/>
        <v>69770</v>
      </c>
      <c r="H82" s="52">
        <f t="shared" si="6"/>
        <v>69177.653846153844</v>
      </c>
      <c r="I82" s="37">
        <f t="shared" si="7"/>
        <v>592.34615384615608</v>
      </c>
      <c r="J82">
        <f t="shared" si="8"/>
        <v>592.34615384615608</v>
      </c>
      <c r="K82">
        <f t="shared" si="9"/>
        <v>8.4899835723972489E-3</v>
      </c>
    </row>
    <row r="83" spans="1:11">
      <c r="A83" t="s">
        <v>617</v>
      </c>
      <c r="B83">
        <v>71150</v>
      </c>
      <c r="C83" t="s">
        <v>575</v>
      </c>
      <c r="D83">
        <v>73860.5</v>
      </c>
      <c r="G83" s="51">
        <f t="shared" si="5"/>
        <v>70000</v>
      </c>
      <c r="H83" s="52">
        <f t="shared" si="6"/>
        <v>69289.045454545456</v>
      </c>
      <c r="I83" s="37">
        <f t="shared" si="7"/>
        <v>710.95454545454413</v>
      </c>
      <c r="J83">
        <f t="shared" si="8"/>
        <v>710.95454545454413</v>
      </c>
      <c r="K83">
        <f t="shared" si="9"/>
        <v>1.0156493506493487E-2</v>
      </c>
    </row>
    <row r="84" spans="1:11">
      <c r="A84" t="s">
        <v>618</v>
      </c>
      <c r="B84">
        <v>72870</v>
      </c>
      <c r="C84" t="s">
        <v>591</v>
      </c>
      <c r="D84">
        <v>72115.611111111109</v>
      </c>
      <c r="G84" s="51">
        <f t="shared" si="5"/>
        <v>71150</v>
      </c>
      <c r="H84" s="52">
        <f t="shared" si="6"/>
        <v>73860.5</v>
      </c>
      <c r="I84" s="37">
        <f t="shared" si="7"/>
        <v>-2710.5</v>
      </c>
      <c r="J84">
        <f t="shared" si="8"/>
        <v>2710.5</v>
      </c>
      <c r="K84">
        <f t="shared" si="9"/>
        <v>3.8095572733661279E-2</v>
      </c>
    </row>
    <row r="85" spans="1:11">
      <c r="A85" t="s">
        <v>619</v>
      </c>
      <c r="B85">
        <v>75700</v>
      </c>
      <c r="C85" t="s">
        <v>591</v>
      </c>
      <c r="D85">
        <v>72946.192307692312</v>
      </c>
      <c r="G85" s="51">
        <f t="shared" si="5"/>
        <v>72870</v>
      </c>
      <c r="H85" s="52">
        <f t="shared" si="6"/>
        <v>72115.611111111109</v>
      </c>
      <c r="I85" s="37">
        <f t="shared" si="7"/>
        <v>754.38888888889051</v>
      </c>
      <c r="J85">
        <f t="shared" si="8"/>
        <v>754.38888888889051</v>
      </c>
      <c r="K85">
        <f t="shared" si="9"/>
        <v>1.0352530381348847E-2</v>
      </c>
    </row>
    <row r="86" spans="1:11">
      <c r="A86" t="s">
        <v>620</v>
      </c>
      <c r="B86">
        <v>75650</v>
      </c>
      <c r="C86" t="s">
        <v>591</v>
      </c>
      <c r="D86">
        <v>75028.227272727279</v>
      </c>
      <c r="G86" s="51">
        <f t="shared" si="5"/>
        <v>75700</v>
      </c>
      <c r="H86" s="52">
        <f t="shared" si="6"/>
        <v>72946.192307692312</v>
      </c>
      <c r="I86" s="37">
        <f t="shared" si="7"/>
        <v>2753.8076923076878</v>
      </c>
      <c r="J86">
        <f t="shared" si="8"/>
        <v>2753.8076923076878</v>
      </c>
      <c r="K86">
        <f t="shared" si="9"/>
        <v>3.6377908749110802E-2</v>
      </c>
    </row>
    <row r="87" spans="1:11">
      <c r="A87" t="s">
        <v>621</v>
      </c>
      <c r="B87">
        <v>76380</v>
      </c>
      <c r="C87" t="s">
        <v>591</v>
      </c>
      <c r="D87">
        <v>74798.642857142855</v>
      </c>
      <c r="G87" s="51">
        <f t="shared" si="5"/>
        <v>75650</v>
      </c>
      <c r="H87" s="52">
        <f t="shared" si="6"/>
        <v>75028.227272727279</v>
      </c>
      <c r="I87" s="37">
        <f t="shared" si="7"/>
        <v>621.77272727272066</v>
      </c>
      <c r="J87">
        <f t="shared" si="8"/>
        <v>621.77272727272066</v>
      </c>
      <c r="K87">
        <f t="shared" si="9"/>
        <v>8.2190710809348401E-3</v>
      </c>
    </row>
    <row r="88" spans="1:11">
      <c r="A88" t="s">
        <v>622</v>
      </c>
      <c r="B88">
        <v>75730</v>
      </c>
      <c r="C88" t="s">
        <v>591</v>
      </c>
      <c r="D88">
        <v>75720.05</v>
      </c>
      <c r="G88" s="51">
        <f t="shared" si="5"/>
        <v>76380</v>
      </c>
      <c r="H88" s="52">
        <f t="shared" si="6"/>
        <v>74798.642857142855</v>
      </c>
      <c r="I88" s="37">
        <f t="shared" si="7"/>
        <v>1581.3571428571449</v>
      </c>
      <c r="J88">
        <f t="shared" si="8"/>
        <v>1581.3571428571449</v>
      </c>
      <c r="K88">
        <f t="shared" si="9"/>
        <v>2.0703811768226565E-2</v>
      </c>
    </row>
    <row r="89" spans="1:11">
      <c r="A89" t="s">
        <v>623</v>
      </c>
      <c r="B89">
        <v>74140</v>
      </c>
      <c r="C89" t="s">
        <v>591</v>
      </c>
      <c r="D89">
        <v>75586.192307692312</v>
      </c>
      <c r="G89" s="51">
        <f t="shared" si="5"/>
        <v>75730</v>
      </c>
      <c r="H89" s="52">
        <f t="shared" si="6"/>
        <v>75720.05</v>
      </c>
      <c r="I89" s="37">
        <f t="shared" si="7"/>
        <v>9.9499999999970896</v>
      </c>
      <c r="J89">
        <f t="shared" si="8"/>
        <v>9.9499999999970896</v>
      </c>
      <c r="K89">
        <f t="shared" si="9"/>
        <v>1.3138782516832284E-4</v>
      </c>
    </row>
    <row r="90" spans="1:11">
      <c r="A90" t="s">
        <v>624</v>
      </c>
      <c r="B90">
        <v>74130</v>
      </c>
      <c r="C90" t="s">
        <v>591</v>
      </c>
      <c r="D90">
        <v>73881.708333333328</v>
      </c>
      <c r="G90" s="51">
        <f t="shared" si="5"/>
        <v>74140</v>
      </c>
      <c r="H90" s="52">
        <f t="shared" si="6"/>
        <v>75586.192307692312</v>
      </c>
      <c r="I90" s="37">
        <f t="shared" si="7"/>
        <v>-1446.1923076923122</v>
      </c>
      <c r="J90">
        <f t="shared" si="8"/>
        <v>1446.1923076923122</v>
      </c>
      <c r="K90">
        <f t="shared" si="9"/>
        <v>1.9506235604158512E-2</v>
      </c>
    </row>
    <row r="91" spans="1:11">
      <c r="A91" t="s">
        <v>625</v>
      </c>
      <c r="B91">
        <v>71140</v>
      </c>
      <c r="C91" t="s">
        <v>591</v>
      </c>
      <c r="D91">
        <v>73787.05</v>
      </c>
      <c r="G91" s="51">
        <f t="shared" si="5"/>
        <v>74130</v>
      </c>
      <c r="H91" s="52">
        <f t="shared" si="6"/>
        <v>73881.708333333328</v>
      </c>
      <c r="I91" s="37">
        <f t="shared" si="7"/>
        <v>248.29166666667152</v>
      </c>
      <c r="J91">
        <f t="shared" si="8"/>
        <v>248.29166666667152</v>
      </c>
      <c r="K91">
        <f t="shared" si="9"/>
        <v>3.3494086964342578E-3</v>
      </c>
    </row>
    <row r="92" spans="1:11">
      <c r="A92" t="s">
        <v>626</v>
      </c>
      <c r="B92">
        <v>73140</v>
      </c>
      <c r="C92" t="s">
        <v>591</v>
      </c>
      <c r="D92">
        <v>72826.433333333334</v>
      </c>
      <c r="G92" s="51">
        <f t="shared" si="5"/>
        <v>71140</v>
      </c>
      <c r="H92" s="52">
        <f t="shared" si="6"/>
        <v>73787.05</v>
      </c>
      <c r="I92" s="37">
        <f t="shared" si="7"/>
        <v>-2647.0500000000029</v>
      </c>
      <c r="J92">
        <f t="shared" si="8"/>
        <v>2647.0500000000029</v>
      </c>
      <c r="K92">
        <f t="shared" si="9"/>
        <v>3.7209024458813647E-2</v>
      </c>
    </row>
    <row r="93" spans="1:11">
      <c r="A93" t="s">
        <v>627</v>
      </c>
      <c r="B93">
        <v>71950</v>
      </c>
      <c r="C93" t="s">
        <v>591</v>
      </c>
      <c r="D93">
        <v>73447.541666666672</v>
      </c>
      <c r="G93" s="51">
        <f t="shared" si="5"/>
        <v>73140</v>
      </c>
      <c r="H93" s="52">
        <f t="shared" si="6"/>
        <v>72826.433333333334</v>
      </c>
      <c r="I93" s="37">
        <f t="shared" si="7"/>
        <v>313.5666666666657</v>
      </c>
      <c r="J93">
        <f t="shared" si="8"/>
        <v>313.5666666666657</v>
      </c>
      <c r="K93">
        <f t="shared" si="9"/>
        <v>4.2872117400419157E-3</v>
      </c>
    </row>
    <row r="94" spans="1:11">
      <c r="A94" t="s">
        <v>628</v>
      </c>
      <c r="B94">
        <v>72670</v>
      </c>
      <c r="C94" t="s">
        <v>591</v>
      </c>
      <c r="D94">
        <v>72491.863636363632</v>
      </c>
      <c r="G94" s="51">
        <f t="shared" si="5"/>
        <v>71950</v>
      </c>
      <c r="H94" s="52">
        <f t="shared" si="6"/>
        <v>73447.541666666672</v>
      </c>
      <c r="I94" s="37">
        <f t="shared" si="7"/>
        <v>-1497.5416666666715</v>
      </c>
      <c r="J94">
        <f t="shared" si="8"/>
        <v>1497.5416666666715</v>
      </c>
      <c r="K94">
        <f t="shared" si="9"/>
        <v>2.0813643734074655E-2</v>
      </c>
    </row>
    <row r="95" spans="1:11">
      <c r="A95" t="s">
        <v>629</v>
      </c>
      <c r="B95">
        <v>72440</v>
      </c>
      <c r="C95" t="s">
        <v>591</v>
      </c>
      <c r="D95">
        <v>72761.576923076922</v>
      </c>
      <c r="G95" s="51">
        <f t="shared" si="5"/>
        <v>72670</v>
      </c>
      <c r="H95" s="52">
        <f t="shared" si="6"/>
        <v>72491.863636363632</v>
      </c>
      <c r="I95" s="37">
        <f t="shared" si="7"/>
        <v>178.13636363636761</v>
      </c>
      <c r="J95">
        <f t="shared" si="8"/>
        <v>178.13636363636761</v>
      </c>
      <c r="K95">
        <f t="shared" si="9"/>
        <v>2.4513054030049211E-3</v>
      </c>
    </row>
    <row r="96" spans="1:11">
      <c r="A96" t="s">
        <v>630</v>
      </c>
      <c r="B96">
        <v>71430</v>
      </c>
      <c r="C96" t="s">
        <v>591</v>
      </c>
      <c r="D96">
        <v>72549.269230769234</v>
      </c>
      <c r="G96" s="51">
        <f t="shared" si="5"/>
        <v>72440</v>
      </c>
      <c r="H96" s="52">
        <f t="shared" si="6"/>
        <v>72761.576923076922</v>
      </c>
      <c r="I96" s="37">
        <f t="shared" si="7"/>
        <v>-321.57692307692196</v>
      </c>
      <c r="J96">
        <f t="shared" si="8"/>
        <v>321.57692307692196</v>
      </c>
      <c r="K96">
        <f t="shared" si="9"/>
        <v>4.4392176018349253E-3</v>
      </c>
    </row>
    <row r="97" spans="1:11">
      <c r="A97" t="s">
        <v>631</v>
      </c>
      <c r="B97">
        <v>72580</v>
      </c>
      <c r="C97" t="s">
        <v>591</v>
      </c>
      <c r="D97">
        <v>72141.05</v>
      </c>
      <c r="G97" s="51">
        <f t="shared" si="5"/>
        <v>71430</v>
      </c>
      <c r="H97" s="52">
        <f t="shared" si="6"/>
        <v>72549.269230769234</v>
      </c>
      <c r="I97" s="37">
        <f t="shared" si="7"/>
        <v>-1119.2692307692341</v>
      </c>
      <c r="J97">
        <f t="shared" si="8"/>
        <v>1119.2692307692341</v>
      </c>
      <c r="K97">
        <f t="shared" si="9"/>
        <v>1.5669455841652444E-2</v>
      </c>
    </row>
    <row r="98" spans="1:11">
      <c r="A98" t="s">
        <v>632</v>
      </c>
      <c r="B98">
        <v>72250</v>
      </c>
      <c r="C98" t="s">
        <v>591</v>
      </c>
      <c r="D98">
        <v>72678.5</v>
      </c>
      <c r="G98" s="51">
        <f t="shared" si="5"/>
        <v>72580</v>
      </c>
      <c r="H98" s="52">
        <f t="shared" si="6"/>
        <v>72141.05</v>
      </c>
      <c r="I98" s="37">
        <f t="shared" si="7"/>
        <v>438.94999999999709</v>
      </c>
      <c r="J98">
        <f t="shared" si="8"/>
        <v>438.94999999999709</v>
      </c>
      <c r="K98">
        <f t="shared" si="9"/>
        <v>6.0478093138605273E-3</v>
      </c>
    </row>
    <row r="99" spans="1:11">
      <c r="A99" t="s">
        <v>633</v>
      </c>
      <c r="B99">
        <v>72750</v>
      </c>
      <c r="C99" t="s">
        <v>591</v>
      </c>
      <c r="D99">
        <v>72769.136363636368</v>
      </c>
      <c r="G99" s="51">
        <f t="shared" si="5"/>
        <v>72250</v>
      </c>
      <c r="H99" s="52">
        <f t="shared" si="6"/>
        <v>72678.5</v>
      </c>
      <c r="I99" s="37">
        <f t="shared" si="7"/>
        <v>-428.5</v>
      </c>
      <c r="J99">
        <f t="shared" si="8"/>
        <v>428.5</v>
      </c>
      <c r="K99">
        <f t="shared" si="9"/>
        <v>5.9307958477508652E-3</v>
      </c>
    </row>
    <row r="100" spans="1:11">
      <c r="A100" t="s">
        <v>634</v>
      </c>
      <c r="B100">
        <v>74530</v>
      </c>
      <c r="C100" t="s">
        <v>591</v>
      </c>
      <c r="D100">
        <v>72835.423076923078</v>
      </c>
      <c r="G100" s="51">
        <f t="shared" si="5"/>
        <v>72750</v>
      </c>
      <c r="H100" s="52">
        <f t="shared" si="6"/>
        <v>72769.136363636368</v>
      </c>
      <c r="I100" s="37">
        <f t="shared" si="7"/>
        <v>-19.136363636367605</v>
      </c>
      <c r="J100">
        <f t="shared" si="8"/>
        <v>19.136363636367605</v>
      </c>
      <c r="K100">
        <f t="shared" si="9"/>
        <v>2.6304279912532793E-4</v>
      </c>
    </row>
    <row r="101" spans="1:11">
      <c r="A101" t="s">
        <v>635</v>
      </c>
      <c r="B101">
        <v>74980</v>
      </c>
      <c r="C101" t="s">
        <v>591</v>
      </c>
      <c r="D101">
        <v>74207.05</v>
      </c>
      <c r="G101" s="51">
        <f t="shared" si="5"/>
        <v>74530</v>
      </c>
      <c r="H101" s="52">
        <f t="shared" si="6"/>
        <v>72835.423076923078</v>
      </c>
      <c r="I101" s="37">
        <f t="shared" si="7"/>
        <v>1694.576923076922</v>
      </c>
      <c r="J101">
        <f t="shared" si="8"/>
        <v>1694.576923076922</v>
      </c>
      <c r="K101">
        <f t="shared" si="9"/>
        <v>2.2736843191693574E-2</v>
      </c>
    </row>
    <row r="102" spans="1:11">
      <c r="A102" t="s">
        <v>636</v>
      </c>
      <c r="B102">
        <v>75270</v>
      </c>
      <c r="C102" t="s">
        <v>591</v>
      </c>
      <c r="D102">
        <v>74273.681818181823</v>
      </c>
      <c r="G102" s="51">
        <f t="shared" si="5"/>
        <v>74980</v>
      </c>
      <c r="H102" s="52">
        <f t="shared" si="6"/>
        <v>74207.05</v>
      </c>
      <c r="I102" s="37">
        <f t="shared" si="7"/>
        <v>772.94999999999709</v>
      </c>
      <c r="J102">
        <f t="shared" si="8"/>
        <v>772.94999999999709</v>
      </c>
      <c r="K102">
        <f t="shared" si="9"/>
        <v>1.0308748999733223E-2</v>
      </c>
    </row>
    <row r="103" spans="1:11">
      <c r="A103" t="s">
        <v>637</v>
      </c>
      <c r="B103">
        <v>71970</v>
      </c>
      <c r="C103" t="s">
        <v>591</v>
      </c>
      <c r="D103">
        <v>75161.576923076922</v>
      </c>
      <c r="G103" s="51">
        <f t="shared" si="5"/>
        <v>75270</v>
      </c>
      <c r="H103" s="52">
        <f t="shared" si="6"/>
        <v>74273.681818181823</v>
      </c>
      <c r="I103" s="37">
        <f t="shared" si="7"/>
        <v>996.31818181817653</v>
      </c>
      <c r="J103">
        <f t="shared" si="8"/>
        <v>996.31818181817653</v>
      </c>
      <c r="K103">
        <f t="shared" si="9"/>
        <v>1.3236590697730524E-2</v>
      </c>
    </row>
    <row r="104" spans="1:11">
      <c r="A104" t="s">
        <v>638</v>
      </c>
      <c r="B104">
        <v>72260</v>
      </c>
      <c r="C104" t="s">
        <v>591</v>
      </c>
      <c r="D104">
        <v>72885.071428571435</v>
      </c>
      <c r="G104" s="51">
        <f t="shared" si="5"/>
        <v>71970</v>
      </c>
      <c r="H104" s="52">
        <f t="shared" si="6"/>
        <v>75161.576923076922</v>
      </c>
      <c r="I104" s="37">
        <f t="shared" si="7"/>
        <v>-3191.576923076922</v>
      </c>
      <c r="J104">
        <f t="shared" si="8"/>
        <v>3191.576923076922</v>
      </c>
      <c r="K104">
        <f t="shared" si="9"/>
        <v>4.4345934737764652E-2</v>
      </c>
    </row>
    <row r="105" spans="1:11">
      <c r="A105" t="s">
        <v>639</v>
      </c>
      <c r="B105">
        <v>67730</v>
      </c>
      <c r="C105" t="s">
        <v>577</v>
      </c>
      <c r="D105">
        <v>68518.625</v>
      </c>
      <c r="G105" s="51">
        <f t="shared" si="5"/>
        <v>72260</v>
      </c>
      <c r="H105" s="52">
        <f t="shared" si="6"/>
        <v>72885.071428571435</v>
      </c>
      <c r="I105" s="37">
        <f t="shared" si="7"/>
        <v>-625.07142857143481</v>
      </c>
      <c r="J105">
        <f t="shared" si="8"/>
        <v>625.07142857143481</v>
      </c>
      <c r="K105">
        <f t="shared" si="9"/>
        <v>8.6503103870943093E-3</v>
      </c>
    </row>
    <row r="106" spans="1:11">
      <c r="A106" t="s">
        <v>640</v>
      </c>
      <c r="B106">
        <v>69550</v>
      </c>
      <c r="C106" t="s">
        <v>569</v>
      </c>
      <c r="D106">
        <v>67744.21428571429</v>
      </c>
      <c r="G106" s="51">
        <f t="shared" si="5"/>
        <v>67730</v>
      </c>
      <c r="H106" s="52">
        <f t="shared" si="6"/>
        <v>68518.625</v>
      </c>
      <c r="I106" s="37">
        <f t="shared" si="7"/>
        <v>-788.625</v>
      </c>
      <c r="J106">
        <f t="shared" si="8"/>
        <v>788.625</v>
      </c>
      <c r="K106">
        <f t="shared" si="9"/>
        <v>1.1643658644618337E-2</v>
      </c>
    </row>
    <row r="107" spans="1:11">
      <c r="A107" t="s">
        <v>641</v>
      </c>
      <c r="B107">
        <v>70230</v>
      </c>
      <c r="C107" t="s">
        <v>569</v>
      </c>
      <c r="D107">
        <v>68723.5</v>
      </c>
      <c r="G107" s="51">
        <f t="shared" si="5"/>
        <v>69550</v>
      </c>
      <c r="H107" s="52">
        <f t="shared" si="6"/>
        <v>67744.21428571429</v>
      </c>
      <c r="I107" s="37">
        <f t="shared" si="7"/>
        <v>1805.7857142857101</v>
      </c>
      <c r="J107">
        <f t="shared" si="8"/>
        <v>1805.7857142857101</v>
      </c>
      <c r="K107">
        <f t="shared" si="9"/>
        <v>2.5963849234877212E-2</v>
      </c>
    </row>
    <row r="108" spans="1:11">
      <c r="A108" t="s">
        <v>642</v>
      </c>
      <c r="B108">
        <v>69080</v>
      </c>
      <c r="C108" t="s">
        <v>569</v>
      </c>
      <c r="D108">
        <v>69305.95</v>
      </c>
      <c r="G108" s="51">
        <f t="shared" si="5"/>
        <v>70230</v>
      </c>
      <c r="H108" s="52">
        <f t="shared" si="6"/>
        <v>68723.5</v>
      </c>
      <c r="I108" s="37">
        <f t="shared" si="7"/>
        <v>1506.5</v>
      </c>
      <c r="J108">
        <f t="shared" si="8"/>
        <v>1506.5</v>
      </c>
      <c r="K108">
        <f t="shared" si="9"/>
        <v>2.1450946888793964E-2</v>
      </c>
    </row>
    <row r="109" spans="1:11">
      <c r="A109" t="s">
        <v>643</v>
      </c>
      <c r="B109">
        <v>67830</v>
      </c>
      <c r="C109" t="s">
        <v>569</v>
      </c>
      <c r="D109">
        <v>68983.807692307688</v>
      </c>
      <c r="G109" s="51">
        <f t="shared" si="5"/>
        <v>69080</v>
      </c>
      <c r="H109" s="52">
        <f t="shared" si="6"/>
        <v>69305.95</v>
      </c>
      <c r="I109" s="37">
        <f t="shared" si="7"/>
        <v>-225.94999999999709</v>
      </c>
      <c r="J109">
        <f t="shared" si="8"/>
        <v>225.94999999999709</v>
      </c>
      <c r="K109">
        <f t="shared" si="9"/>
        <v>3.2708453966415326E-3</v>
      </c>
    </row>
    <row r="110" spans="1:11">
      <c r="A110" t="s">
        <v>644</v>
      </c>
      <c r="B110">
        <v>66110</v>
      </c>
      <c r="C110" t="s">
        <v>569</v>
      </c>
      <c r="D110">
        <v>67829.961538461532</v>
      </c>
      <c r="G110" s="51">
        <f t="shared" si="5"/>
        <v>67830</v>
      </c>
      <c r="H110" s="52">
        <f t="shared" si="6"/>
        <v>68983.807692307688</v>
      </c>
      <c r="I110" s="37">
        <f t="shared" si="7"/>
        <v>-1153.8076923076878</v>
      </c>
      <c r="J110">
        <f t="shared" si="8"/>
        <v>1153.8076923076878</v>
      </c>
      <c r="K110">
        <f t="shared" si="9"/>
        <v>1.7010285895734747E-2</v>
      </c>
    </row>
    <row r="111" spans="1:11">
      <c r="A111" t="s">
        <v>645</v>
      </c>
      <c r="B111">
        <v>65150</v>
      </c>
      <c r="C111" t="s">
        <v>569</v>
      </c>
      <c r="D111">
        <v>66370.791666666672</v>
      </c>
      <c r="G111" s="51">
        <f t="shared" si="5"/>
        <v>66110</v>
      </c>
      <c r="H111" s="52">
        <f t="shared" si="6"/>
        <v>67829.961538461532</v>
      </c>
      <c r="I111" s="37">
        <f t="shared" si="7"/>
        <v>-1719.9615384615317</v>
      </c>
      <c r="J111">
        <f t="shared" si="8"/>
        <v>1719.9615384615317</v>
      </c>
      <c r="K111">
        <f t="shared" si="9"/>
        <v>2.6016662206345964E-2</v>
      </c>
    </row>
    <row r="112" spans="1:11">
      <c r="A112" t="s">
        <v>646</v>
      </c>
      <c r="B112">
        <v>66660</v>
      </c>
      <c r="C112" t="s">
        <v>569</v>
      </c>
      <c r="D112">
        <v>65996.611111111109</v>
      </c>
      <c r="G112" s="51">
        <f t="shared" si="5"/>
        <v>65150</v>
      </c>
      <c r="H112" s="52">
        <f t="shared" si="6"/>
        <v>66370.791666666672</v>
      </c>
      <c r="I112" s="37">
        <f t="shared" si="7"/>
        <v>-1220.7916666666715</v>
      </c>
      <c r="J112">
        <f t="shared" si="8"/>
        <v>1220.7916666666715</v>
      </c>
      <c r="K112">
        <f t="shared" si="9"/>
        <v>1.873816832949611E-2</v>
      </c>
    </row>
    <row r="113" spans="1:11">
      <c r="A113" t="s">
        <v>647</v>
      </c>
      <c r="B113">
        <v>63750</v>
      </c>
      <c r="C113" t="s">
        <v>648</v>
      </c>
      <c r="D113">
        <v>61798.5</v>
      </c>
      <c r="G113" s="51">
        <f t="shared" si="5"/>
        <v>66660</v>
      </c>
      <c r="H113" s="52">
        <f t="shared" si="6"/>
        <v>65996.611111111109</v>
      </c>
      <c r="I113" s="37">
        <f t="shared" si="7"/>
        <v>663.38888888889051</v>
      </c>
      <c r="J113">
        <f t="shared" si="8"/>
        <v>663.38888888889051</v>
      </c>
      <c r="K113">
        <f t="shared" si="9"/>
        <v>9.9518285161849761E-3</v>
      </c>
    </row>
    <row r="114" spans="1:11">
      <c r="A114" t="s">
        <v>649</v>
      </c>
      <c r="B114">
        <v>62890</v>
      </c>
      <c r="C114" t="s">
        <v>560</v>
      </c>
      <c r="D114">
        <v>62714.85</v>
      </c>
      <c r="G114" s="51">
        <f t="shared" si="5"/>
        <v>63750</v>
      </c>
      <c r="H114" s="52">
        <f t="shared" si="6"/>
        <v>61798.5</v>
      </c>
      <c r="I114" s="37">
        <f t="shared" si="7"/>
        <v>1951.5</v>
      </c>
      <c r="J114">
        <f t="shared" si="8"/>
        <v>1951.5</v>
      </c>
      <c r="K114">
        <f t="shared" si="9"/>
        <v>3.0611764705882352E-2</v>
      </c>
    </row>
    <row r="115" spans="1:11">
      <c r="A115" t="s">
        <v>650</v>
      </c>
      <c r="B115">
        <v>58530</v>
      </c>
      <c r="C115" t="s">
        <v>651</v>
      </c>
      <c r="D115">
        <v>56253.75</v>
      </c>
      <c r="G115" s="51">
        <f t="shared" si="5"/>
        <v>62890</v>
      </c>
      <c r="H115" s="52">
        <f t="shared" si="6"/>
        <v>62714.85</v>
      </c>
      <c r="I115" s="37">
        <f t="shared" si="7"/>
        <v>175.15000000000146</v>
      </c>
      <c r="J115">
        <f t="shared" si="8"/>
        <v>175.15000000000146</v>
      </c>
      <c r="K115">
        <f t="shared" si="9"/>
        <v>2.7850214660518598E-3</v>
      </c>
    </row>
    <row r="116" spans="1:11">
      <c r="A116" t="s">
        <v>652</v>
      </c>
      <c r="B116">
        <v>59070</v>
      </c>
      <c r="C116" t="s">
        <v>558</v>
      </c>
      <c r="D116">
        <v>60525.366666666683</v>
      </c>
      <c r="G116" s="51">
        <f t="shared" si="5"/>
        <v>58530</v>
      </c>
      <c r="H116" s="52">
        <f t="shared" si="6"/>
        <v>56253.75</v>
      </c>
      <c r="I116" s="37">
        <f t="shared" si="7"/>
        <v>2276.25</v>
      </c>
      <c r="J116">
        <f t="shared" si="8"/>
        <v>2276.25</v>
      </c>
      <c r="K116">
        <f t="shared" si="9"/>
        <v>3.8890312660174273E-2</v>
      </c>
    </row>
    <row r="117" spans="1:11">
      <c r="A117" t="s">
        <v>653</v>
      </c>
      <c r="B117">
        <v>59810</v>
      </c>
      <c r="C117" t="s">
        <v>560</v>
      </c>
      <c r="D117">
        <v>61080.033333333333</v>
      </c>
      <c r="G117" s="51">
        <f t="shared" si="5"/>
        <v>59070</v>
      </c>
      <c r="H117" s="52">
        <f t="shared" si="6"/>
        <v>60525.366666666683</v>
      </c>
      <c r="I117" s="37">
        <f t="shared" si="7"/>
        <v>-1455.3666666666832</v>
      </c>
      <c r="J117">
        <f t="shared" si="8"/>
        <v>1455.3666666666832</v>
      </c>
      <c r="K117">
        <f t="shared" si="9"/>
        <v>2.4638000112860728E-2</v>
      </c>
    </row>
    <row r="118" spans="1:11">
      <c r="A118" t="s">
        <v>654</v>
      </c>
      <c r="B118">
        <v>61730</v>
      </c>
      <c r="C118" t="s">
        <v>560</v>
      </c>
      <c r="D118">
        <v>59962.961538461539</v>
      </c>
      <c r="G118" s="51">
        <f t="shared" si="5"/>
        <v>59810</v>
      </c>
      <c r="H118" s="52">
        <f t="shared" si="6"/>
        <v>61080.033333333333</v>
      </c>
      <c r="I118" s="37">
        <f t="shared" si="7"/>
        <v>-1270.0333333333328</v>
      </c>
      <c r="J118">
        <f t="shared" si="8"/>
        <v>1270.0333333333328</v>
      </c>
      <c r="K118">
        <f t="shared" si="9"/>
        <v>2.1234464693752429E-2</v>
      </c>
    </row>
    <row r="119" spans="1:11">
      <c r="A119" t="s">
        <v>655</v>
      </c>
      <c r="B119">
        <v>61530</v>
      </c>
      <c r="C119" t="s">
        <v>560</v>
      </c>
      <c r="D119">
        <v>61736.227272727272</v>
      </c>
      <c r="G119" s="51">
        <f t="shared" si="5"/>
        <v>61730</v>
      </c>
      <c r="H119" s="52">
        <f t="shared" si="6"/>
        <v>59962.961538461539</v>
      </c>
      <c r="I119" s="37">
        <f t="shared" si="7"/>
        <v>1767.038461538461</v>
      </c>
      <c r="J119">
        <f t="shared" si="8"/>
        <v>1767.038461538461</v>
      </c>
      <c r="K119">
        <f t="shared" si="9"/>
        <v>2.8625278819673756E-2</v>
      </c>
    </row>
    <row r="120" spans="1:11">
      <c r="A120" t="s">
        <v>656</v>
      </c>
      <c r="B120">
        <v>59510</v>
      </c>
      <c r="C120" t="s">
        <v>560</v>
      </c>
      <c r="D120">
        <v>61559.833333333343</v>
      </c>
      <c r="G120" s="51">
        <f t="shared" si="5"/>
        <v>61530</v>
      </c>
      <c r="H120" s="52">
        <f t="shared" si="6"/>
        <v>61736.227272727272</v>
      </c>
      <c r="I120" s="37">
        <f t="shared" si="7"/>
        <v>-206.22727272727207</v>
      </c>
      <c r="J120">
        <f t="shared" si="8"/>
        <v>206.22727272727207</v>
      </c>
      <c r="K120">
        <f t="shared" si="9"/>
        <v>3.3516540342478801E-3</v>
      </c>
    </row>
    <row r="121" spans="1:11">
      <c r="A121" t="s">
        <v>657</v>
      </c>
      <c r="B121">
        <v>59530</v>
      </c>
      <c r="C121" t="s">
        <v>560</v>
      </c>
      <c r="D121">
        <v>60592.3125</v>
      </c>
      <c r="G121" s="51">
        <f t="shared" si="5"/>
        <v>59510</v>
      </c>
      <c r="H121" s="52">
        <f t="shared" si="6"/>
        <v>61559.833333333343</v>
      </c>
      <c r="I121" s="37">
        <f t="shared" si="7"/>
        <v>-2049.833333333343</v>
      </c>
      <c r="J121">
        <f t="shared" si="8"/>
        <v>2049.833333333343</v>
      </c>
      <c r="K121">
        <f t="shared" si="9"/>
        <v>3.4445191284378139E-2</v>
      </c>
    </row>
    <row r="122" spans="1:11">
      <c r="A122" t="s">
        <v>658</v>
      </c>
      <c r="B122">
        <v>60580</v>
      </c>
      <c r="C122" t="s">
        <v>560</v>
      </c>
      <c r="D122">
        <v>60688.5625</v>
      </c>
      <c r="G122" s="51">
        <f t="shared" si="5"/>
        <v>59530</v>
      </c>
      <c r="H122" s="52">
        <f t="shared" si="6"/>
        <v>60592.3125</v>
      </c>
      <c r="I122" s="37">
        <f t="shared" si="7"/>
        <v>-1062.3125</v>
      </c>
      <c r="J122">
        <f t="shared" si="8"/>
        <v>1062.3125</v>
      </c>
      <c r="K122">
        <f t="shared" si="9"/>
        <v>1.7844994120611458E-2</v>
      </c>
    </row>
    <row r="123" spans="1:11">
      <c r="A123" t="s">
        <v>659</v>
      </c>
      <c r="B123">
        <v>54950</v>
      </c>
      <c r="C123" t="s">
        <v>651</v>
      </c>
      <c r="D123">
        <v>57259.166666666657</v>
      </c>
      <c r="G123" s="51">
        <f t="shared" si="5"/>
        <v>60580</v>
      </c>
      <c r="H123" s="52">
        <f t="shared" si="6"/>
        <v>60688.5625</v>
      </c>
      <c r="I123" s="37">
        <f t="shared" si="7"/>
        <v>-108.5625</v>
      </c>
      <c r="J123">
        <f t="shared" si="8"/>
        <v>108.5625</v>
      </c>
      <c r="K123">
        <f t="shared" si="9"/>
        <v>1.7920518322878838E-3</v>
      </c>
    </row>
    <row r="124" spans="1:11">
      <c r="A124" t="s">
        <v>660</v>
      </c>
      <c r="B124">
        <v>62750</v>
      </c>
      <c r="C124" t="s">
        <v>558</v>
      </c>
      <c r="D124">
        <v>61812.833333333343</v>
      </c>
      <c r="G124" s="51">
        <f t="shared" si="5"/>
        <v>54950</v>
      </c>
      <c r="H124" s="52">
        <f t="shared" si="6"/>
        <v>57259.166666666657</v>
      </c>
      <c r="I124" s="37">
        <f t="shared" si="7"/>
        <v>-2309.166666666657</v>
      </c>
      <c r="J124">
        <f t="shared" si="8"/>
        <v>2309.166666666657</v>
      </c>
      <c r="K124">
        <f t="shared" si="9"/>
        <v>4.2023051258719871E-2</v>
      </c>
    </row>
    <row r="125" spans="1:11">
      <c r="A125" t="s">
        <v>661</v>
      </c>
      <c r="B125">
        <v>57010</v>
      </c>
      <c r="C125" t="s">
        <v>651</v>
      </c>
      <c r="D125">
        <v>56805.833333333343</v>
      </c>
      <c r="G125" s="51">
        <f t="shared" si="5"/>
        <v>62750</v>
      </c>
      <c r="H125" s="52">
        <f t="shared" si="6"/>
        <v>61812.833333333343</v>
      </c>
      <c r="I125" s="37">
        <f t="shared" si="7"/>
        <v>937.16666666665697</v>
      </c>
      <c r="J125">
        <f t="shared" si="8"/>
        <v>937.16666666665697</v>
      </c>
      <c r="K125">
        <f t="shared" si="9"/>
        <v>1.4934926958831187E-2</v>
      </c>
    </row>
    <row r="126" spans="1:11">
      <c r="A126" t="s">
        <v>662</v>
      </c>
      <c r="B126">
        <v>57380</v>
      </c>
      <c r="C126" t="s">
        <v>549</v>
      </c>
      <c r="D126">
        <v>56185.277777777781</v>
      </c>
      <c r="G126" s="51">
        <f t="shared" si="5"/>
        <v>57010</v>
      </c>
      <c r="H126" s="52">
        <f t="shared" si="6"/>
        <v>56805.833333333343</v>
      </c>
      <c r="I126" s="37">
        <f t="shared" si="7"/>
        <v>204.16666666665697</v>
      </c>
      <c r="J126">
        <f t="shared" si="8"/>
        <v>204.16666666665697</v>
      </c>
      <c r="K126">
        <f t="shared" si="9"/>
        <v>3.5812430567734952E-3</v>
      </c>
    </row>
    <row r="127" spans="1:11">
      <c r="A127" t="s">
        <v>663</v>
      </c>
      <c r="B127">
        <v>53210</v>
      </c>
      <c r="C127" t="s">
        <v>549</v>
      </c>
      <c r="D127">
        <v>56663.75</v>
      </c>
      <c r="G127" s="51">
        <f t="shared" si="5"/>
        <v>57380</v>
      </c>
      <c r="H127" s="52">
        <f t="shared" si="6"/>
        <v>56185.277777777781</v>
      </c>
      <c r="I127" s="37">
        <f t="shared" si="7"/>
        <v>1194.722222222219</v>
      </c>
      <c r="J127">
        <f t="shared" si="8"/>
        <v>1194.722222222219</v>
      </c>
      <c r="K127">
        <f t="shared" si="9"/>
        <v>2.082123078114707E-2</v>
      </c>
    </row>
    <row r="128" spans="1:11">
      <c r="A128" t="s">
        <v>664</v>
      </c>
      <c r="B128">
        <v>51760</v>
      </c>
      <c r="C128" t="s">
        <v>531</v>
      </c>
      <c r="D128">
        <v>51058.633333333331</v>
      </c>
      <c r="G128" s="51">
        <f t="shared" si="5"/>
        <v>53210</v>
      </c>
      <c r="H128" s="52">
        <f t="shared" si="6"/>
        <v>56663.75</v>
      </c>
      <c r="I128" s="37">
        <f t="shared" si="7"/>
        <v>-3453.75</v>
      </c>
      <c r="J128">
        <f t="shared" si="8"/>
        <v>3453.75</v>
      </c>
      <c r="K128">
        <f t="shared" si="9"/>
        <v>6.4907912046607785E-2</v>
      </c>
    </row>
    <row r="129" spans="1:11">
      <c r="A129" t="s">
        <v>665</v>
      </c>
      <c r="B129">
        <v>52480</v>
      </c>
      <c r="C129" t="s">
        <v>527</v>
      </c>
      <c r="D129">
        <v>50888.071428571428</v>
      </c>
      <c r="G129" s="51">
        <f t="shared" si="5"/>
        <v>51760</v>
      </c>
      <c r="H129" s="52">
        <f t="shared" si="6"/>
        <v>51058.633333333331</v>
      </c>
      <c r="I129" s="37">
        <f t="shared" si="7"/>
        <v>701.36666666666861</v>
      </c>
      <c r="J129">
        <f t="shared" si="8"/>
        <v>701.36666666666861</v>
      </c>
      <c r="K129">
        <f t="shared" si="9"/>
        <v>1.3550360638845993E-2</v>
      </c>
    </row>
    <row r="130" spans="1:11">
      <c r="A130" t="s">
        <v>666</v>
      </c>
      <c r="B130">
        <v>50460</v>
      </c>
      <c r="C130" t="s">
        <v>527</v>
      </c>
      <c r="D130">
        <v>51647.944444444453</v>
      </c>
      <c r="G130" s="51">
        <f t="shared" si="5"/>
        <v>52480</v>
      </c>
      <c r="H130" s="52">
        <f t="shared" si="6"/>
        <v>50888.071428571428</v>
      </c>
      <c r="I130" s="37">
        <f t="shared" si="7"/>
        <v>1591.9285714285725</v>
      </c>
      <c r="J130">
        <f t="shared" si="8"/>
        <v>1591.9285714285725</v>
      </c>
      <c r="K130">
        <f t="shared" si="9"/>
        <v>3.0334004790940786E-2</v>
      </c>
    </row>
    <row r="131" spans="1:11">
      <c r="A131" t="s">
        <v>667</v>
      </c>
      <c r="B131">
        <v>52260</v>
      </c>
      <c r="C131" t="s">
        <v>527</v>
      </c>
      <c r="D131">
        <v>50127.65</v>
      </c>
      <c r="G131" s="51">
        <f t="shared" si="5"/>
        <v>50460</v>
      </c>
      <c r="H131" s="52">
        <f t="shared" si="6"/>
        <v>51647.944444444453</v>
      </c>
      <c r="I131" s="37">
        <f t="shared" si="7"/>
        <v>-1187.9444444444525</v>
      </c>
      <c r="J131">
        <f t="shared" si="8"/>
        <v>1187.9444444444525</v>
      </c>
      <c r="K131">
        <f t="shared" si="9"/>
        <v>2.3542299731360534E-2</v>
      </c>
    </row>
    <row r="132" spans="1:11">
      <c r="A132" t="s">
        <v>668</v>
      </c>
      <c r="B132">
        <v>50290</v>
      </c>
      <c r="C132" t="s">
        <v>527</v>
      </c>
      <c r="D132">
        <v>51994.708333333343</v>
      </c>
      <c r="G132" s="51">
        <f t="shared" ref="G132:G195" si="10">B131</f>
        <v>52260</v>
      </c>
      <c r="H132" s="52">
        <f t="shared" ref="H132:H195" si="11">D131</f>
        <v>50127.65</v>
      </c>
      <c r="I132" s="37">
        <f t="shared" si="7"/>
        <v>2132.3499999999985</v>
      </c>
      <c r="J132">
        <f t="shared" si="8"/>
        <v>2132.3499999999985</v>
      </c>
      <c r="K132">
        <f t="shared" si="9"/>
        <v>4.0802717183314172E-2</v>
      </c>
    </row>
    <row r="133" spans="1:11">
      <c r="A133" t="s">
        <v>669</v>
      </c>
      <c r="B133">
        <v>50020</v>
      </c>
      <c r="C133" t="s">
        <v>527</v>
      </c>
      <c r="D133">
        <v>50247.423076923078</v>
      </c>
      <c r="G133" s="51">
        <f t="shared" si="10"/>
        <v>50290</v>
      </c>
      <c r="H133" s="52">
        <f t="shared" si="11"/>
        <v>51994.708333333343</v>
      </c>
      <c r="I133" s="37">
        <f t="shared" si="7"/>
        <v>-1704.708333333343</v>
      </c>
      <c r="J133">
        <f t="shared" si="8"/>
        <v>1704.708333333343</v>
      </c>
      <c r="K133">
        <f t="shared" si="9"/>
        <v>3.3897560813945973E-2</v>
      </c>
    </row>
    <row r="134" spans="1:11">
      <c r="A134" t="s">
        <v>670</v>
      </c>
      <c r="B134">
        <v>48820</v>
      </c>
      <c r="C134" t="s">
        <v>527</v>
      </c>
      <c r="D134">
        <v>49988.5</v>
      </c>
      <c r="G134" s="51">
        <f t="shared" si="10"/>
        <v>50020</v>
      </c>
      <c r="H134" s="52">
        <f t="shared" si="11"/>
        <v>50247.423076923078</v>
      </c>
      <c r="I134" s="37">
        <f t="shared" ref="I134:I197" si="12">G134-H134</f>
        <v>-227.42307692307804</v>
      </c>
      <c r="J134">
        <f t="shared" ref="J134:J197" si="13">ABS(I134)</f>
        <v>227.42307692307804</v>
      </c>
      <c r="K134">
        <f t="shared" ref="K134:K197" si="14">J134/G134</f>
        <v>4.5466428813090371E-3</v>
      </c>
    </row>
    <row r="135" spans="1:11">
      <c r="A135" t="s">
        <v>671</v>
      </c>
      <c r="B135">
        <v>49970</v>
      </c>
      <c r="C135" t="s">
        <v>527</v>
      </c>
      <c r="D135">
        <v>49128.875</v>
      </c>
      <c r="G135" s="51">
        <f t="shared" si="10"/>
        <v>48820</v>
      </c>
      <c r="H135" s="52">
        <f t="shared" si="11"/>
        <v>49988.5</v>
      </c>
      <c r="I135" s="37">
        <f t="shared" si="12"/>
        <v>-1168.5</v>
      </c>
      <c r="J135">
        <f t="shared" si="13"/>
        <v>1168.5</v>
      </c>
      <c r="K135">
        <f t="shared" si="14"/>
        <v>2.3934862761163456E-2</v>
      </c>
    </row>
    <row r="136" spans="1:11">
      <c r="A136" t="s">
        <v>672</v>
      </c>
      <c r="B136">
        <v>50880</v>
      </c>
      <c r="C136" t="s">
        <v>527</v>
      </c>
      <c r="D136">
        <v>49952.038461538461</v>
      </c>
      <c r="G136" s="51">
        <f t="shared" si="10"/>
        <v>49970</v>
      </c>
      <c r="H136" s="52">
        <f t="shared" si="11"/>
        <v>49128.875</v>
      </c>
      <c r="I136" s="37">
        <f t="shared" si="12"/>
        <v>841.125</v>
      </c>
      <c r="J136">
        <f t="shared" si="13"/>
        <v>841.125</v>
      </c>
      <c r="K136">
        <f t="shared" si="14"/>
        <v>1.6832599559735841E-2</v>
      </c>
    </row>
    <row r="137" spans="1:11">
      <c r="A137" t="s">
        <v>673</v>
      </c>
      <c r="B137">
        <v>50770</v>
      </c>
      <c r="C137" t="s">
        <v>527</v>
      </c>
      <c r="D137">
        <v>50792.038461538461</v>
      </c>
      <c r="G137" s="51">
        <f t="shared" si="10"/>
        <v>50880</v>
      </c>
      <c r="H137" s="52">
        <f t="shared" si="11"/>
        <v>49952.038461538461</v>
      </c>
      <c r="I137" s="37">
        <f t="shared" si="12"/>
        <v>927.96153846153902</v>
      </c>
      <c r="J137">
        <f t="shared" si="13"/>
        <v>927.96153846153902</v>
      </c>
      <c r="K137">
        <f t="shared" si="14"/>
        <v>1.823823778422836E-2</v>
      </c>
    </row>
    <row r="138" spans="1:11">
      <c r="A138" t="s">
        <v>674</v>
      </c>
      <c r="B138">
        <v>49520</v>
      </c>
      <c r="C138" t="s">
        <v>527</v>
      </c>
      <c r="D138">
        <v>50483.875</v>
      </c>
      <c r="G138" s="51">
        <f t="shared" si="10"/>
        <v>50770</v>
      </c>
      <c r="H138" s="52">
        <f t="shared" si="11"/>
        <v>50792.038461538461</v>
      </c>
      <c r="I138" s="37">
        <f t="shared" si="12"/>
        <v>-22.038461538460979</v>
      </c>
      <c r="J138">
        <f t="shared" si="13"/>
        <v>22.038461538460979</v>
      </c>
      <c r="K138">
        <f t="shared" si="14"/>
        <v>4.3408433205556387E-4</v>
      </c>
    </row>
    <row r="139" spans="1:11">
      <c r="A139" t="s">
        <v>675</v>
      </c>
      <c r="B139">
        <v>47690</v>
      </c>
      <c r="C139" t="s">
        <v>527</v>
      </c>
      <c r="D139">
        <v>49539.681818181823</v>
      </c>
      <c r="G139" s="51">
        <f t="shared" si="10"/>
        <v>49520</v>
      </c>
      <c r="H139" s="52">
        <f t="shared" si="11"/>
        <v>50483.875</v>
      </c>
      <c r="I139" s="37">
        <f t="shared" si="12"/>
        <v>-963.875</v>
      </c>
      <c r="J139">
        <f t="shared" si="13"/>
        <v>963.875</v>
      </c>
      <c r="K139">
        <f t="shared" si="14"/>
        <v>1.9464357835218094E-2</v>
      </c>
    </row>
    <row r="140" spans="1:11">
      <c r="A140" t="s">
        <v>676</v>
      </c>
      <c r="B140">
        <v>48050</v>
      </c>
      <c r="C140" t="s">
        <v>527</v>
      </c>
      <c r="D140">
        <v>48139.681818181823</v>
      </c>
      <c r="G140" s="51">
        <f t="shared" si="10"/>
        <v>47690</v>
      </c>
      <c r="H140" s="52">
        <f t="shared" si="11"/>
        <v>49539.681818181823</v>
      </c>
      <c r="I140" s="37">
        <f t="shared" si="12"/>
        <v>-1849.6818181818235</v>
      </c>
      <c r="J140">
        <f t="shared" si="13"/>
        <v>1849.6818181818235</v>
      </c>
      <c r="K140">
        <f t="shared" si="14"/>
        <v>3.8785527745477534E-2</v>
      </c>
    </row>
    <row r="141" spans="1:11">
      <c r="A141" t="s">
        <v>677</v>
      </c>
      <c r="B141">
        <v>50510</v>
      </c>
      <c r="C141" t="s">
        <v>527</v>
      </c>
      <c r="D141">
        <v>49100.65</v>
      </c>
      <c r="G141" s="51">
        <f t="shared" si="10"/>
        <v>48050</v>
      </c>
      <c r="H141" s="52">
        <f t="shared" si="11"/>
        <v>48139.681818181823</v>
      </c>
      <c r="I141" s="37">
        <f t="shared" si="12"/>
        <v>-89.681818181823473</v>
      </c>
      <c r="J141">
        <f t="shared" si="13"/>
        <v>89.681818181823473</v>
      </c>
      <c r="K141">
        <f t="shared" si="14"/>
        <v>1.8664270173116228E-3</v>
      </c>
    </row>
    <row r="142" spans="1:11">
      <c r="A142" t="s">
        <v>678</v>
      </c>
      <c r="B142">
        <v>50330</v>
      </c>
      <c r="C142" t="s">
        <v>527</v>
      </c>
      <c r="D142">
        <v>50424.055555555547</v>
      </c>
      <c r="G142" s="51">
        <f t="shared" si="10"/>
        <v>50510</v>
      </c>
      <c r="H142" s="52">
        <f t="shared" si="11"/>
        <v>49100.65</v>
      </c>
      <c r="I142" s="37">
        <f t="shared" si="12"/>
        <v>1409.3499999999985</v>
      </c>
      <c r="J142">
        <f t="shared" si="13"/>
        <v>1409.3499999999985</v>
      </c>
      <c r="K142">
        <f t="shared" si="14"/>
        <v>2.7902395565234578E-2</v>
      </c>
    </row>
    <row r="143" spans="1:11">
      <c r="A143" t="s">
        <v>679</v>
      </c>
      <c r="B143">
        <v>49650</v>
      </c>
      <c r="C143" t="s">
        <v>527</v>
      </c>
      <c r="D143">
        <v>50264.055555555547</v>
      </c>
      <c r="G143" s="51">
        <f t="shared" si="10"/>
        <v>50330</v>
      </c>
      <c r="H143" s="52">
        <f t="shared" si="11"/>
        <v>50424.055555555547</v>
      </c>
      <c r="I143" s="37">
        <f t="shared" si="12"/>
        <v>-94.055555555547471</v>
      </c>
      <c r="J143">
        <f t="shared" si="13"/>
        <v>94.055555555547471</v>
      </c>
      <c r="K143">
        <f t="shared" si="14"/>
        <v>1.8687771817116525E-3</v>
      </c>
    </row>
    <row r="144" spans="1:11">
      <c r="A144" t="s">
        <v>680</v>
      </c>
      <c r="B144">
        <v>51200</v>
      </c>
      <c r="C144" t="s">
        <v>527</v>
      </c>
      <c r="D144">
        <v>49656.653846153837</v>
      </c>
      <c r="G144" s="51">
        <f t="shared" si="10"/>
        <v>49650</v>
      </c>
      <c r="H144" s="52">
        <f t="shared" si="11"/>
        <v>50264.055555555547</v>
      </c>
      <c r="I144" s="37">
        <f t="shared" si="12"/>
        <v>-614.05555555554747</v>
      </c>
      <c r="J144">
        <f t="shared" si="13"/>
        <v>614.05555555554747</v>
      </c>
      <c r="K144">
        <f t="shared" si="14"/>
        <v>1.2367684905449093E-2</v>
      </c>
    </row>
    <row r="145" spans="1:11">
      <c r="A145" t="s">
        <v>681</v>
      </c>
      <c r="B145">
        <v>53460</v>
      </c>
      <c r="C145" t="s">
        <v>529</v>
      </c>
      <c r="D145">
        <v>54172.5</v>
      </c>
      <c r="G145" s="51">
        <f t="shared" si="10"/>
        <v>51200</v>
      </c>
      <c r="H145" s="52">
        <f t="shared" si="11"/>
        <v>49656.653846153837</v>
      </c>
      <c r="I145" s="37">
        <f t="shared" si="12"/>
        <v>1543.3461538461634</v>
      </c>
      <c r="J145">
        <f t="shared" si="13"/>
        <v>1543.3461538461634</v>
      </c>
      <c r="K145">
        <f t="shared" si="14"/>
        <v>3.0143479567307879E-2</v>
      </c>
    </row>
    <row r="146" spans="1:11">
      <c r="A146" t="s">
        <v>682</v>
      </c>
      <c r="B146">
        <v>53520</v>
      </c>
      <c r="C146" t="s">
        <v>549</v>
      </c>
      <c r="D146">
        <v>54116.75</v>
      </c>
      <c r="G146" s="51">
        <f t="shared" si="10"/>
        <v>53460</v>
      </c>
      <c r="H146" s="52">
        <f t="shared" si="11"/>
        <v>54172.5</v>
      </c>
      <c r="I146" s="37">
        <f t="shared" si="12"/>
        <v>-712.5</v>
      </c>
      <c r="J146">
        <f t="shared" si="13"/>
        <v>712.5</v>
      </c>
      <c r="K146">
        <f t="shared" si="14"/>
        <v>1.3327721661054994E-2</v>
      </c>
    </row>
    <row r="147" spans="1:11">
      <c r="A147" t="s">
        <v>683</v>
      </c>
      <c r="B147">
        <v>54710</v>
      </c>
      <c r="C147" t="s">
        <v>549</v>
      </c>
      <c r="D147">
        <v>54763.4375</v>
      </c>
      <c r="G147" s="51">
        <f t="shared" si="10"/>
        <v>53520</v>
      </c>
      <c r="H147" s="52">
        <f t="shared" si="11"/>
        <v>54116.75</v>
      </c>
      <c r="I147" s="37">
        <f t="shared" si="12"/>
        <v>-596.75</v>
      </c>
      <c r="J147">
        <f t="shared" si="13"/>
        <v>596.75</v>
      </c>
      <c r="K147">
        <f t="shared" si="14"/>
        <v>1.1150037369207774E-2</v>
      </c>
    </row>
    <row r="148" spans="1:11">
      <c r="A148" t="s">
        <v>684</v>
      </c>
      <c r="B148">
        <v>56030</v>
      </c>
      <c r="C148" t="s">
        <v>549</v>
      </c>
      <c r="D148">
        <v>55319.772727272728</v>
      </c>
      <c r="G148" s="51">
        <f t="shared" si="10"/>
        <v>54710</v>
      </c>
      <c r="H148" s="52">
        <f t="shared" si="11"/>
        <v>54763.4375</v>
      </c>
      <c r="I148" s="37">
        <f t="shared" si="12"/>
        <v>-53.4375</v>
      </c>
      <c r="J148">
        <f t="shared" si="13"/>
        <v>53.4375</v>
      </c>
      <c r="K148">
        <f t="shared" si="14"/>
        <v>9.7674099798939862E-4</v>
      </c>
    </row>
    <row r="149" spans="1:11">
      <c r="A149" t="s">
        <v>685</v>
      </c>
      <c r="B149">
        <v>56040</v>
      </c>
      <c r="C149" t="s">
        <v>549</v>
      </c>
      <c r="D149">
        <v>56009.807692307702</v>
      </c>
      <c r="G149" s="51">
        <f t="shared" si="10"/>
        <v>56030</v>
      </c>
      <c r="H149" s="52">
        <f t="shared" si="11"/>
        <v>55319.772727272728</v>
      </c>
      <c r="I149" s="37">
        <f t="shared" si="12"/>
        <v>710.22727272727207</v>
      </c>
      <c r="J149">
        <f t="shared" si="13"/>
        <v>710.22727272727207</v>
      </c>
      <c r="K149">
        <f t="shared" si="14"/>
        <v>1.2675839241964521E-2</v>
      </c>
    </row>
    <row r="150" spans="1:11">
      <c r="A150" t="s">
        <v>686</v>
      </c>
      <c r="B150">
        <v>57110</v>
      </c>
      <c r="C150" t="s">
        <v>549</v>
      </c>
      <c r="D150">
        <v>56015.227272727272</v>
      </c>
      <c r="G150" s="51">
        <f t="shared" si="10"/>
        <v>56040</v>
      </c>
      <c r="H150" s="52">
        <f t="shared" si="11"/>
        <v>56009.807692307702</v>
      </c>
      <c r="I150" s="37">
        <f t="shared" si="12"/>
        <v>30.192307692297618</v>
      </c>
      <c r="J150">
        <f t="shared" si="13"/>
        <v>30.192307692297618</v>
      </c>
      <c r="K150">
        <f t="shared" si="14"/>
        <v>5.3876352056205596E-4</v>
      </c>
    </row>
    <row r="151" spans="1:11">
      <c r="A151" t="s">
        <v>687</v>
      </c>
      <c r="B151">
        <v>55730</v>
      </c>
      <c r="C151" t="s">
        <v>549</v>
      </c>
      <c r="D151">
        <v>56506.13636363636</v>
      </c>
      <c r="G151" s="51">
        <f t="shared" si="10"/>
        <v>57110</v>
      </c>
      <c r="H151" s="52">
        <f t="shared" si="11"/>
        <v>56015.227272727272</v>
      </c>
      <c r="I151" s="37">
        <f t="shared" si="12"/>
        <v>1094.7727272727279</v>
      </c>
      <c r="J151">
        <f t="shared" si="13"/>
        <v>1094.7727272727279</v>
      </c>
      <c r="K151">
        <f t="shared" si="14"/>
        <v>1.9169545215771806E-2</v>
      </c>
    </row>
    <row r="152" spans="1:11">
      <c r="A152" t="s">
        <v>688</v>
      </c>
      <c r="B152">
        <v>57630</v>
      </c>
      <c r="C152" t="s">
        <v>549</v>
      </c>
      <c r="D152">
        <v>55732.884615384617</v>
      </c>
      <c r="G152" s="51">
        <f t="shared" si="10"/>
        <v>55730</v>
      </c>
      <c r="H152" s="52">
        <f t="shared" si="11"/>
        <v>56506.13636363636</v>
      </c>
      <c r="I152" s="37">
        <f t="shared" si="12"/>
        <v>-776.13636363636033</v>
      </c>
      <c r="J152">
        <f t="shared" si="13"/>
        <v>776.13636363636033</v>
      </c>
      <c r="K152">
        <f t="shared" si="14"/>
        <v>1.3926724630115923E-2</v>
      </c>
    </row>
    <row r="153" spans="1:11">
      <c r="A153" t="s">
        <v>689</v>
      </c>
      <c r="B153">
        <v>58410</v>
      </c>
      <c r="C153" t="s">
        <v>549</v>
      </c>
      <c r="D153">
        <v>57344.791666666657</v>
      </c>
      <c r="G153" s="51">
        <f t="shared" si="10"/>
        <v>57630</v>
      </c>
      <c r="H153" s="52">
        <f t="shared" si="11"/>
        <v>55732.884615384617</v>
      </c>
      <c r="I153" s="37">
        <f t="shared" si="12"/>
        <v>1897.1153846153829</v>
      </c>
      <c r="J153">
        <f t="shared" si="13"/>
        <v>1897.1153846153829</v>
      </c>
      <c r="K153">
        <f t="shared" si="14"/>
        <v>3.2918885729921618E-2</v>
      </c>
    </row>
    <row r="154" spans="1:11">
      <c r="A154" t="s">
        <v>690</v>
      </c>
      <c r="B154">
        <v>57490</v>
      </c>
      <c r="C154" t="s">
        <v>549</v>
      </c>
      <c r="D154">
        <v>57307.5</v>
      </c>
      <c r="G154" s="51">
        <f t="shared" si="10"/>
        <v>58410</v>
      </c>
      <c r="H154" s="52">
        <f t="shared" si="11"/>
        <v>57344.791666666657</v>
      </c>
      <c r="I154" s="37">
        <f t="shared" si="12"/>
        <v>1065.208333333343</v>
      </c>
      <c r="J154">
        <f t="shared" si="13"/>
        <v>1065.208333333343</v>
      </c>
      <c r="K154">
        <f t="shared" si="14"/>
        <v>1.8236745990983447E-2</v>
      </c>
    </row>
    <row r="155" spans="1:11">
      <c r="A155" t="s">
        <v>691</v>
      </c>
      <c r="B155">
        <v>58290</v>
      </c>
      <c r="C155" t="s">
        <v>549</v>
      </c>
      <c r="D155">
        <v>57357.5</v>
      </c>
      <c r="G155" s="51">
        <f t="shared" si="10"/>
        <v>57490</v>
      </c>
      <c r="H155" s="52">
        <f t="shared" si="11"/>
        <v>57307.5</v>
      </c>
      <c r="I155" s="37">
        <f t="shared" si="12"/>
        <v>182.5</v>
      </c>
      <c r="J155">
        <f t="shared" si="13"/>
        <v>182.5</v>
      </c>
      <c r="K155">
        <f t="shared" si="14"/>
        <v>3.1744651243694557E-3</v>
      </c>
    </row>
    <row r="156" spans="1:11">
      <c r="A156" t="s">
        <v>692</v>
      </c>
      <c r="B156">
        <v>58800</v>
      </c>
      <c r="C156" t="s">
        <v>558</v>
      </c>
      <c r="D156">
        <v>61798.5</v>
      </c>
      <c r="G156" s="51">
        <f t="shared" si="10"/>
        <v>58290</v>
      </c>
      <c r="H156" s="52">
        <f t="shared" si="11"/>
        <v>57357.5</v>
      </c>
      <c r="I156" s="37">
        <f t="shared" si="12"/>
        <v>932.5</v>
      </c>
      <c r="J156">
        <f t="shared" si="13"/>
        <v>932.5</v>
      </c>
      <c r="K156">
        <f t="shared" si="14"/>
        <v>1.5997598215817463E-2</v>
      </c>
    </row>
    <row r="157" spans="1:11">
      <c r="A157" t="s">
        <v>693</v>
      </c>
      <c r="B157">
        <v>60580</v>
      </c>
      <c r="C157" t="s">
        <v>560</v>
      </c>
      <c r="D157">
        <v>59514.904761904763</v>
      </c>
      <c r="G157" s="51">
        <f t="shared" si="10"/>
        <v>58800</v>
      </c>
      <c r="H157" s="52">
        <f t="shared" si="11"/>
        <v>61798.5</v>
      </c>
      <c r="I157" s="37">
        <f t="shared" si="12"/>
        <v>-2998.5</v>
      </c>
      <c r="J157">
        <f t="shared" si="13"/>
        <v>2998.5</v>
      </c>
      <c r="K157">
        <f t="shared" si="14"/>
        <v>5.0994897959183674E-2</v>
      </c>
    </row>
    <row r="158" spans="1:11">
      <c r="A158" t="s">
        <v>694</v>
      </c>
      <c r="B158">
        <v>61560</v>
      </c>
      <c r="C158" t="s">
        <v>560</v>
      </c>
      <c r="D158">
        <v>61268.045454545463</v>
      </c>
      <c r="G158" s="51">
        <f t="shared" si="10"/>
        <v>60580</v>
      </c>
      <c r="H158" s="52">
        <f t="shared" si="11"/>
        <v>59514.904761904763</v>
      </c>
      <c r="I158" s="37">
        <f t="shared" si="12"/>
        <v>1065.0952380952367</v>
      </c>
      <c r="J158">
        <f t="shared" si="13"/>
        <v>1065.0952380952367</v>
      </c>
      <c r="K158">
        <f t="shared" si="14"/>
        <v>1.7581631530129361E-2</v>
      </c>
    </row>
    <row r="159" spans="1:11">
      <c r="A159" t="s">
        <v>695</v>
      </c>
      <c r="B159">
        <v>65410</v>
      </c>
      <c r="C159" t="s">
        <v>567</v>
      </c>
      <c r="D159">
        <v>67829.5</v>
      </c>
      <c r="G159" s="51">
        <f t="shared" si="10"/>
        <v>61560</v>
      </c>
      <c r="H159" s="52">
        <f t="shared" si="11"/>
        <v>61268.045454545463</v>
      </c>
      <c r="I159" s="37">
        <f t="shared" si="12"/>
        <v>291.95454545453686</v>
      </c>
      <c r="J159">
        <f t="shared" si="13"/>
        <v>291.95454545453686</v>
      </c>
      <c r="K159">
        <f t="shared" si="14"/>
        <v>4.7426014531276291E-3</v>
      </c>
    </row>
    <row r="160" spans="1:11">
      <c r="A160" t="s">
        <v>696</v>
      </c>
      <c r="B160">
        <v>65900</v>
      </c>
      <c r="C160" t="s">
        <v>569</v>
      </c>
      <c r="D160">
        <v>66650.333333333328</v>
      </c>
      <c r="G160" s="51">
        <f t="shared" si="10"/>
        <v>65410</v>
      </c>
      <c r="H160" s="52">
        <f t="shared" si="11"/>
        <v>67829.5</v>
      </c>
      <c r="I160" s="37">
        <f t="shared" si="12"/>
        <v>-2419.5</v>
      </c>
      <c r="J160">
        <f t="shared" si="13"/>
        <v>2419.5</v>
      </c>
      <c r="K160">
        <f t="shared" si="14"/>
        <v>3.6989756917902461E-2</v>
      </c>
    </row>
    <row r="161" spans="1:11">
      <c r="A161" t="s">
        <v>697</v>
      </c>
      <c r="B161">
        <v>66070</v>
      </c>
      <c r="C161" t="s">
        <v>569</v>
      </c>
      <c r="D161">
        <v>66895.642857142855</v>
      </c>
      <c r="G161" s="51">
        <f t="shared" si="10"/>
        <v>65900</v>
      </c>
      <c r="H161" s="52">
        <f t="shared" si="11"/>
        <v>66650.333333333328</v>
      </c>
      <c r="I161" s="37">
        <f t="shared" si="12"/>
        <v>-750.33333333332848</v>
      </c>
      <c r="J161">
        <f t="shared" si="13"/>
        <v>750.33333333332848</v>
      </c>
      <c r="K161">
        <f t="shared" si="14"/>
        <v>1.1385938290338824E-2</v>
      </c>
    </row>
    <row r="162" spans="1:11">
      <c r="A162" t="s">
        <v>698</v>
      </c>
      <c r="B162">
        <v>68160</v>
      </c>
      <c r="C162" t="s">
        <v>569</v>
      </c>
      <c r="D162">
        <v>66205.346153846156</v>
      </c>
      <c r="G162" s="51">
        <f t="shared" si="10"/>
        <v>66070</v>
      </c>
      <c r="H162" s="52">
        <f t="shared" si="11"/>
        <v>66895.642857142855</v>
      </c>
      <c r="I162" s="37">
        <f t="shared" si="12"/>
        <v>-825.64285714285506</v>
      </c>
      <c r="J162">
        <f t="shared" si="13"/>
        <v>825.64285714285506</v>
      </c>
      <c r="K162">
        <f t="shared" si="14"/>
        <v>1.2496486410516953E-2</v>
      </c>
    </row>
    <row r="163" spans="1:11">
      <c r="A163" t="s">
        <v>699</v>
      </c>
      <c r="B163">
        <v>72200</v>
      </c>
      <c r="C163" t="s">
        <v>575</v>
      </c>
      <c r="D163">
        <v>73260.166666666672</v>
      </c>
      <c r="G163" s="51">
        <f t="shared" si="10"/>
        <v>68160</v>
      </c>
      <c r="H163" s="52">
        <f t="shared" si="11"/>
        <v>66205.346153846156</v>
      </c>
      <c r="I163" s="37">
        <f t="shared" si="12"/>
        <v>1954.6538461538439</v>
      </c>
      <c r="J163">
        <f t="shared" si="13"/>
        <v>1954.6538461538439</v>
      </c>
      <c r="K163">
        <f t="shared" si="14"/>
        <v>2.8677433188876819E-2</v>
      </c>
    </row>
    <row r="164" spans="1:11">
      <c r="A164" t="s">
        <v>700</v>
      </c>
      <c r="B164">
        <v>71770</v>
      </c>
      <c r="C164" t="s">
        <v>591</v>
      </c>
      <c r="D164">
        <v>73034.5</v>
      </c>
      <c r="G164" s="51">
        <f t="shared" si="10"/>
        <v>72200</v>
      </c>
      <c r="H164" s="52">
        <f t="shared" si="11"/>
        <v>73260.166666666672</v>
      </c>
      <c r="I164" s="37">
        <f t="shared" si="12"/>
        <v>-1060.1666666666715</v>
      </c>
      <c r="J164">
        <f t="shared" si="13"/>
        <v>1060.1666666666715</v>
      </c>
      <c r="K164">
        <f t="shared" si="14"/>
        <v>1.4683748845798775E-2</v>
      </c>
    </row>
    <row r="165" spans="1:11">
      <c r="A165" t="s">
        <v>701</v>
      </c>
      <c r="B165">
        <v>72720</v>
      </c>
      <c r="C165" t="s">
        <v>591</v>
      </c>
      <c r="D165">
        <v>72842.21428571429</v>
      </c>
      <c r="G165" s="51">
        <f t="shared" si="10"/>
        <v>71770</v>
      </c>
      <c r="H165" s="52">
        <f t="shared" si="11"/>
        <v>73034.5</v>
      </c>
      <c r="I165" s="37">
        <f t="shared" si="12"/>
        <v>-1264.5</v>
      </c>
      <c r="J165">
        <f t="shared" si="13"/>
        <v>1264.5</v>
      </c>
      <c r="K165">
        <f t="shared" si="14"/>
        <v>1.76187822209837E-2</v>
      </c>
    </row>
    <row r="166" spans="1:11">
      <c r="A166" t="s">
        <v>702</v>
      </c>
      <c r="B166">
        <v>75240</v>
      </c>
      <c r="C166" t="s">
        <v>591</v>
      </c>
      <c r="D166">
        <v>72807.730769230766</v>
      </c>
      <c r="G166" s="51">
        <f t="shared" si="10"/>
        <v>72720</v>
      </c>
      <c r="H166" s="52">
        <f t="shared" si="11"/>
        <v>72842.21428571429</v>
      </c>
      <c r="I166" s="37">
        <f t="shared" si="12"/>
        <v>-122.21428571428987</v>
      </c>
      <c r="J166">
        <f t="shared" si="13"/>
        <v>122.21428571428987</v>
      </c>
      <c r="K166">
        <f t="shared" si="14"/>
        <v>1.6806144900204877E-3</v>
      </c>
    </row>
    <row r="167" spans="1:11">
      <c r="A167" t="s">
        <v>703</v>
      </c>
      <c r="B167">
        <v>77190</v>
      </c>
      <c r="C167" t="s">
        <v>704</v>
      </c>
      <c r="D167">
        <v>79407.166666666672</v>
      </c>
      <c r="G167" s="51">
        <f t="shared" si="10"/>
        <v>75240</v>
      </c>
      <c r="H167" s="52">
        <f t="shared" si="11"/>
        <v>72807.730769230766</v>
      </c>
      <c r="I167" s="37">
        <f t="shared" si="12"/>
        <v>2432.2692307692341</v>
      </c>
      <c r="J167">
        <f t="shared" si="13"/>
        <v>2432.2692307692341</v>
      </c>
      <c r="K167">
        <f t="shared" si="14"/>
        <v>3.2326810616284347E-2</v>
      </c>
    </row>
    <row r="168" spans="1:11">
      <c r="A168" t="s">
        <v>705</v>
      </c>
      <c r="B168">
        <v>79680</v>
      </c>
      <c r="C168" t="s">
        <v>706</v>
      </c>
      <c r="D168">
        <v>77802.149999999994</v>
      </c>
      <c r="G168" s="51">
        <f t="shared" si="10"/>
        <v>77190</v>
      </c>
      <c r="H168" s="52">
        <f t="shared" si="11"/>
        <v>79407.166666666672</v>
      </c>
      <c r="I168" s="37">
        <f t="shared" si="12"/>
        <v>-2217.1666666666715</v>
      </c>
      <c r="J168">
        <f t="shared" si="13"/>
        <v>2217.1666666666715</v>
      </c>
      <c r="K168">
        <f t="shared" si="14"/>
        <v>2.8723496135078009E-2</v>
      </c>
    </row>
    <row r="169" spans="1:11">
      <c r="A169" t="s">
        <v>707</v>
      </c>
      <c r="B169">
        <v>81720</v>
      </c>
      <c r="C169" t="s">
        <v>706</v>
      </c>
      <c r="D169">
        <v>79696.269230769234</v>
      </c>
      <c r="G169" s="51">
        <f t="shared" si="10"/>
        <v>79680</v>
      </c>
      <c r="H169" s="52">
        <f t="shared" si="11"/>
        <v>77802.149999999994</v>
      </c>
      <c r="I169" s="37">
        <f t="shared" si="12"/>
        <v>1877.8500000000058</v>
      </c>
      <c r="J169">
        <f t="shared" si="13"/>
        <v>1877.8500000000058</v>
      </c>
      <c r="K169">
        <f t="shared" si="14"/>
        <v>2.3567394578313326E-2</v>
      </c>
    </row>
    <row r="170" spans="1:11">
      <c r="A170" t="s">
        <v>708</v>
      </c>
      <c r="B170">
        <v>79710</v>
      </c>
      <c r="C170" t="s">
        <v>706</v>
      </c>
      <c r="D170">
        <v>81455.125</v>
      </c>
      <c r="G170" s="51">
        <f t="shared" si="10"/>
        <v>81720</v>
      </c>
      <c r="H170" s="52">
        <f t="shared" si="11"/>
        <v>79696.269230769234</v>
      </c>
      <c r="I170" s="37">
        <f t="shared" si="12"/>
        <v>2023.7307692307659</v>
      </c>
      <c r="J170">
        <f t="shared" si="13"/>
        <v>2023.7307692307659</v>
      </c>
      <c r="K170">
        <f t="shared" si="14"/>
        <v>2.4764204224556607E-2</v>
      </c>
    </row>
    <row r="171" spans="1:11">
      <c r="A171" t="s">
        <v>709</v>
      </c>
      <c r="B171">
        <v>82580</v>
      </c>
      <c r="C171" t="s">
        <v>706</v>
      </c>
      <c r="D171">
        <v>79723.961538461532</v>
      </c>
      <c r="G171" s="51">
        <f t="shared" si="10"/>
        <v>79710</v>
      </c>
      <c r="H171" s="52">
        <f t="shared" si="11"/>
        <v>81455.125</v>
      </c>
      <c r="I171" s="37">
        <f t="shared" si="12"/>
        <v>-1745.125</v>
      </c>
      <c r="J171">
        <f t="shared" si="13"/>
        <v>1745.125</v>
      </c>
      <c r="K171">
        <f t="shared" si="14"/>
        <v>2.1893426169865764E-2</v>
      </c>
    </row>
    <row r="172" spans="1:11">
      <c r="A172" t="s">
        <v>710</v>
      </c>
      <c r="B172">
        <v>82230</v>
      </c>
      <c r="C172" t="s">
        <v>706</v>
      </c>
      <c r="D172">
        <v>81660.166666666672</v>
      </c>
      <c r="G172" s="51">
        <f t="shared" si="10"/>
        <v>82580</v>
      </c>
      <c r="H172" s="52">
        <f t="shared" si="11"/>
        <v>79723.961538461532</v>
      </c>
      <c r="I172" s="37">
        <f t="shared" si="12"/>
        <v>2856.0384615384683</v>
      </c>
      <c r="J172">
        <f t="shared" si="13"/>
        <v>2856.0384615384683</v>
      </c>
      <c r="K172">
        <f t="shared" si="14"/>
        <v>3.4585110941371622E-2</v>
      </c>
    </row>
    <row r="173" spans="1:11">
      <c r="A173" t="s">
        <v>711</v>
      </c>
      <c r="B173">
        <v>84830</v>
      </c>
      <c r="C173" t="s">
        <v>712</v>
      </c>
      <c r="D173">
        <v>85358.125</v>
      </c>
      <c r="G173" s="51">
        <f t="shared" si="10"/>
        <v>82230</v>
      </c>
      <c r="H173" s="52">
        <f t="shared" si="11"/>
        <v>81660.166666666672</v>
      </c>
      <c r="I173" s="37">
        <f t="shared" si="12"/>
        <v>569.83333333332848</v>
      </c>
      <c r="J173">
        <f t="shared" si="13"/>
        <v>569.83333333332848</v>
      </c>
      <c r="K173">
        <f t="shared" si="14"/>
        <v>6.9297498885239998E-3</v>
      </c>
    </row>
    <row r="174" spans="1:11">
      <c r="A174" t="s">
        <v>713</v>
      </c>
      <c r="B174">
        <v>88560</v>
      </c>
      <c r="C174" t="s">
        <v>714</v>
      </c>
      <c r="D174">
        <v>85247.8125</v>
      </c>
      <c r="G174" s="51">
        <f t="shared" si="10"/>
        <v>84830</v>
      </c>
      <c r="H174" s="52">
        <f t="shared" si="11"/>
        <v>85358.125</v>
      </c>
      <c r="I174" s="37">
        <f t="shared" si="12"/>
        <v>-528.125</v>
      </c>
      <c r="J174">
        <f t="shared" si="13"/>
        <v>528.125</v>
      </c>
      <c r="K174">
        <f t="shared" si="14"/>
        <v>6.2256866674525518E-3</v>
      </c>
    </row>
    <row r="175" spans="1:11">
      <c r="A175" t="s">
        <v>715</v>
      </c>
      <c r="B175">
        <v>92150</v>
      </c>
      <c r="C175" t="s">
        <v>716</v>
      </c>
      <c r="D175">
        <v>90707.7</v>
      </c>
      <c r="G175" s="51">
        <f t="shared" si="10"/>
        <v>88560</v>
      </c>
      <c r="H175" s="52">
        <f t="shared" si="11"/>
        <v>85247.8125</v>
      </c>
      <c r="I175" s="37">
        <f t="shared" si="12"/>
        <v>3312.1875</v>
      </c>
      <c r="J175">
        <f t="shared" si="13"/>
        <v>3312.1875</v>
      </c>
      <c r="K175">
        <f t="shared" si="14"/>
        <v>3.7400491192411921E-2</v>
      </c>
    </row>
    <row r="176" spans="1:11">
      <c r="A176" t="s">
        <v>717</v>
      </c>
      <c r="B176">
        <v>92570</v>
      </c>
      <c r="C176" t="s">
        <v>718</v>
      </c>
      <c r="D176">
        <v>92134.88461538461</v>
      </c>
      <c r="G176" s="51">
        <f t="shared" si="10"/>
        <v>92150</v>
      </c>
      <c r="H176" s="52">
        <f t="shared" si="11"/>
        <v>90707.7</v>
      </c>
      <c r="I176" s="37">
        <f t="shared" si="12"/>
        <v>1442.3000000000029</v>
      </c>
      <c r="J176">
        <f t="shared" si="13"/>
        <v>1442.3000000000029</v>
      </c>
      <c r="K176">
        <f t="shared" si="14"/>
        <v>1.5651654910472088E-2</v>
      </c>
    </row>
    <row r="177" spans="1:11">
      <c r="A177" t="s">
        <v>719</v>
      </c>
      <c r="B177">
        <v>92260</v>
      </c>
      <c r="C177" t="s">
        <v>718</v>
      </c>
      <c r="D177">
        <v>92096.6875</v>
      </c>
      <c r="G177" s="51">
        <f t="shared" si="10"/>
        <v>92570</v>
      </c>
      <c r="H177" s="52">
        <f t="shared" si="11"/>
        <v>92134.88461538461</v>
      </c>
      <c r="I177" s="37">
        <f t="shared" si="12"/>
        <v>435.11538461539021</v>
      </c>
      <c r="J177">
        <f t="shared" si="13"/>
        <v>435.11538461539021</v>
      </c>
      <c r="K177">
        <f t="shared" si="14"/>
        <v>4.7003930497503538E-3</v>
      </c>
    </row>
    <row r="178" spans="1:11">
      <c r="A178" t="s">
        <v>720</v>
      </c>
      <c r="B178">
        <v>95070</v>
      </c>
      <c r="C178" t="s">
        <v>721</v>
      </c>
      <c r="D178">
        <v>97984.5</v>
      </c>
      <c r="G178" s="51">
        <f t="shared" si="10"/>
        <v>92260</v>
      </c>
      <c r="H178" s="52">
        <f t="shared" si="11"/>
        <v>92096.6875</v>
      </c>
      <c r="I178" s="37">
        <f t="shared" si="12"/>
        <v>163.3125</v>
      </c>
      <c r="J178">
        <f t="shared" si="13"/>
        <v>163.3125</v>
      </c>
      <c r="K178">
        <f t="shared" si="14"/>
        <v>1.770133318881422E-3</v>
      </c>
    </row>
    <row r="179" spans="1:11">
      <c r="A179" t="s">
        <v>722</v>
      </c>
      <c r="B179">
        <v>92870</v>
      </c>
      <c r="C179" t="s">
        <v>723</v>
      </c>
      <c r="D179">
        <v>92918.638888888876</v>
      </c>
      <c r="G179" s="51">
        <f t="shared" si="10"/>
        <v>95070</v>
      </c>
      <c r="H179" s="52">
        <f t="shared" si="11"/>
        <v>97984.5</v>
      </c>
      <c r="I179" s="37">
        <f t="shared" si="12"/>
        <v>-2914.5</v>
      </c>
      <c r="J179">
        <f t="shared" si="13"/>
        <v>2914.5</v>
      </c>
      <c r="K179">
        <f t="shared" si="14"/>
        <v>3.0656358472704322E-2</v>
      </c>
    </row>
    <row r="180" spans="1:11">
      <c r="A180" t="s">
        <v>724</v>
      </c>
      <c r="B180">
        <v>93460</v>
      </c>
      <c r="C180" t="s">
        <v>718</v>
      </c>
      <c r="D180">
        <v>92799.5</v>
      </c>
      <c r="G180" s="51">
        <f t="shared" si="10"/>
        <v>92870</v>
      </c>
      <c r="H180" s="52">
        <f t="shared" si="11"/>
        <v>92918.638888888876</v>
      </c>
      <c r="I180" s="37">
        <f t="shared" si="12"/>
        <v>-48.638888888875954</v>
      </c>
      <c r="J180">
        <f t="shared" si="13"/>
        <v>48.638888888875954</v>
      </c>
      <c r="K180">
        <f t="shared" si="14"/>
        <v>5.2373090221681875E-4</v>
      </c>
    </row>
    <row r="181" spans="1:11">
      <c r="A181" t="s">
        <v>725</v>
      </c>
      <c r="B181">
        <v>93770</v>
      </c>
      <c r="C181" t="s">
        <v>718</v>
      </c>
      <c r="D181">
        <v>92755.944444444438</v>
      </c>
      <c r="G181" s="51">
        <f t="shared" si="10"/>
        <v>93460</v>
      </c>
      <c r="H181" s="52">
        <f t="shared" si="11"/>
        <v>92799.5</v>
      </c>
      <c r="I181" s="37">
        <f t="shared" si="12"/>
        <v>660.5</v>
      </c>
      <c r="J181">
        <f t="shared" si="13"/>
        <v>660.5</v>
      </c>
      <c r="K181">
        <f t="shared" si="14"/>
        <v>7.0671945217205224E-3</v>
      </c>
    </row>
    <row r="182" spans="1:11">
      <c r="A182" t="s">
        <v>726</v>
      </c>
      <c r="B182">
        <v>95170</v>
      </c>
      <c r="C182" t="s">
        <v>721</v>
      </c>
      <c r="D182">
        <v>97984.5</v>
      </c>
      <c r="G182" s="51">
        <f t="shared" si="10"/>
        <v>93770</v>
      </c>
      <c r="H182" s="52">
        <f t="shared" si="11"/>
        <v>92755.944444444438</v>
      </c>
      <c r="I182" s="37">
        <f t="shared" si="12"/>
        <v>1014.055555555562</v>
      </c>
      <c r="J182">
        <f t="shared" si="13"/>
        <v>1014.055555555562</v>
      </c>
      <c r="K182">
        <f t="shared" si="14"/>
        <v>1.0814285545009726E-2</v>
      </c>
    </row>
    <row r="183" spans="1:11">
      <c r="A183" t="s">
        <v>727</v>
      </c>
      <c r="B183">
        <v>94750</v>
      </c>
      <c r="C183" t="s">
        <v>723</v>
      </c>
      <c r="D183">
        <v>93407.666666666672</v>
      </c>
      <c r="G183" s="51">
        <f t="shared" si="10"/>
        <v>95170</v>
      </c>
      <c r="H183" s="52">
        <f t="shared" si="11"/>
        <v>97984.5</v>
      </c>
      <c r="I183" s="37">
        <f t="shared" si="12"/>
        <v>-2814.5</v>
      </c>
      <c r="J183">
        <f t="shared" si="13"/>
        <v>2814.5</v>
      </c>
      <c r="K183">
        <f t="shared" si="14"/>
        <v>2.9573394977408848E-2</v>
      </c>
    </row>
    <row r="184" spans="1:11">
      <c r="A184" t="s">
        <v>728</v>
      </c>
      <c r="B184">
        <v>93030</v>
      </c>
      <c r="C184" t="s">
        <v>718</v>
      </c>
      <c r="D184">
        <v>93573.5625</v>
      </c>
      <c r="G184" s="51">
        <f t="shared" si="10"/>
        <v>94750</v>
      </c>
      <c r="H184" s="52">
        <f t="shared" si="11"/>
        <v>93407.666666666672</v>
      </c>
      <c r="I184" s="37">
        <f t="shared" si="12"/>
        <v>1342.3333333333285</v>
      </c>
      <c r="J184">
        <f t="shared" si="13"/>
        <v>1342.3333333333285</v>
      </c>
      <c r="K184">
        <f t="shared" si="14"/>
        <v>1.4167106420404522E-2</v>
      </c>
    </row>
    <row r="185" spans="1:11">
      <c r="A185" t="s">
        <v>729</v>
      </c>
      <c r="B185">
        <v>92790</v>
      </c>
      <c r="C185" t="s">
        <v>718</v>
      </c>
      <c r="D185">
        <v>92341.227272727279</v>
      </c>
      <c r="G185" s="51">
        <f t="shared" si="10"/>
        <v>93030</v>
      </c>
      <c r="H185" s="52">
        <f t="shared" si="11"/>
        <v>93573.5625</v>
      </c>
      <c r="I185" s="37">
        <f t="shared" si="12"/>
        <v>-543.5625</v>
      </c>
      <c r="J185">
        <f t="shared" si="13"/>
        <v>543.5625</v>
      </c>
      <c r="K185">
        <f t="shared" si="14"/>
        <v>5.8428732666881648E-3</v>
      </c>
    </row>
    <row r="186" spans="1:11">
      <c r="A186" t="s">
        <v>730</v>
      </c>
      <c r="B186">
        <v>93290</v>
      </c>
      <c r="C186" t="s">
        <v>718</v>
      </c>
      <c r="D186">
        <v>92410.35</v>
      </c>
      <c r="G186" s="51">
        <f t="shared" si="10"/>
        <v>92790</v>
      </c>
      <c r="H186" s="52">
        <f t="shared" si="11"/>
        <v>92341.227272727279</v>
      </c>
      <c r="I186" s="37">
        <f t="shared" si="12"/>
        <v>448.77272727272066</v>
      </c>
      <c r="J186">
        <f t="shared" si="13"/>
        <v>448.77272727272066</v>
      </c>
      <c r="K186">
        <f t="shared" si="14"/>
        <v>4.836434176880274E-3</v>
      </c>
    </row>
    <row r="187" spans="1:11">
      <c r="A187" t="s">
        <v>731</v>
      </c>
      <c r="B187">
        <v>92880</v>
      </c>
      <c r="C187" t="s">
        <v>718</v>
      </c>
      <c r="D187">
        <v>93187.192307692312</v>
      </c>
      <c r="G187" s="51">
        <f t="shared" si="10"/>
        <v>93290</v>
      </c>
      <c r="H187" s="52">
        <f t="shared" si="11"/>
        <v>92410.35</v>
      </c>
      <c r="I187" s="37">
        <f t="shared" si="12"/>
        <v>879.64999999999418</v>
      </c>
      <c r="J187">
        <f t="shared" si="13"/>
        <v>879.64999999999418</v>
      </c>
      <c r="K187">
        <f t="shared" si="14"/>
        <v>9.4291992710900871E-3</v>
      </c>
    </row>
    <row r="188" spans="1:11">
      <c r="A188" t="s">
        <v>732</v>
      </c>
      <c r="B188">
        <v>94440</v>
      </c>
      <c r="C188" t="s">
        <v>718</v>
      </c>
      <c r="D188">
        <v>92808.730769230766</v>
      </c>
      <c r="G188" s="51">
        <f t="shared" si="10"/>
        <v>92880</v>
      </c>
      <c r="H188" s="52">
        <f t="shared" si="11"/>
        <v>93187.192307692312</v>
      </c>
      <c r="I188" s="37">
        <f t="shared" si="12"/>
        <v>-307.19230769231217</v>
      </c>
      <c r="J188">
        <f t="shared" si="13"/>
        <v>307.19230769231217</v>
      </c>
      <c r="K188">
        <f t="shared" si="14"/>
        <v>3.3074107202014659E-3</v>
      </c>
    </row>
    <row r="189" spans="1:11">
      <c r="A189" t="s">
        <v>733</v>
      </c>
      <c r="B189">
        <v>93290</v>
      </c>
      <c r="C189" t="s">
        <v>718</v>
      </c>
      <c r="D189">
        <v>93333.166666666672</v>
      </c>
      <c r="G189" s="51">
        <f t="shared" si="10"/>
        <v>94440</v>
      </c>
      <c r="H189" s="52">
        <f t="shared" si="11"/>
        <v>92808.730769230766</v>
      </c>
      <c r="I189" s="37">
        <f t="shared" si="12"/>
        <v>1631.2692307692341</v>
      </c>
      <c r="J189">
        <f t="shared" si="13"/>
        <v>1631.2692307692341</v>
      </c>
      <c r="K189">
        <f t="shared" si="14"/>
        <v>1.7273075294041023E-2</v>
      </c>
    </row>
    <row r="190" spans="1:11">
      <c r="A190" t="s">
        <v>734</v>
      </c>
      <c r="B190">
        <v>91210</v>
      </c>
      <c r="C190" t="s">
        <v>718</v>
      </c>
      <c r="D190">
        <v>93187.192307692312</v>
      </c>
      <c r="G190" s="51">
        <f t="shared" si="10"/>
        <v>93290</v>
      </c>
      <c r="H190" s="52">
        <f t="shared" si="11"/>
        <v>93333.166666666672</v>
      </c>
      <c r="I190" s="37">
        <f t="shared" si="12"/>
        <v>-43.166666666671517</v>
      </c>
      <c r="J190">
        <f t="shared" si="13"/>
        <v>43.166666666671517</v>
      </c>
      <c r="K190">
        <f t="shared" si="14"/>
        <v>4.6271483188628488E-4</v>
      </c>
    </row>
    <row r="191" spans="1:11">
      <c r="A191" t="s">
        <v>735</v>
      </c>
      <c r="B191">
        <v>93210</v>
      </c>
      <c r="C191" t="s">
        <v>718</v>
      </c>
      <c r="D191">
        <v>91504.458333333328</v>
      </c>
      <c r="G191" s="51">
        <f t="shared" si="10"/>
        <v>91210</v>
      </c>
      <c r="H191" s="52">
        <f t="shared" si="11"/>
        <v>93187.192307692312</v>
      </c>
      <c r="I191" s="37">
        <f t="shared" si="12"/>
        <v>-1977.1923076923122</v>
      </c>
      <c r="J191">
        <f t="shared" si="13"/>
        <v>1977.1923076923122</v>
      </c>
      <c r="K191">
        <f t="shared" si="14"/>
        <v>2.1677363312052542E-2</v>
      </c>
    </row>
    <row r="192" spans="1:11">
      <c r="A192" t="s">
        <v>736</v>
      </c>
      <c r="B192">
        <v>93470</v>
      </c>
      <c r="C192" t="s">
        <v>718</v>
      </c>
      <c r="D192">
        <v>93113.346153846156</v>
      </c>
      <c r="G192" s="51">
        <f t="shared" si="10"/>
        <v>93210</v>
      </c>
      <c r="H192" s="52">
        <f t="shared" si="11"/>
        <v>91504.458333333328</v>
      </c>
      <c r="I192" s="37">
        <f t="shared" si="12"/>
        <v>1705.5416666666715</v>
      </c>
      <c r="J192">
        <f t="shared" si="13"/>
        <v>1705.5416666666715</v>
      </c>
      <c r="K192">
        <f t="shared" si="14"/>
        <v>1.8297840002860975E-2</v>
      </c>
    </row>
    <row r="193" spans="1:11">
      <c r="A193" t="s">
        <v>737</v>
      </c>
      <c r="B193">
        <v>94630</v>
      </c>
      <c r="C193" t="s">
        <v>718</v>
      </c>
      <c r="D193">
        <v>92721.5</v>
      </c>
      <c r="G193" s="51">
        <f t="shared" si="10"/>
        <v>93470</v>
      </c>
      <c r="H193" s="52">
        <f t="shared" si="11"/>
        <v>93113.346153846156</v>
      </c>
      <c r="I193" s="37">
        <f t="shared" si="12"/>
        <v>356.65384615384392</v>
      </c>
      <c r="J193">
        <f t="shared" si="13"/>
        <v>356.65384615384392</v>
      </c>
      <c r="K193">
        <f t="shared" si="14"/>
        <v>3.8157039280394128E-3</v>
      </c>
    </row>
    <row r="194" spans="1:11">
      <c r="A194" t="s">
        <v>738</v>
      </c>
      <c r="B194">
        <v>94300</v>
      </c>
      <c r="C194" t="s">
        <v>718</v>
      </c>
      <c r="D194">
        <v>93682.611111111109</v>
      </c>
      <c r="G194" s="51">
        <f t="shared" si="10"/>
        <v>94630</v>
      </c>
      <c r="H194" s="52">
        <f t="shared" si="11"/>
        <v>92721.5</v>
      </c>
      <c r="I194" s="37">
        <f t="shared" si="12"/>
        <v>1908.5</v>
      </c>
      <c r="J194">
        <f t="shared" si="13"/>
        <v>1908.5</v>
      </c>
      <c r="K194">
        <f t="shared" si="14"/>
        <v>2.0168022825742364E-2</v>
      </c>
    </row>
    <row r="195" spans="1:11">
      <c r="A195" t="s">
        <v>739</v>
      </c>
      <c r="B195">
        <v>93830</v>
      </c>
      <c r="C195" t="s">
        <v>718</v>
      </c>
      <c r="D195">
        <v>93567.35</v>
      </c>
      <c r="G195" s="51">
        <f t="shared" si="10"/>
        <v>94300</v>
      </c>
      <c r="H195" s="52">
        <f t="shared" si="11"/>
        <v>93682.611111111109</v>
      </c>
      <c r="I195" s="37">
        <f t="shared" si="12"/>
        <v>617.38888888889051</v>
      </c>
      <c r="J195">
        <f t="shared" si="13"/>
        <v>617.38888888889051</v>
      </c>
      <c r="K195">
        <f t="shared" si="14"/>
        <v>6.5470719924590722E-3</v>
      </c>
    </row>
    <row r="196" spans="1:11">
      <c r="A196" t="s">
        <v>740</v>
      </c>
      <c r="B196">
        <v>85320</v>
      </c>
      <c r="C196" t="s">
        <v>741</v>
      </c>
      <c r="D196">
        <v>85922.5</v>
      </c>
      <c r="G196" s="51">
        <f t="shared" ref="G196:G259" si="15">B195</f>
        <v>93830</v>
      </c>
      <c r="H196" s="52">
        <f t="shared" ref="H196:H259" si="16">D195</f>
        <v>93567.35</v>
      </c>
      <c r="I196" s="37">
        <f t="shared" si="12"/>
        <v>262.64999999999418</v>
      </c>
      <c r="J196">
        <f t="shared" si="13"/>
        <v>262.64999999999418</v>
      </c>
      <c r="K196">
        <f t="shared" si="14"/>
        <v>2.7992113396567643E-3</v>
      </c>
    </row>
    <row r="197" spans="1:11">
      <c r="A197" t="s">
        <v>742</v>
      </c>
      <c r="B197">
        <v>97470</v>
      </c>
      <c r="C197" t="s">
        <v>743</v>
      </c>
      <c r="D197">
        <v>97984.5</v>
      </c>
      <c r="G197" s="51">
        <f t="shared" si="15"/>
        <v>85320</v>
      </c>
      <c r="H197" s="52">
        <f t="shared" si="16"/>
        <v>85922.5</v>
      </c>
      <c r="I197" s="37">
        <f t="shared" si="12"/>
        <v>-602.5</v>
      </c>
      <c r="J197">
        <f t="shared" si="13"/>
        <v>602.5</v>
      </c>
      <c r="K197">
        <f t="shared" si="14"/>
        <v>7.0616502578527895E-3</v>
      </c>
    </row>
    <row r="198" spans="1:11">
      <c r="A198" t="s">
        <v>744</v>
      </c>
      <c r="B198">
        <v>94060</v>
      </c>
      <c r="C198" t="s">
        <v>723</v>
      </c>
      <c r="D198">
        <v>91991.166666666672</v>
      </c>
      <c r="G198" s="51">
        <f t="shared" si="15"/>
        <v>97470</v>
      </c>
      <c r="H198" s="52">
        <f t="shared" si="16"/>
        <v>97984.5</v>
      </c>
      <c r="I198" s="37">
        <f t="shared" ref="I198:I261" si="17">G198-H198</f>
        <v>-514.5</v>
      </c>
      <c r="J198">
        <f t="shared" ref="J198:J261" si="18">ABS(I198)</f>
        <v>514.5</v>
      </c>
      <c r="K198">
        <f t="shared" ref="K198:K261" si="19">J198/G198</f>
        <v>5.2785472453062482E-3</v>
      </c>
    </row>
    <row r="199" spans="1:11">
      <c r="A199" t="s">
        <v>745</v>
      </c>
      <c r="B199">
        <v>96290</v>
      </c>
      <c r="C199" t="s">
        <v>721</v>
      </c>
      <c r="D199">
        <v>97044.041666666672</v>
      </c>
      <c r="G199" s="51">
        <f t="shared" si="15"/>
        <v>94060</v>
      </c>
      <c r="H199" s="52">
        <f t="shared" si="16"/>
        <v>91991.166666666672</v>
      </c>
      <c r="I199" s="37">
        <f t="shared" si="17"/>
        <v>2068.8333333333285</v>
      </c>
      <c r="J199">
        <f t="shared" si="18"/>
        <v>2068.8333333333285</v>
      </c>
      <c r="K199">
        <f t="shared" si="19"/>
        <v>2.1994825997590138E-2</v>
      </c>
    </row>
    <row r="200" spans="1:11">
      <c r="A200" t="s">
        <v>746</v>
      </c>
      <c r="B200">
        <v>95970</v>
      </c>
      <c r="C200" t="s">
        <v>747</v>
      </c>
      <c r="D200">
        <v>96980.409090909088</v>
      </c>
      <c r="G200" s="51">
        <f t="shared" si="15"/>
        <v>96290</v>
      </c>
      <c r="H200" s="52">
        <f t="shared" si="16"/>
        <v>97044.041666666672</v>
      </c>
      <c r="I200" s="37">
        <f t="shared" si="17"/>
        <v>-754.04166666667152</v>
      </c>
      <c r="J200">
        <f t="shared" si="18"/>
        <v>754.04166666667152</v>
      </c>
      <c r="K200">
        <f t="shared" si="19"/>
        <v>7.830944715616071E-3</v>
      </c>
    </row>
    <row r="201" spans="1:11">
      <c r="A201" t="s">
        <v>748</v>
      </c>
      <c r="B201">
        <v>92660</v>
      </c>
      <c r="C201" t="s">
        <v>723</v>
      </c>
      <c r="D201">
        <v>92100.875</v>
      </c>
      <c r="G201" s="51">
        <f t="shared" si="15"/>
        <v>95970</v>
      </c>
      <c r="H201" s="52">
        <f t="shared" si="16"/>
        <v>96980.409090909088</v>
      </c>
      <c r="I201" s="37">
        <f t="shared" si="17"/>
        <v>-1010.4090909090883</v>
      </c>
      <c r="J201">
        <f t="shared" si="18"/>
        <v>1010.4090909090883</v>
      </c>
      <c r="K201">
        <f t="shared" si="19"/>
        <v>1.0528384817225052E-2</v>
      </c>
    </row>
    <row r="202" spans="1:11">
      <c r="A202" t="s">
        <v>749</v>
      </c>
      <c r="B202">
        <v>92120</v>
      </c>
      <c r="C202" t="s">
        <v>718</v>
      </c>
      <c r="D202">
        <v>92197.9375</v>
      </c>
      <c r="G202" s="51">
        <f t="shared" si="15"/>
        <v>92660</v>
      </c>
      <c r="H202" s="52">
        <f t="shared" si="16"/>
        <v>92100.875</v>
      </c>
      <c r="I202" s="37">
        <f t="shared" si="17"/>
        <v>559.125</v>
      </c>
      <c r="J202">
        <f t="shared" si="18"/>
        <v>559.125</v>
      </c>
      <c r="K202">
        <f t="shared" si="19"/>
        <v>6.0341571336067342E-3</v>
      </c>
    </row>
    <row r="203" spans="1:11">
      <c r="A203" t="s">
        <v>750</v>
      </c>
      <c r="B203">
        <v>91140</v>
      </c>
      <c r="C203" t="s">
        <v>718</v>
      </c>
      <c r="D203">
        <v>92101.5</v>
      </c>
      <c r="G203" s="51">
        <f t="shared" si="15"/>
        <v>92120</v>
      </c>
      <c r="H203" s="52">
        <f t="shared" si="16"/>
        <v>92197.9375</v>
      </c>
      <c r="I203" s="37">
        <f t="shared" si="17"/>
        <v>-77.9375</v>
      </c>
      <c r="J203">
        <f t="shared" si="18"/>
        <v>77.9375</v>
      </c>
      <c r="K203">
        <f t="shared" si="19"/>
        <v>8.4604320451584891E-4</v>
      </c>
    </row>
    <row r="204" spans="1:11">
      <c r="A204" t="s">
        <v>751</v>
      </c>
      <c r="B204">
        <v>92230</v>
      </c>
      <c r="C204" t="s">
        <v>718</v>
      </c>
      <c r="D204">
        <v>91202.576923076922</v>
      </c>
      <c r="G204" s="51">
        <f t="shared" si="15"/>
        <v>91140</v>
      </c>
      <c r="H204" s="52">
        <f t="shared" si="16"/>
        <v>92101.5</v>
      </c>
      <c r="I204" s="37">
        <f t="shared" si="17"/>
        <v>-961.5</v>
      </c>
      <c r="J204">
        <f t="shared" si="18"/>
        <v>961.5</v>
      </c>
      <c r="K204">
        <f t="shared" si="19"/>
        <v>1.054970375246873E-2</v>
      </c>
    </row>
    <row r="205" spans="1:11">
      <c r="A205" t="s">
        <v>752</v>
      </c>
      <c r="B205">
        <v>88370</v>
      </c>
      <c r="C205" t="s">
        <v>741</v>
      </c>
      <c r="D205">
        <v>85922.5</v>
      </c>
      <c r="G205" s="51">
        <f t="shared" si="15"/>
        <v>92230</v>
      </c>
      <c r="H205" s="52">
        <f t="shared" si="16"/>
        <v>91202.576923076922</v>
      </c>
      <c r="I205" s="37">
        <f t="shared" si="17"/>
        <v>1027.423076923078</v>
      </c>
      <c r="J205">
        <f t="shared" si="18"/>
        <v>1027.423076923078</v>
      </c>
      <c r="K205">
        <f t="shared" si="19"/>
        <v>1.1139792658821186E-2</v>
      </c>
    </row>
    <row r="206" spans="1:11">
      <c r="A206" t="s">
        <v>753</v>
      </c>
      <c r="B206">
        <v>87020</v>
      </c>
      <c r="C206" t="s">
        <v>714</v>
      </c>
      <c r="D206">
        <v>87154.166666666672</v>
      </c>
      <c r="G206" s="51">
        <f t="shared" si="15"/>
        <v>88370</v>
      </c>
      <c r="H206" s="52">
        <f t="shared" si="16"/>
        <v>85922.5</v>
      </c>
      <c r="I206" s="37">
        <f t="shared" si="17"/>
        <v>2447.5</v>
      </c>
      <c r="J206">
        <f t="shared" si="18"/>
        <v>2447.5</v>
      </c>
      <c r="K206">
        <f t="shared" si="19"/>
        <v>2.7696050695937537E-2</v>
      </c>
    </row>
    <row r="207" spans="1:11">
      <c r="A207" t="s">
        <v>754</v>
      </c>
      <c r="B207">
        <v>86560</v>
      </c>
      <c r="C207" t="s">
        <v>714</v>
      </c>
      <c r="D207">
        <v>86569.0625</v>
      </c>
      <c r="G207" s="51">
        <f t="shared" si="15"/>
        <v>87020</v>
      </c>
      <c r="H207" s="52">
        <f t="shared" si="16"/>
        <v>87154.166666666672</v>
      </c>
      <c r="I207" s="37">
        <f t="shared" si="17"/>
        <v>-134.16666666667152</v>
      </c>
      <c r="J207">
        <f t="shared" si="18"/>
        <v>134.16666666667152</v>
      </c>
      <c r="K207">
        <f t="shared" si="19"/>
        <v>1.5417911591205644E-3</v>
      </c>
    </row>
    <row r="208" spans="1:11">
      <c r="A208" t="s">
        <v>755</v>
      </c>
      <c r="B208">
        <v>86920</v>
      </c>
      <c r="C208" t="s">
        <v>714</v>
      </c>
      <c r="D208">
        <v>86284.375</v>
      </c>
      <c r="G208" s="51">
        <f t="shared" si="15"/>
        <v>86560</v>
      </c>
      <c r="H208" s="52">
        <f t="shared" si="16"/>
        <v>86569.0625</v>
      </c>
      <c r="I208" s="37">
        <f t="shared" si="17"/>
        <v>-9.0625</v>
      </c>
      <c r="J208">
        <f t="shared" si="18"/>
        <v>9.0625</v>
      </c>
      <c r="K208">
        <f t="shared" si="19"/>
        <v>1.0469616451016636E-4</v>
      </c>
    </row>
    <row r="209" spans="1:11">
      <c r="A209" t="s">
        <v>756</v>
      </c>
      <c r="B209">
        <v>84590</v>
      </c>
      <c r="C209" t="s">
        <v>714</v>
      </c>
      <c r="D209">
        <v>86843.269230769234</v>
      </c>
      <c r="G209" s="51">
        <f t="shared" si="15"/>
        <v>86920</v>
      </c>
      <c r="H209" s="52">
        <f t="shared" si="16"/>
        <v>86284.375</v>
      </c>
      <c r="I209" s="37">
        <f t="shared" si="17"/>
        <v>635.625</v>
      </c>
      <c r="J209">
        <f t="shared" si="18"/>
        <v>635.625</v>
      </c>
      <c r="K209">
        <f t="shared" si="19"/>
        <v>7.3127588587206631E-3</v>
      </c>
    </row>
    <row r="210" spans="1:11">
      <c r="A210" t="s">
        <v>757</v>
      </c>
      <c r="B210">
        <v>84850</v>
      </c>
      <c r="C210" t="s">
        <v>714</v>
      </c>
      <c r="D210">
        <v>85394.722222222219</v>
      </c>
      <c r="G210" s="51">
        <f t="shared" si="15"/>
        <v>84590</v>
      </c>
      <c r="H210" s="52">
        <f t="shared" si="16"/>
        <v>86843.269230769234</v>
      </c>
      <c r="I210" s="37">
        <f t="shared" si="17"/>
        <v>-2253.2692307692341</v>
      </c>
      <c r="J210">
        <f t="shared" si="18"/>
        <v>2253.2692307692341</v>
      </c>
      <c r="K210">
        <f t="shared" si="19"/>
        <v>2.6637536715560163E-2</v>
      </c>
    </row>
    <row r="211" spans="1:11">
      <c r="A211" t="s">
        <v>758</v>
      </c>
      <c r="B211">
        <v>84420</v>
      </c>
      <c r="C211" t="s">
        <v>714</v>
      </c>
      <c r="D211">
        <v>85242.8125</v>
      </c>
      <c r="G211" s="51">
        <f t="shared" si="15"/>
        <v>84850</v>
      </c>
      <c r="H211" s="52">
        <f t="shared" si="16"/>
        <v>85394.722222222219</v>
      </c>
      <c r="I211" s="37">
        <f t="shared" si="17"/>
        <v>-544.72222222221899</v>
      </c>
      <c r="J211">
        <f t="shared" si="18"/>
        <v>544.72222222221899</v>
      </c>
      <c r="K211">
        <f t="shared" si="19"/>
        <v>6.4198258364433587E-3</v>
      </c>
    </row>
    <row r="212" spans="1:11">
      <c r="A212" t="s">
        <v>759</v>
      </c>
      <c r="B212">
        <v>84870</v>
      </c>
      <c r="C212" t="s">
        <v>714</v>
      </c>
      <c r="D212">
        <v>84535.576923076922</v>
      </c>
      <c r="G212" s="51">
        <f t="shared" si="15"/>
        <v>84420</v>
      </c>
      <c r="H212" s="52">
        <f t="shared" si="16"/>
        <v>85242.8125</v>
      </c>
      <c r="I212" s="37">
        <f t="shared" si="17"/>
        <v>-822.8125</v>
      </c>
      <c r="J212">
        <f t="shared" si="18"/>
        <v>822.8125</v>
      </c>
      <c r="K212">
        <f t="shared" si="19"/>
        <v>9.7466536365790092E-3</v>
      </c>
    </row>
    <row r="213" spans="1:11">
      <c r="A213" t="s">
        <v>760</v>
      </c>
      <c r="B213">
        <v>84910</v>
      </c>
      <c r="C213" t="s">
        <v>714</v>
      </c>
      <c r="D213">
        <v>84950.961538461532</v>
      </c>
      <c r="G213" s="51">
        <f t="shared" si="15"/>
        <v>84870</v>
      </c>
      <c r="H213" s="52">
        <f t="shared" si="16"/>
        <v>84535.576923076922</v>
      </c>
      <c r="I213" s="37">
        <f t="shared" si="17"/>
        <v>334.42307692307804</v>
      </c>
      <c r="J213">
        <f t="shared" si="18"/>
        <v>334.42307692307804</v>
      </c>
      <c r="K213">
        <f t="shared" si="19"/>
        <v>3.9404156583371982E-3</v>
      </c>
    </row>
    <row r="214" spans="1:11">
      <c r="A214" t="s">
        <v>761</v>
      </c>
      <c r="B214">
        <v>86200</v>
      </c>
      <c r="C214" t="s">
        <v>714</v>
      </c>
      <c r="D214">
        <v>84987.88461538461</v>
      </c>
      <c r="G214" s="51">
        <f t="shared" si="15"/>
        <v>84910</v>
      </c>
      <c r="H214" s="52">
        <f t="shared" si="16"/>
        <v>84950.961538461532</v>
      </c>
      <c r="I214" s="37">
        <f t="shared" si="17"/>
        <v>-40.961538461531745</v>
      </c>
      <c r="J214">
        <f t="shared" si="18"/>
        <v>40.961538461531745</v>
      </c>
      <c r="K214">
        <f t="shared" si="19"/>
        <v>4.8241124086128542E-4</v>
      </c>
    </row>
    <row r="215" spans="1:11">
      <c r="A215" t="s">
        <v>762</v>
      </c>
      <c r="B215">
        <v>87780</v>
      </c>
      <c r="C215" t="s">
        <v>714</v>
      </c>
      <c r="D215">
        <v>86174.772727272721</v>
      </c>
      <c r="G215" s="51">
        <f t="shared" si="15"/>
        <v>86200</v>
      </c>
      <c r="H215" s="52">
        <f t="shared" si="16"/>
        <v>84987.88461538461</v>
      </c>
      <c r="I215" s="37">
        <f t="shared" si="17"/>
        <v>1212.1153846153902</v>
      </c>
      <c r="J215">
        <f t="shared" si="18"/>
        <v>1212.1153846153902</v>
      </c>
      <c r="K215">
        <f t="shared" si="19"/>
        <v>1.4061663394610095E-2</v>
      </c>
    </row>
    <row r="216" spans="1:11">
      <c r="A216" t="s">
        <v>763</v>
      </c>
      <c r="B216">
        <v>89240</v>
      </c>
      <c r="C216" t="s">
        <v>716</v>
      </c>
      <c r="D216">
        <v>91953.5</v>
      </c>
      <c r="G216" s="51">
        <f t="shared" si="15"/>
        <v>87780</v>
      </c>
      <c r="H216" s="52">
        <f t="shared" si="16"/>
        <v>86174.772727272721</v>
      </c>
      <c r="I216" s="37">
        <f t="shared" si="17"/>
        <v>1605.2272727272793</v>
      </c>
      <c r="J216">
        <f t="shared" si="18"/>
        <v>1605.2272727272793</v>
      </c>
      <c r="K216">
        <f t="shared" si="19"/>
        <v>1.8286936349137382E-2</v>
      </c>
    </row>
    <row r="217" spans="1:11">
      <c r="A217" t="s">
        <v>764</v>
      </c>
      <c r="B217">
        <v>85920</v>
      </c>
      <c r="C217" t="s">
        <v>741</v>
      </c>
      <c r="D217">
        <v>87401.25</v>
      </c>
      <c r="G217" s="51">
        <f t="shared" si="15"/>
        <v>89240</v>
      </c>
      <c r="H217" s="52">
        <f t="shared" si="16"/>
        <v>91953.5</v>
      </c>
      <c r="I217" s="37">
        <f t="shared" si="17"/>
        <v>-2713.5</v>
      </c>
      <c r="J217">
        <f t="shared" si="18"/>
        <v>2713.5</v>
      </c>
      <c r="K217">
        <f t="shared" si="19"/>
        <v>3.0406768265351859E-2</v>
      </c>
    </row>
    <row r="218" spans="1:11">
      <c r="A218" t="s">
        <v>765</v>
      </c>
      <c r="B218">
        <v>88610</v>
      </c>
      <c r="C218" t="s">
        <v>714</v>
      </c>
      <c r="D218">
        <v>85920.277777777781</v>
      </c>
      <c r="G218" s="51">
        <f t="shared" si="15"/>
        <v>85920</v>
      </c>
      <c r="H218" s="52">
        <f t="shared" si="16"/>
        <v>87401.25</v>
      </c>
      <c r="I218" s="37">
        <f t="shared" si="17"/>
        <v>-1481.25</v>
      </c>
      <c r="J218">
        <f t="shared" si="18"/>
        <v>1481.25</v>
      </c>
      <c r="K218">
        <f t="shared" si="19"/>
        <v>1.7239874301675978E-2</v>
      </c>
    </row>
    <row r="219" spans="1:11">
      <c r="A219" t="s">
        <v>766</v>
      </c>
      <c r="B219">
        <v>85650</v>
      </c>
      <c r="C219" t="s">
        <v>714</v>
      </c>
      <c r="D219">
        <v>87963.25</v>
      </c>
      <c r="G219" s="51">
        <f t="shared" si="15"/>
        <v>88610</v>
      </c>
      <c r="H219" s="52">
        <f t="shared" si="16"/>
        <v>85920.277777777781</v>
      </c>
      <c r="I219" s="37">
        <f t="shared" si="17"/>
        <v>2689.722222222219</v>
      </c>
      <c r="J219">
        <f t="shared" si="18"/>
        <v>2689.722222222219</v>
      </c>
      <c r="K219">
        <f t="shared" si="19"/>
        <v>3.0354612597023125E-2</v>
      </c>
    </row>
    <row r="220" spans="1:11">
      <c r="A220" t="s">
        <v>767</v>
      </c>
      <c r="B220">
        <v>86700</v>
      </c>
      <c r="C220" t="s">
        <v>714</v>
      </c>
      <c r="D220">
        <v>85670.961538461532</v>
      </c>
      <c r="G220" s="51">
        <f t="shared" si="15"/>
        <v>85650</v>
      </c>
      <c r="H220" s="52">
        <f t="shared" si="16"/>
        <v>87963.25</v>
      </c>
      <c r="I220" s="37">
        <f t="shared" si="17"/>
        <v>-2313.25</v>
      </c>
      <c r="J220">
        <f t="shared" si="18"/>
        <v>2313.25</v>
      </c>
      <c r="K220">
        <f t="shared" si="19"/>
        <v>2.7008172796263864E-2</v>
      </c>
    </row>
    <row r="221" spans="1:11">
      <c r="A221" t="s">
        <v>768</v>
      </c>
      <c r="B221">
        <v>87180</v>
      </c>
      <c r="C221" t="s">
        <v>714</v>
      </c>
      <c r="D221">
        <v>86613.611111111109</v>
      </c>
      <c r="G221" s="51">
        <f t="shared" si="15"/>
        <v>86700</v>
      </c>
      <c r="H221" s="52">
        <f t="shared" si="16"/>
        <v>85670.961538461532</v>
      </c>
      <c r="I221" s="37">
        <f t="shared" si="17"/>
        <v>1029.0384615384683</v>
      </c>
      <c r="J221">
        <f t="shared" si="18"/>
        <v>1029.0384615384683</v>
      </c>
      <c r="K221">
        <f t="shared" si="19"/>
        <v>1.1868955727087292E-2</v>
      </c>
    </row>
    <row r="222" spans="1:11">
      <c r="A222" t="s">
        <v>769</v>
      </c>
      <c r="B222">
        <v>87850</v>
      </c>
      <c r="C222" t="s">
        <v>714</v>
      </c>
      <c r="D222">
        <v>87083.269230769234</v>
      </c>
      <c r="G222" s="51">
        <f t="shared" si="15"/>
        <v>87180</v>
      </c>
      <c r="H222" s="52">
        <f t="shared" si="16"/>
        <v>86613.611111111109</v>
      </c>
      <c r="I222" s="37">
        <f t="shared" si="17"/>
        <v>566.38888888889051</v>
      </c>
      <c r="J222">
        <f t="shared" si="18"/>
        <v>566.38888888889051</v>
      </c>
      <c r="K222">
        <f t="shared" si="19"/>
        <v>6.4967755091636901E-3</v>
      </c>
    </row>
    <row r="223" spans="1:11">
      <c r="A223" t="s">
        <v>770</v>
      </c>
      <c r="B223">
        <v>86350</v>
      </c>
      <c r="C223" t="s">
        <v>714</v>
      </c>
      <c r="D223">
        <v>87701.730769230766</v>
      </c>
      <c r="G223" s="51">
        <f t="shared" si="15"/>
        <v>87850</v>
      </c>
      <c r="H223" s="52">
        <f t="shared" si="16"/>
        <v>87083.269230769234</v>
      </c>
      <c r="I223" s="37">
        <f t="shared" si="17"/>
        <v>766.73076923076587</v>
      </c>
      <c r="J223">
        <f t="shared" si="18"/>
        <v>766.73076923076587</v>
      </c>
      <c r="K223">
        <f t="shared" si="19"/>
        <v>8.7277264568100844E-3</v>
      </c>
    </row>
    <row r="224" spans="1:11">
      <c r="A224" t="s">
        <v>771</v>
      </c>
      <c r="B224">
        <v>90000</v>
      </c>
      <c r="C224" t="s">
        <v>716</v>
      </c>
      <c r="D224">
        <v>91953.5</v>
      </c>
      <c r="G224" s="51">
        <f t="shared" si="15"/>
        <v>86350</v>
      </c>
      <c r="H224" s="52">
        <f t="shared" si="16"/>
        <v>87701.730769230766</v>
      </c>
      <c r="I224" s="37">
        <f t="shared" si="17"/>
        <v>-1351.7307692307659</v>
      </c>
      <c r="J224">
        <f t="shared" si="18"/>
        <v>1351.7307692307659</v>
      </c>
      <c r="K224">
        <f t="shared" si="19"/>
        <v>1.5654091131798099E-2</v>
      </c>
    </row>
    <row r="225" spans="1:11">
      <c r="A225" t="s">
        <v>772</v>
      </c>
      <c r="B225">
        <v>100000</v>
      </c>
      <c r="C225" t="s">
        <v>721</v>
      </c>
      <c r="D225">
        <v>97217.25</v>
      </c>
      <c r="G225" s="51">
        <f t="shared" si="15"/>
        <v>90000</v>
      </c>
      <c r="H225" s="52">
        <f t="shared" si="16"/>
        <v>91953.5</v>
      </c>
      <c r="I225" s="37">
        <f t="shared" si="17"/>
        <v>-1953.5</v>
      </c>
      <c r="J225">
        <f t="shared" si="18"/>
        <v>1953.5</v>
      </c>
      <c r="K225">
        <f t="shared" si="19"/>
        <v>2.1705555555555554E-2</v>
      </c>
    </row>
    <row r="226" spans="1:11">
      <c r="A226" t="s">
        <v>773</v>
      </c>
      <c r="B226">
        <v>86820</v>
      </c>
      <c r="C226" t="s">
        <v>774</v>
      </c>
      <c r="D226">
        <v>86611.25</v>
      </c>
      <c r="G226" s="51">
        <f t="shared" si="15"/>
        <v>100000</v>
      </c>
      <c r="H226" s="52">
        <f t="shared" si="16"/>
        <v>97217.25</v>
      </c>
      <c r="I226" s="37">
        <f t="shared" si="17"/>
        <v>2782.75</v>
      </c>
      <c r="J226">
        <f t="shared" si="18"/>
        <v>2782.75</v>
      </c>
      <c r="K226">
        <f t="shared" si="19"/>
        <v>2.7827500000000002E-2</v>
      </c>
    </row>
    <row r="227" spans="1:11">
      <c r="A227" t="s">
        <v>775</v>
      </c>
      <c r="B227">
        <v>89250</v>
      </c>
      <c r="C227" t="s">
        <v>716</v>
      </c>
      <c r="D227">
        <v>91711.166666666672</v>
      </c>
      <c r="G227" s="51">
        <f t="shared" si="15"/>
        <v>86820</v>
      </c>
      <c r="H227" s="52">
        <f t="shared" si="16"/>
        <v>86611.25</v>
      </c>
      <c r="I227" s="37">
        <f t="shared" si="17"/>
        <v>208.75</v>
      </c>
      <c r="J227">
        <f t="shared" si="18"/>
        <v>208.75</v>
      </c>
      <c r="K227">
        <f t="shared" si="19"/>
        <v>2.4043999078553328E-3</v>
      </c>
    </row>
    <row r="228" spans="1:11">
      <c r="A228" t="s">
        <v>776</v>
      </c>
      <c r="B228">
        <v>90080</v>
      </c>
      <c r="C228" t="s">
        <v>718</v>
      </c>
      <c r="D228">
        <v>92389.416666666672</v>
      </c>
      <c r="G228" s="51">
        <f t="shared" si="15"/>
        <v>89250</v>
      </c>
      <c r="H228" s="52">
        <f t="shared" si="16"/>
        <v>91711.166666666672</v>
      </c>
      <c r="I228" s="37">
        <f t="shared" si="17"/>
        <v>-2461.1666666666715</v>
      </c>
      <c r="J228">
        <f t="shared" si="18"/>
        <v>2461.1666666666715</v>
      </c>
      <c r="K228">
        <f t="shared" si="19"/>
        <v>2.7576097105508925E-2</v>
      </c>
    </row>
    <row r="229" spans="1:11">
      <c r="A229" t="s">
        <v>777</v>
      </c>
      <c r="B229">
        <v>87890</v>
      </c>
      <c r="C229" t="s">
        <v>741</v>
      </c>
      <c r="D229">
        <v>86640.625</v>
      </c>
      <c r="G229" s="51">
        <f t="shared" si="15"/>
        <v>90080</v>
      </c>
      <c r="H229" s="52">
        <f t="shared" si="16"/>
        <v>92389.416666666672</v>
      </c>
      <c r="I229" s="37">
        <f t="shared" si="17"/>
        <v>-2309.4166666666715</v>
      </c>
      <c r="J229">
        <f t="shared" si="18"/>
        <v>2309.4166666666715</v>
      </c>
      <c r="K229">
        <f t="shared" si="19"/>
        <v>2.5637396388395555E-2</v>
      </c>
    </row>
    <row r="230" spans="1:11">
      <c r="A230" t="s">
        <v>778</v>
      </c>
      <c r="B230">
        <v>86390</v>
      </c>
      <c r="C230" t="s">
        <v>714</v>
      </c>
      <c r="D230">
        <v>86877.25</v>
      </c>
      <c r="G230" s="51">
        <f t="shared" si="15"/>
        <v>87890</v>
      </c>
      <c r="H230" s="52">
        <f t="shared" si="16"/>
        <v>86640.625</v>
      </c>
      <c r="I230" s="37">
        <f t="shared" si="17"/>
        <v>1249.375</v>
      </c>
      <c r="J230">
        <f t="shared" si="18"/>
        <v>1249.375</v>
      </c>
      <c r="K230">
        <f t="shared" si="19"/>
        <v>1.4215212197064512E-2</v>
      </c>
    </row>
    <row r="231" spans="1:11">
      <c r="A231" t="s">
        <v>779</v>
      </c>
      <c r="B231">
        <v>84200</v>
      </c>
      <c r="C231" t="s">
        <v>714</v>
      </c>
      <c r="D231">
        <v>86354.038461538468</v>
      </c>
      <c r="G231" s="51">
        <f t="shared" si="15"/>
        <v>86390</v>
      </c>
      <c r="H231" s="52">
        <f t="shared" si="16"/>
        <v>86877.25</v>
      </c>
      <c r="I231" s="37">
        <f t="shared" si="17"/>
        <v>-487.25</v>
      </c>
      <c r="J231">
        <f t="shared" si="18"/>
        <v>487.25</v>
      </c>
      <c r="K231">
        <f t="shared" si="19"/>
        <v>5.6401203843037392E-3</v>
      </c>
    </row>
    <row r="232" spans="1:11">
      <c r="A232" t="s">
        <v>780</v>
      </c>
      <c r="B232">
        <v>84260</v>
      </c>
      <c r="C232" t="s">
        <v>714</v>
      </c>
      <c r="D232">
        <v>84670.227272727279</v>
      </c>
      <c r="G232" s="51">
        <f t="shared" si="15"/>
        <v>84200</v>
      </c>
      <c r="H232" s="52">
        <f t="shared" si="16"/>
        <v>86354.038461538468</v>
      </c>
      <c r="I232" s="37">
        <f t="shared" si="17"/>
        <v>-2154.0384615384683</v>
      </c>
      <c r="J232">
        <f t="shared" si="18"/>
        <v>2154.0384615384683</v>
      </c>
      <c r="K232">
        <f t="shared" si="19"/>
        <v>2.5582404531335728E-2</v>
      </c>
    </row>
    <row r="233" spans="1:11">
      <c r="A233" t="s">
        <v>781</v>
      </c>
      <c r="B233">
        <v>82360</v>
      </c>
      <c r="C233" t="s">
        <v>782</v>
      </c>
      <c r="D233">
        <v>79972.875</v>
      </c>
      <c r="G233" s="51">
        <f t="shared" si="15"/>
        <v>84260</v>
      </c>
      <c r="H233" s="52">
        <f t="shared" si="16"/>
        <v>84670.227272727279</v>
      </c>
      <c r="I233" s="37">
        <f t="shared" si="17"/>
        <v>-410.22727272727934</v>
      </c>
      <c r="J233">
        <f t="shared" si="18"/>
        <v>410.22727272727934</v>
      </c>
      <c r="K233">
        <f t="shared" si="19"/>
        <v>4.8685885678528291E-3</v>
      </c>
    </row>
    <row r="234" spans="1:11">
      <c r="A234" t="s">
        <v>783</v>
      </c>
      <c r="B234">
        <v>83100</v>
      </c>
      <c r="C234" t="s">
        <v>712</v>
      </c>
      <c r="D234">
        <v>85464.5</v>
      </c>
      <c r="G234" s="51">
        <f t="shared" si="15"/>
        <v>82360</v>
      </c>
      <c r="H234" s="52">
        <f t="shared" si="16"/>
        <v>79972.875</v>
      </c>
      <c r="I234" s="37">
        <f t="shared" si="17"/>
        <v>2387.125</v>
      </c>
      <c r="J234">
        <f t="shared" si="18"/>
        <v>2387.125</v>
      </c>
      <c r="K234">
        <f t="shared" si="19"/>
        <v>2.8984033511413307E-2</v>
      </c>
    </row>
    <row r="235" spans="1:11">
      <c r="A235" t="s">
        <v>784</v>
      </c>
      <c r="B235">
        <v>83290</v>
      </c>
      <c r="C235" t="s">
        <v>714</v>
      </c>
      <c r="D235">
        <v>84649.404761904749</v>
      </c>
      <c r="G235" s="51">
        <f t="shared" si="15"/>
        <v>83100</v>
      </c>
      <c r="H235" s="52">
        <f t="shared" si="16"/>
        <v>85464.5</v>
      </c>
      <c r="I235" s="37">
        <f t="shared" si="17"/>
        <v>-2364.5</v>
      </c>
      <c r="J235">
        <f t="shared" si="18"/>
        <v>2364.5</v>
      </c>
      <c r="K235">
        <f t="shared" si="19"/>
        <v>2.8453670276774971E-2</v>
      </c>
    </row>
    <row r="236" spans="1:11">
      <c r="A236" t="s">
        <v>785</v>
      </c>
      <c r="B236">
        <v>82820</v>
      </c>
      <c r="C236" t="s">
        <v>782</v>
      </c>
      <c r="D236">
        <v>81615.375</v>
      </c>
      <c r="G236" s="51">
        <f t="shared" si="15"/>
        <v>83290</v>
      </c>
      <c r="H236" s="52">
        <f t="shared" si="16"/>
        <v>84649.404761904749</v>
      </c>
      <c r="I236" s="37">
        <f t="shared" si="17"/>
        <v>-1359.4047619047487</v>
      </c>
      <c r="J236">
        <f t="shared" si="18"/>
        <v>1359.4047619047487</v>
      </c>
      <c r="K236">
        <f t="shared" si="19"/>
        <v>1.6321344241862754E-2</v>
      </c>
    </row>
    <row r="237" spans="1:11">
      <c r="A237" t="s">
        <v>786</v>
      </c>
      <c r="B237">
        <v>79970</v>
      </c>
      <c r="C237" t="s">
        <v>706</v>
      </c>
      <c r="D237">
        <v>82292.388888888891</v>
      </c>
      <c r="G237" s="51">
        <f t="shared" si="15"/>
        <v>82820</v>
      </c>
      <c r="H237" s="52">
        <f t="shared" si="16"/>
        <v>81615.375</v>
      </c>
      <c r="I237" s="37">
        <f t="shared" si="17"/>
        <v>1204.625</v>
      </c>
      <c r="J237">
        <f t="shared" si="18"/>
        <v>1204.625</v>
      </c>
      <c r="K237">
        <f t="shared" si="19"/>
        <v>1.4545097802463174E-2</v>
      </c>
    </row>
    <row r="238" spans="1:11">
      <c r="A238" t="s">
        <v>787</v>
      </c>
      <c r="B238">
        <v>80800</v>
      </c>
      <c r="C238" t="s">
        <v>706</v>
      </c>
      <c r="D238">
        <v>79961.277777777781</v>
      </c>
      <c r="G238" s="51">
        <f t="shared" si="15"/>
        <v>79970</v>
      </c>
      <c r="H238" s="52">
        <f t="shared" si="16"/>
        <v>82292.388888888891</v>
      </c>
      <c r="I238" s="37">
        <f t="shared" si="17"/>
        <v>-2322.3888888888905</v>
      </c>
      <c r="J238">
        <f t="shared" si="18"/>
        <v>2322.3888888888905</v>
      </c>
      <c r="K238">
        <f t="shared" si="19"/>
        <v>2.9040751392883462E-2</v>
      </c>
    </row>
    <row r="239" spans="1:11">
      <c r="A239" t="s">
        <v>788</v>
      </c>
      <c r="B239">
        <v>78560</v>
      </c>
      <c r="C239" t="s">
        <v>706</v>
      </c>
      <c r="D239">
        <v>80699.055555555562</v>
      </c>
      <c r="G239" s="51">
        <f t="shared" si="15"/>
        <v>80800</v>
      </c>
      <c r="H239" s="52">
        <f t="shared" si="16"/>
        <v>79961.277777777781</v>
      </c>
      <c r="I239" s="37">
        <f t="shared" si="17"/>
        <v>838.72222222221899</v>
      </c>
      <c r="J239">
        <f t="shared" si="18"/>
        <v>838.72222222221899</v>
      </c>
      <c r="K239">
        <f t="shared" si="19"/>
        <v>1.0380225522552215E-2</v>
      </c>
    </row>
    <row r="240" spans="1:11">
      <c r="A240" t="s">
        <v>789</v>
      </c>
      <c r="B240">
        <v>79380</v>
      </c>
      <c r="C240" t="s">
        <v>706</v>
      </c>
      <c r="D240">
        <v>79321.954545454544</v>
      </c>
      <c r="G240" s="51">
        <f t="shared" si="15"/>
        <v>78560</v>
      </c>
      <c r="H240" s="52">
        <f t="shared" si="16"/>
        <v>80699.055555555562</v>
      </c>
      <c r="I240" s="37">
        <f t="shared" si="17"/>
        <v>-2139.055555555562</v>
      </c>
      <c r="J240">
        <f t="shared" si="18"/>
        <v>2139.055555555562</v>
      </c>
      <c r="K240">
        <f t="shared" si="19"/>
        <v>2.722830391491296E-2</v>
      </c>
    </row>
    <row r="241" spans="1:11">
      <c r="A241" t="s">
        <v>790</v>
      </c>
      <c r="B241">
        <v>79480</v>
      </c>
      <c r="C241" t="s">
        <v>706</v>
      </c>
      <c r="D241">
        <v>79715.149999999994</v>
      </c>
      <c r="G241" s="51">
        <f t="shared" si="15"/>
        <v>79380</v>
      </c>
      <c r="H241" s="52">
        <f t="shared" si="16"/>
        <v>79321.954545454544</v>
      </c>
      <c r="I241" s="37">
        <f t="shared" si="17"/>
        <v>58.045454545455868</v>
      </c>
      <c r="J241">
        <f t="shared" si="18"/>
        <v>58.045454545455868</v>
      </c>
      <c r="K241">
        <f t="shared" si="19"/>
        <v>7.3123525504479551E-4</v>
      </c>
    </row>
    <row r="242" spans="1:11">
      <c r="A242" t="s">
        <v>791</v>
      </c>
      <c r="B242">
        <v>79160</v>
      </c>
      <c r="C242" t="s">
        <v>706</v>
      </c>
      <c r="D242">
        <v>79511.653846153844</v>
      </c>
      <c r="G242" s="51">
        <f t="shared" si="15"/>
        <v>79480</v>
      </c>
      <c r="H242" s="52">
        <f t="shared" si="16"/>
        <v>79715.149999999994</v>
      </c>
      <c r="I242" s="37">
        <f t="shared" si="17"/>
        <v>-235.14999999999418</v>
      </c>
      <c r="J242">
        <f t="shared" si="18"/>
        <v>235.14999999999418</v>
      </c>
      <c r="K242">
        <f t="shared" si="19"/>
        <v>2.9586059386008325E-3</v>
      </c>
    </row>
    <row r="243" spans="1:11">
      <c r="A243" t="s">
        <v>792</v>
      </c>
      <c r="B243">
        <v>78670</v>
      </c>
      <c r="C243" t="s">
        <v>706</v>
      </c>
      <c r="D243">
        <v>79216.269230769234</v>
      </c>
      <c r="G243" s="51">
        <f t="shared" si="15"/>
        <v>79160</v>
      </c>
      <c r="H243" s="52">
        <f t="shared" si="16"/>
        <v>79511.653846153844</v>
      </c>
      <c r="I243" s="37">
        <f t="shared" si="17"/>
        <v>-351.65384615384392</v>
      </c>
      <c r="J243">
        <f t="shared" si="18"/>
        <v>351.65384615384392</v>
      </c>
      <c r="K243">
        <f t="shared" si="19"/>
        <v>4.442317409725163E-3</v>
      </c>
    </row>
    <row r="244" spans="1:11">
      <c r="A244" t="s">
        <v>793</v>
      </c>
      <c r="B244">
        <v>77490</v>
      </c>
      <c r="C244" t="s">
        <v>706</v>
      </c>
      <c r="D244">
        <v>78763.961538461532</v>
      </c>
      <c r="G244" s="51">
        <f t="shared" si="15"/>
        <v>78670</v>
      </c>
      <c r="H244" s="52">
        <f t="shared" si="16"/>
        <v>79216.269230769234</v>
      </c>
      <c r="I244" s="37">
        <f t="shared" si="17"/>
        <v>-546.26923076923413</v>
      </c>
      <c r="J244">
        <f t="shared" si="18"/>
        <v>546.26923076923413</v>
      </c>
      <c r="K244">
        <f t="shared" si="19"/>
        <v>6.9438061620596689E-3</v>
      </c>
    </row>
    <row r="245" spans="1:11">
      <c r="A245" t="s">
        <v>794</v>
      </c>
      <c r="B245">
        <v>75370</v>
      </c>
      <c r="C245" t="s">
        <v>795</v>
      </c>
      <c r="D245">
        <v>75547.625</v>
      </c>
      <c r="G245" s="51">
        <f t="shared" si="15"/>
        <v>77490</v>
      </c>
      <c r="H245" s="52">
        <f t="shared" si="16"/>
        <v>78763.961538461532</v>
      </c>
      <c r="I245" s="37">
        <f t="shared" si="17"/>
        <v>-1273.9615384615317</v>
      </c>
      <c r="J245">
        <f t="shared" si="18"/>
        <v>1273.9615384615317</v>
      </c>
      <c r="K245">
        <f t="shared" si="19"/>
        <v>1.6440334733017575E-2</v>
      </c>
    </row>
    <row r="246" spans="1:11">
      <c r="A246" t="s">
        <v>796</v>
      </c>
      <c r="B246">
        <v>72090</v>
      </c>
      <c r="C246" t="s">
        <v>591</v>
      </c>
      <c r="D246">
        <v>74805.5</v>
      </c>
      <c r="G246" s="51">
        <f t="shared" si="15"/>
        <v>75370</v>
      </c>
      <c r="H246" s="52">
        <f t="shared" si="16"/>
        <v>75547.625</v>
      </c>
      <c r="I246" s="37">
        <f t="shared" si="17"/>
        <v>-177.625</v>
      </c>
      <c r="J246">
        <f t="shared" si="18"/>
        <v>177.625</v>
      </c>
      <c r="K246">
        <f t="shared" si="19"/>
        <v>2.356706912564681E-3</v>
      </c>
    </row>
    <row r="247" spans="1:11">
      <c r="A247" t="s">
        <v>797</v>
      </c>
      <c r="B247">
        <v>73370</v>
      </c>
      <c r="C247" t="s">
        <v>591</v>
      </c>
      <c r="D247">
        <v>72778.227272727279</v>
      </c>
      <c r="G247" s="51">
        <f t="shared" si="15"/>
        <v>72090</v>
      </c>
      <c r="H247" s="52">
        <f t="shared" si="16"/>
        <v>74805.5</v>
      </c>
      <c r="I247" s="37">
        <f t="shared" si="17"/>
        <v>-2715.5</v>
      </c>
      <c r="J247">
        <f t="shared" si="18"/>
        <v>2715.5</v>
      </c>
      <c r="K247">
        <f t="shared" si="19"/>
        <v>3.7668192537106397E-2</v>
      </c>
    </row>
    <row r="248" spans="1:11">
      <c r="A248" t="s">
        <v>798</v>
      </c>
      <c r="B248">
        <v>70150</v>
      </c>
      <c r="C248" t="s">
        <v>577</v>
      </c>
      <c r="D248">
        <v>68189.833333333328</v>
      </c>
      <c r="G248" s="51">
        <f t="shared" si="15"/>
        <v>73370</v>
      </c>
      <c r="H248" s="52">
        <f t="shared" si="16"/>
        <v>72778.227272727279</v>
      </c>
      <c r="I248" s="37">
        <f t="shared" si="17"/>
        <v>591.77272727272066</v>
      </c>
      <c r="J248">
        <f t="shared" si="18"/>
        <v>591.77272727272066</v>
      </c>
      <c r="K248">
        <f t="shared" si="19"/>
        <v>8.0655953015227027E-3</v>
      </c>
    </row>
    <row r="249" spans="1:11">
      <c r="A249" t="s">
        <v>799</v>
      </c>
      <c r="B249">
        <v>70250</v>
      </c>
      <c r="C249" t="s">
        <v>569</v>
      </c>
      <c r="D249">
        <v>69011.1875</v>
      </c>
      <c r="G249" s="51">
        <f t="shared" si="15"/>
        <v>70150</v>
      </c>
      <c r="H249" s="52">
        <f t="shared" si="16"/>
        <v>68189.833333333328</v>
      </c>
      <c r="I249" s="37">
        <f t="shared" si="17"/>
        <v>1960.1666666666715</v>
      </c>
      <c r="J249">
        <f t="shared" si="18"/>
        <v>1960.1666666666715</v>
      </c>
      <c r="K249">
        <f t="shared" si="19"/>
        <v>2.7942504157757255E-2</v>
      </c>
    </row>
    <row r="250" spans="1:11">
      <c r="A250" t="s">
        <v>800</v>
      </c>
      <c r="B250">
        <v>70200</v>
      </c>
      <c r="C250" t="s">
        <v>569</v>
      </c>
      <c r="D250">
        <v>68936.583333333328</v>
      </c>
      <c r="G250" s="51">
        <f t="shared" si="15"/>
        <v>70250</v>
      </c>
      <c r="H250" s="52">
        <f t="shared" si="16"/>
        <v>69011.1875</v>
      </c>
      <c r="I250" s="37">
        <f t="shared" si="17"/>
        <v>1238.8125</v>
      </c>
      <c r="J250">
        <f t="shared" si="18"/>
        <v>1238.8125</v>
      </c>
      <c r="K250">
        <f t="shared" si="19"/>
        <v>1.7634341637010675E-2</v>
      </c>
    </row>
    <row r="251" spans="1:11">
      <c r="A251" t="s">
        <v>801</v>
      </c>
      <c r="B251">
        <v>70230</v>
      </c>
      <c r="C251" t="s">
        <v>569</v>
      </c>
      <c r="D251">
        <v>70017.653846153844</v>
      </c>
      <c r="G251" s="51">
        <f t="shared" si="15"/>
        <v>70200</v>
      </c>
      <c r="H251" s="52">
        <f t="shared" si="16"/>
        <v>68936.583333333328</v>
      </c>
      <c r="I251" s="37">
        <f t="shared" si="17"/>
        <v>1263.4166666666715</v>
      </c>
      <c r="J251">
        <f t="shared" si="18"/>
        <v>1263.4166666666715</v>
      </c>
      <c r="K251">
        <f t="shared" si="19"/>
        <v>1.7997388414055151E-2</v>
      </c>
    </row>
    <row r="252" spans="1:11">
      <c r="A252" t="s">
        <v>802</v>
      </c>
      <c r="B252">
        <v>70080</v>
      </c>
      <c r="C252" t="s">
        <v>569</v>
      </c>
      <c r="D252">
        <v>70045.346153846156</v>
      </c>
      <c r="G252" s="51">
        <f t="shared" si="15"/>
        <v>70230</v>
      </c>
      <c r="H252" s="52">
        <f t="shared" si="16"/>
        <v>70017.653846153844</v>
      </c>
      <c r="I252" s="37">
        <f t="shared" si="17"/>
        <v>212.34615384615608</v>
      </c>
      <c r="J252">
        <f t="shared" si="18"/>
        <v>212.34615384615608</v>
      </c>
      <c r="K252">
        <f t="shared" si="19"/>
        <v>3.023581857413585E-3</v>
      </c>
    </row>
    <row r="253" spans="1:11">
      <c r="A253" t="s">
        <v>803</v>
      </c>
      <c r="B253">
        <v>69470</v>
      </c>
      <c r="C253" t="s">
        <v>569</v>
      </c>
      <c r="D253">
        <v>69906.88461538461</v>
      </c>
      <c r="G253" s="51">
        <f t="shared" si="15"/>
        <v>70080</v>
      </c>
      <c r="H253" s="52">
        <f t="shared" si="16"/>
        <v>70045.346153846156</v>
      </c>
      <c r="I253" s="37">
        <f t="shared" si="17"/>
        <v>34.653846153843915</v>
      </c>
      <c r="J253">
        <f t="shared" si="18"/>
        <v>34.653846153843915</v>
      </c>
      <c r="K253">
        <f t="shared" si="19"/>
        <v>4.94489813839097E-4</v>
      </c>
    </row>
    <row r="254" spans="1:11">
      <c r="A254" t="s">
        <v>804</v>
      </c>
      <c r="B254">
        <v>68930</v>
      </c>
      <c r="C254" t="s">
        <v>569</v>
      </c>
      <c r="D254">
        <v>69218.291666666672</v>
      </c>
      <c r="G254" s="51">
        <f t="shared" si="15"/>
        <v>69470</v>
      </c>
      <c r="H254" s="52">
        <f t="shared" si="16"/>
        <v>69906.88461538461</v>
      </c>
      <c r="I254" s="37">
        <f t="shared" si="17"/>
        <v>-436.88461538460979</v>
      </c>
      <c r="J254">
        <f t="shared" si="18"/>
        <v>436.88461538460979</v>
      </c>
      <c r="K254">
        <f t="shared" si="19"/>
        <v>6.2888241742422597E-3</v>
      </c>
    </row>
    <row r="255" spans="1:11">
      <c r="A255" t="s">
        <v>805</v>
      </c>
      <c r="B255">
        <v>69110</v>
      </c>
      <c r="C255" t="s">
        <v>569</v>
      </c>
      <c r="D255">
        <v>68845.346153846156</v>
      </c>
      <c r="G255" s="51">
        <f t="shared" si="15"/>
        <v>68930</v>
      </c>
      <c r="H255" s="52">
        <f t="shared" si="16"/>
        <v>69218.291666666672</v>
      </c>
      <c r="I255" s="37">
        <f t="shared" si="17"/>
        <v>-288.29166666667152</v>
      </c>
      <c r="J255">
        <f t="shared" si="18"/>
        <v>288.29166666667152</v>
      </c>
      <c r="K255">
        <f t="shared" si="19"/>
        <v>4.1823830939601266E-3</v>
      </c>
    </row>
    <row r="256" spans="1:11">
      <c r="A256" t="s">
        <v>806</v>
      </c>
      <c r="B256">
        <v>69630</v>
      </c>
      <c r="C256" t="s">
        <v>569</v>
      </c>
      <c r="D256">
        <v>69011.5</v>
      </c>
      <c r="G256" s="51">
        <f t="shared" si="15"/>
        <v>69110</v>
      </c>
      <c r="H256" s="52">
        <f t="shared" si="16"/>
        <v>68845.346153846156</v>
      </c>
      <c r="I256" s="37">
        <f t="shared" si="17"/>
        <v>264.65384615384392</v>
      </c>
      <c r="J256">
        <f t="shared" si="18"/>
        <v>264.65384615384392</v>
      </c>
      <c r="K256">
        <f t="shared" si="19"/>
        <v>3.8294580546063364E-3</v>
      </c>
    </row>
    <row r="257" spans="1:11">
      <c r="A257" t="s">
        <v>807</v>
      </c>
      <c r="B257">
        <v>69980</v>
      </c>
      <c r="C257" t="s">
        <v>569</v>
      </c>
      <c r="D257">
        <v>69491.5</v>
      </c>
      <c r="G257" s="51">
        <f t="shared" si="15"/>
        <v>69630</v>
      </c>
      <c r="H257" s="52">
        <f t="shared" si="16"/>
        <v>69011.5</v>
      </c>
      <c r="I257" s="37">
        <f t="shared" si="17"/>
        <v>618.5</v>
      </c>
      <c r="J257">
        <f t="shared" si="18"/>
        <v>618.5</v>
      </c>
      <c r="K257">
        <f t="shared" si="19"/>
        <v>8.8826655177366085E-3</v>
      </c>
    </row>
    <row r="258" spans="1:11">
      <c r="A258" t="s">
        <v>808</v>
      </c>
      <c r="B258">
        <v>71620</v>
      </c>
      <c r="C258" t="s">
        <v>575</v>
      </c>
      <c r="D258">
        <v>73860.5</v>
      </c>
      <c r="G258" s="51">
        <f t="shared" si="15"/>
        <v>69980</v>
      </c>
      <c r="H258" s="52">
        <f t="shared" si="16"/>
        <v>69491.5</v>
      </c>
      <c r="I258" s="37">
        <f t="shared" si="17"/>
        <v>488.5</v>
      </c>
      <c r="J258">
        <f t="shared" si="18"/>
        <v>488.5</v>
      </c>
      <c r="K258">
        <f t="shared" si="19"/>
        <v>6.9805658759645615E-3</v>
      </c>
    </row>
    <row r="259" spans="1:11">
      <c r="A259" t="s">
        <v>809</v>
      </c>
      <c r="B259">
        <v>69370</v>
      </c>
      <c r="C259" t="s">
        <v>577</v>
      </c>
      <c r="D259">
        <v>68737.375</v>
      </c>
      <c r="G259" s="51">
        <f t="shared" si="15"/>
        <v>71620</v>
      </c>
      <c r="H259" s="52">
        <f t="shared" si="16"/>
        <v>73860.5</v>
      </c>
      <c r="I259" s="37">
        <f t="shared" si="17"/>
        <v>-2240.5</v>
      </c>
      <c r="J259">
        <f t="shared" si="18"/>
        <v>2240.5</v>
      </c>
      <c r="K259">
        <f t="shared" si="19"/>
        <v>3.1283161128176487E-2</v>
      </c>
    </row>
    <row r="260" spans="1:11">
      <c r="A260" t="s">
        <v>810</v>
      </c>
      <c r="B260">
        <v>69580</v>
      </c>
      <c r="C260" t="s">
        <v>569</v>
      </c>
      <c r="D260">
        <v>69089.125</v>
      </c>
      <c r="G260" s="51">
        <f t="shared" ref="G260:G323" si="20">B259</f>
        <v>69370</v>
      </c>
      <c r="H260" s="52">
        <f t="shared" ref="H260:H323" si="21">D259</f>
        <v>68737.375</v>
      </c>
      <c r="I260" s="37">
        <f t="shared" si="17"/>
        <v>632.625</v>
      </c>
      <c r="J260">
        <f t="shared" si="18"/>
        <v>632.625</v>
      </c>
      <c r="K260">
        <f t="shared" si="19"/>
        <v>9.1195761856710401E-3</v>
      </c>
    </row>
    <row r="261" spans="1:11">
      <c r="A261" t="s">
        <v>811</v>
      </c>
      <c r="B261">
        <v>69750</v>
      </c>
      <c r="C261" t="s">
        <v>569</v>
      </c>
      <c r="D261">
        <v>68705.5</v>
      </c>
      <c r="G261" s="51">
        <f t="shared" si="20"/>
        <v>69580</v>
      </c>
      <c r="H261" s="52">
        <f t="shared" si="21"/>
        <v>69089.125</v>
      </c>
      <c r="I261" s="37">
        <f t="shared" si="17"/>
        <v>490.875</v>
      </c>
      <c r="J261">
        <f t="shared" si="18"/>
        <v>490.875</v>
      </c>
      <c r="K261">
        <f t="shared" si="19"/>
        <v>7.0548289738430582E-3</v>
      </c>
    </row>
    <row r="262" spans="1:11">
      <c r="A262" t="s">
        <v>812</v>
      </c>
      <c r="B262">
        <v>69760</v>
      </c>
      <c r="C262" t="s">
        <v>569</v>
      </c>
      <c r="D262">
        <v>69602.269230769234</v>
      </c>
      <c r="G262" s="51">
        <f t="shared" si="20"/>
        <v>69750</v>
      </c>
      <c r="H262" s="52">
        <f t="shared" si="21"/>
        <v>68705.5</v>
      </c>
      <c r="I262" s="37">
        <f t="shared" ref="I262:I325" si="22">G262-H262</f>
        <v>1044.5</v>
      </c>
      <c r="J262">
        <f t="shared" ref="J262:J325" si="23">ABS(I262)</f>
        <v>1044.5</v>
      </c>
      <c r="K262">
        <f t="shared" ref="K262:K325" si="24">J262/G262</f>
        <v>1.4974910394265233E-2</v>
      </c>
    </row>
    <row r="263" spans="1:11">
      <c r="A263" t="s">
        <v>813</v>
      </c>
      <c r="B263">
        <v>69900</v>
      </c>
      <c r="C263" t="s">
        <v>569</v>
      </c>
      <c r="D263">
        <v>69611.5</v>
      </c>
      <c r="G263" s="51">
        <f t="shared" si="20"/>
        <v>69760</v>
      </c>
      <c r="H263" s="52">
        <f t="shared" si="21"/>
        <v>69602.269230769234</v>
      </c>
      <c r="I263" s="37">
        <f t="shared" si="22"/>
        <v>157.73076923076587</v>
      </c>
      <c r="J263">
        <f t="shared" si="23"/>
        <v>157.73076923076587</v>
      </c>
      <c r="K263">
        <f t="shared" si="24"/>
        <v>2.2610488708538685E-3</v>
      </c>
    </row>
    <row r="264" spans="1:11">
      <c r="A264" t="s">
        <v>814</v>
      </c>
      <c r="B264">
        <v>67560</v>
      </c>
      <c r="C264" t="s">
        <v>569</v>
      </c>
      <c r="D264">
        <v>69740.730769230766</v>
      </c>
      <c r="G264" s="51">
        <f t="shared" si="20"/>
        <v>69900</v>
      </c>
      <c r="H264" s="52">
        <f t="shared" si="21"/>
        <v>69611.5</v>
      </c>
      <c r="I264" s="37">
        <f t="shared" si="22"/>
        <v>288.5</v>
      </c>
      <c r="J264">
        <f t="shared" si="23"/>
        <v>288.5</v>
      </c>
      <c r="K264">
        <f t="shared" si="24"/>
        <v>4.1273247496423464E-3</v>
      </c>
    </row>
    <row r="265" spans="1:11">
      <c r="A265" t="s">
        <v>815</v>
      </c>
      <c r="B265">
        <v>65140</v>
      </c>
      <c r="C265" t="s">
        <v>569</v>
      </c>
      <c r="D265">
        <v>67589.944444444438</v>
      </c>
      <c r="G265" s="51">
        <f t="shared" si="20"/>
        <v>67560</v>
      </c>
      <c r="H265" s="52">
        <f t="shared" si="21"/>
        <v>69740.730769230766</v>
      </c>
      <c r="I265" s="37">
        <f t="shared" si="22"/>
        <v>-2180.7307692307659</v>
      </c>
      <c r="J265">
        <f t="shared" si="23"/>
        <v>2180.7307692307659</v>
      </c>
      <c r="K265">
        <f t="shared" si="24"/>
        <v>3.2278430568839042E-2</v>
      </c>
    </row>
    <row r="266" spans="1:11">
      <c r="A266" t="s">
        <v>816</v>
      </c>
      <c r="B266">
        <v>66350</v>
      </c>
      <c r="C266" t="s">
        <v>569</v>
      </c>
      <c r="D266">
        <v>65346.884615384617</v>
      </c>
      <c r="G266" s="51">
        <f t="shared" si="20"/>
        <v>65140</v>
      </c>
      <c r="H266" s="52">
        <f t="shared" si="21"/>
        <v>67589.944444444438</v>
      </c>
      <c r="I266" s="37">
        <f t="shared" si="22"/>
        <v>-2449.944444444438</v>
      </c>
      <c r="J266">
        <f t="shared" si="23"/>
        <v>2449.944444444438</v>
      </c>
      <c r="K266">
        <f t="shared" si="24"/>
        <v>3.7610445877255726E-2</v>
      </c>
    </row>
    <row r="267" spans="1:11">
      <c r="A267" t="s">
        <v>817</v>
      </c>
      <c r="B267">
        <v>67460</v>
      </c>
      <c r="C267" t="s">
        <v>569</v>
      </c>
      <c r="D267">
        <v>67034.5</v>
      </c>
      <c r="G267" s="51">
        <f t="shared" si="20"/>
        <v>66350</v>
      </c>
      <c r="H267" s="52">
        <f t="shared" si="21"/>
        <v>65346.884615384617</v>
      </c>
      <c r="I267" s="37">
        <f t="shared" si="22"/>
        <v>1003.1153846153829</v>
      </c>
      <c r="J267">
        <f t="shared" si="23"/>
        <v>1003.1153846153829</v>
      </c>
      <c r="K267">
        <f t="shared" si="24"/>
        <v>1.5118543852530263E-2</v>
      </c>
    </row>
    <row r="268" spans="1:11">
      <c r="A268" t="s">
        <v>818</v>
      </c>
      <c r="B268">
        <v>69620</v>
      </c>
      <c r="C268" t="s">
        <v>569</v>
      </c>
      <c r="D268">
        <v>67488.423076923078</v>
      </c>
      <c r="G268" s="51">
        <f t="shared" si="20"/>
        <v>67460</v>
      </c>
      <c r="H268" s="52">
        <f t="shared" si="21"/>
        <v>67034.5</v>
      </c>
      <c r="I268" s="37">
        <f t="shared" si="22"/>
        <v>425.5</v>
      </c>
      <c r="J268">
        <f t="shared" si="23"/>
        <v>425.5</v>
      </c>
      <c r="K268">
        <f t="shared" si="24"/>
        <v>6.3074414467832792E-3</v>
      </c>
    </row>
    <row r="269" spans="1:11">
      <c r="A269" t="s">
        <v>819</v>
      </c>
      <c r="B269">
        <v>69370</v>
      </c>
      <c r="C269" t="s">
        <v>569</v>
      </c>
      <c r="D269">
        <v>68979.954545454544</v>
      </c>
      <c r="G269" s="51">
        <f t="shared" si="20"/>
        <v>69620</v>
      </c>
      <c r="H269" s="52">
        <f t="shared" si="21"/>
        <v>67488.423076923078</v>
      </c>
      <c r="I269" s="37">
        <f t="shared" si="22"/>
        <v>2131.576923076922</v>
      </c>
      <c r="J269">
        <f t="shared" si="23"/>
        <v>2131.576923076922</v>
      </c>
      <c r="K269">
        <f t="shared" si="24"/>
        <v>3.0617307139858115E-2</v>
      </c>
    </row>
    <row r="270" spans="1:11">
      <c r="A270" t="s">
        <v>820</v>
      </c>
      <c r="B270">
        <v>68620</v>
      </c>
      <c r="C270" t="s">
        <v>569</v>
      </c>
      <c r="D270">
        <v>68562.166666666672</v>
      </c>
      <c r="G270" s="51">
        <f t="shared" si="20"/>
        <v>69370</v>
      </c>
      <c r="H270" s="52">
        <f t="shared" si="21"/>
        <v>68979.954545454544</v>
      </c>
      <c r="I270" s="37">
        <f t="shared" si="22"/>
        <v>390.04545454545587</v>
      </c>
      <c r="J270">
        <f t="shared" si="23"/>
        <v>390.04545454545587</v>
      </c>
      <c r="K270">
        <f t="shared" si="24"/>
        <v>5.6226820606235526E-3</v>
      </c>
    </row>
    <row r="271" spans="1:11">
      <c r="A271" t="s">
        <v>821</v>
      </c>
      <c r="B271">
        <v>72130</v>
      </c>
      <c r="C271" t="s">
        <v>575</v>
      </c>
      <c r="D271">
        <v>73860.5</v>
      </c>
      <c r="G271" s="51">
        <f t="shared" si="20"/>
        <v>68620</v>
      </c>
      <c r="H271" s="52">
        <f t="shared" si="21"/>
        <v>68562.166666666672</v>
      </c>
      <c r="I271" s="37">
        <f t="shared" si="22"/>
        <v>57.833333333328483</v>
      </c>
      <c r="J271">
        <f t="shared" si="23"/>
        <v>57.833333333328483</v>
      </c>
      <c r="K271">
        <f t="shared" si="24"/>
        <v>8.4280579034288084E-4</v>
      </c>
    </row>
    <row r="272" spans="1:11">
      <c r="A272" t="s">
        <v>822</v>
      </c>
      <c r="B272">
        <v>71840</v>
      </c>
      <c r="C272" t="s">
        <v>591</v>
      </c>
      <c r="D272">
        <v>72968.642857142855</v>
      </c>
      <c r="G272" s="51">
        <f t="shared" si="20"/>
        <v>72130</v>
      </c>
      <c r="H272" s="52">
        <f t="shared" si="21"/>
        <v>73860.5</v>
      </c>
      <c r="I272" s="37">
        <f t="shared" si="22"/>
        <v>-1730.5</v>
      </c>
      <c r="J272">
        <f t="shared" si="23"/>
        <v>1730.5</v>
      </c>
      <c r="K272">
        <f t="shared" si="24"/>
        <v>2.3991404408706504E-2</v>
      </c>
    </row>
    <row r="273" spans="1:11">
      <c r="A273" t="s">
        <v>823</v>
      </c>
      <c r="B273">
        <v>70780</v>
      </c>
      <c r="C273" t="s">
        <v>577</v>
      </c>
      <c r="D273">
        <v>68019.875</v>
      </c>
      <c r="G273" s="51">
        <f t="shared" si="20"/>
        <v>71840</v>
      </c>
      <c r="H273" s="52">
        <f t="shared" si="21"/>
        <v>72968.642857142855</v>
      </c>
      <c r="I273" s="37">
        <f t="shared" si="22"/>
        <v>-1128.6428571428551</v>
      </c>
      <c r="J273">
        <f t="shared" si="23"/>
        <v>1128.6428571428551</v>
      </c>
      <c r="K273">
        <f t="shared" si="24"/>
        <v>1.5710507476932839E-2</v>
      </c>
    </row>
    <row r="274" spans="1:11">
      <c r="A274" t="s">
        <v>824</v>
      </c>
      <c r="B274">
        <v>70440</v>
      </c>
      <c r="C274" t="s">
        <v>569</v>
      </c>
      <c r="D274">
        <v>69597.666666666672</v>
      </c>
      <c r="G274" s="51">
        <f t="shared" si="20"/>
        <v>70780</v>
      </c>
      <c r="H274" s="52">
        <f t="shared" si="21"/>
        <v>68019.875</v>
      </c>
      <c r="I274" s="37">
        <f t="shared" si="22"/>
        <v>2760.125</v>
      </c>
      <c r="J274">
        <f t="shared" si="23"/>
        <v>2760.125</v>
      </c>
      <c r="K274">
        <f t="shared" si="24"/>
        <v>3.8995832155976268E-2</v>
      </c>
    </row>
    <row r="275" spans="1:11">
      <c r="A275" t="s">
        <v>825</v>
      </c>
      <c r="B275">
        <v>70180</v>
      </c>
      <c r="C275" t="s">
        <v>569</v>
      </c>
      <c r="D275">
        <v>69746.95</v>
      </c>
      <c r="G275" s="51">
        <f t="shared" si="20"/>
        <v>70440</v>
      </c>
      <c r="H275" s="52">
        <f t="shared" si="21"/>
        <v>69597.666666666672</v>
      </c>
      <c r="I275" s="37">
        <f t="shared" si="22"/>
        <v>842.33333333332848</v>
      </c>
      <c r="J275">
        <f t="shared" si="23"/>
        <v>842.33333333332848</v>
      </c>
      <c r="K275">
        <f t="shared" si="24"/>
        <v>1.1958167707741744E-2</v>
      </c>
    </row>
    <row r="276" spans="1:11">
      <c r="A276" t="s">
        <v>826</v>
      </c>
      <c r="B276">
        <v>70090</v>
      </c>
      <c r="C276" t="s">
        <v>569</v>
      </c>
      <c r="D276">
        <v>69999.192307692312</v>
      </c>
      <c r="G276" s="51">
        <f t="shared" si="20"/>
        <v>70180</v>
      </c>
      <c r="H276" s="52">
        <f t="shared" si="21"/>
        <v>69746.95</v>
      </c>
      <c r="I276" s="37">
        <f t="shared" si="22"/>
        <v>433.05000000000291</v>
      </c>
      <c r="J276">
        <f t="shared" si="23"/>
        <v>433.05000000000291</v>
      </c>
      <c r="K276">
        <f t="shared" si="24"/>
        <v>6.1705614135081632E-3</v>
      </c>
    </row>
    <row r="277" spans="1:11">
      <c r="A277" t="s">
        <v>827</v>
      </c>
      <c r="B277">
        <v>71120</v>
      </c>
      <c r="C277" t="s">
        <v>575</v>
      </c>
      <c r="D277">
        <v>73860.5</v>
      </c>
      <c r="G277" s="51">
        <f t="shared" si="20"/>
        <v>70090</v>
      </c>
      <c r="H277" s="52">
        <f t="shared" si="21"/>
        <v>69999.192307692312</v>
      </c>
      <c r="I277" s="37">
        <f t="shared" si="22"/>
        <v>90.80769230768783</v>
      </c>
      <c r="J277">
        <f t="shared" si="23"/>
        <v>90.80769230768783</v>
      </c>
      <c r="K277">
        <f t="shared" si="24"/>
        <v>1.2955869925479787E-3</v>
      </c>
    </row>
    <row r="278" spans="1:11">
      <c r="A278" t="s">
        <v>828</v>
      </c>
      <c r="B278">
        <v>71110</v>
      </c>
      <c r="C278" t="s">
        <v>591</v>
      </c>
      <c r="D278">
        <v>72103.388888888891</v>
      </c>
      <c r="G278" s="51">
        <f t="shared" si="20"/>
        <v>71120</v>
      </c>
      <c r="H278" s="52">
        <f t="shared" si="21"/>
        <v>73860.5</v>
      </c>
      <c r="I278" s="37">
        <f t="shared" si="22"/>
        <v>-2740.5</v>
      </c>
      <c r="J278">
        <f t="shared" si="23"/>
        <v>2740.5</v>
      </c>
      <c r="K278">
        <f t="shared" si="24"/>
        <v>3.8533464566929132E-2</v>
      </c>
    </row>
    <row r="279" spans="1:11">
      <c r="A279" t="s">
        <v>829</v>
      </c>
      <c r="B279">
        <v>70930</v>
      </c>
      <c r="C279" t="s">
        <v>591</v>
      </c>
      <c r="D279">
        <v>72152.277777777781</v>
      </c>
      <c r="G279" s="51">
        <f t="shared" si="20"/>
        <v>71110</v>
      </c>
      <c r="H279" s="52">
        <f t="shared" si="21"/>
        <v>72103.388888888891</v>
      </c>
      <c r="I279" s="37">
        <f t="shared" si="22"/>
        <v>-993.38888888889051</v>
      </c>
      <c r="J279">
        <f t="shared" si="23"/>
        <v>993.38888888889051</v>
      </c>
      <c r="K279">
        <f t="shared" si="24"/>
        <v>1.3969749527336388E-2</v>
      </c>
    </row>
    <row r="280" spans="1:11">
      <c r="A280" t="s">
        <v>830</v>
      </c>
      <c r="B280">
        <v>68580</v>
      </c>
      <c r="C280" t="s">
        <v>577</v>
      </c>
      <c r="D280">
        <v>70088.899999999994</v>
      </c>
      <c r="G280" s="51">
        <f t="shared" si="20"/>
        <v>70930</v>
      </c>
      <c r="H280" s="52">
        <f t="shared" si="21"/>
        <v>72152.277777777781</v>
      </c>
      <c r="I280" s="37">
        <f t="shared" si="22"/>
        <v>-1222.277777777781</v>
      </c>
      <c r="J280">
        <f t="shared" si="23"/>
        <v>1222.277777777781</v>
      </c>
      <c r="K280">
        <f t="shared" si="24"/>
        <v>1.7232169431520949E-2</v>
      </c>
    </row>
    <row r="281" spans="1:11">
      <c r="A281" t="s">
        <v>831</v>
      </c>
      <c r="B281">
        <v>69810</v>
      </c>
      <c r="C281" t="s">
        <v>569</v>
      </c>
      <c r="D281">
        <v>68496.611111111109</v>
      </c>
      <c r="G281" s="51">
        <f t="shared" si="20"/>
        <v>68580</v>
      </c>
      <c r="H281" s="52">
        <f t="shared" si="21"/>
        <v>70088.899999999994</v>
      </c>
      <c r="I281" s="37">
        <f t="shared" si="22"/>
        <v>-1508.8999999999942</v>
      </c>
      <c r="J281">
        <f t="shared" si="23"/>
        <v>1508.8999999999942</v>
      </c>
      <c r="K281">
        <f t="shared" si="24"/>
        <v>2.2002041411490144E-2</v>
      </c>
    </row>
    <row r="282" spans="1:11">
      <c r="A282" t="s">
        <v>832</v>
      </c>
      <c r="B282">
        <v>69620</v>
      </c>
      <c r="C282" t="s">
        <v>569</v>
      </c>
      <c r="D282">
        <v>68939.95</v>
      </c>
      <c r="G282" s="51">
        <f t="shared" si="20"/>
        <v>69810</v>
      </c>
      <c r="H282" s="52">
        <f t="shared" si="21"/>
        <v>68496.611111111109</v>
      </c>
      <c r="I282" s="37">
        <f t="shared" si="22"/>
        <v>1313.3888888888905</v>
      </c>
      <c r="J282">
        <f t="shared" si="23"/>
        <v>1313.3888888888905</v>
      </c>
      <c r="K282">
        <f t="shared" si="24"/>
        <v>1.8813764344490624E-2</v>
      </c>
    </row>
    <row r="283" spans="1:11">
      <c r="A283" t="s">
        <v>833</v>
      </c>
      <c r="B283">
        <v>70180</v>
      </c>
      <c r="C283" t="s">
        <v>569</v>
      </c>
      <c r="D283">
        <v>68984.5</v>
      </c>
      <c r="G283" s="51">
        <f t="shared" si="20"/>
        <v>69620</v>
      </c>
      <c r="H283" s="52">
        <f t="shared" si="21"/>
        <v>68939.95</v>
      </c>
      <c r="I283" s="37">
        <f t="shared" si="22"/>
        <v>680.05000000000291</v>
      </c>
      <c r="J283">
        <f t="shared" si="23"/>
        <v>680.05000000000291</v>
      </c>
      <c r="K283">
        <f t="shared" si="24"/>
        <v>9.7680264291870565E-3</v>
      </c>
    </row>
    <row r="284" spans="1:11">
      <c r="A284" t="s">
        <v>834</v>
      </c>
      <c r="B284">
        <v>70350</v>
      </c>
      <c r="C284" t="s">
        <v>569</v>
      </c>
      <c r="D284">
        <v>69798.136363636368</v>
      </c>
      <c r="G284" s="51">
        <f t="shared" si="20"/>
        <v>70180</v>
      </c>
      <c r="H284" s="52">
        <f t="shared" si="21"/>
        <v>68984.5</v>
      </c>
      <c r="I284" s="37">
        <f t="shared" si="22"/>
        <v>1195.5</v>
      </c>
      <c r="J284">
        <f t="shared" si="23"/>
        <v>1195.5</v>
      </c>
      <c r="K284">
        <f t="shared" si="24"/>
        <v>1.7034767740096893E-2</v>
      </c>
    </row>
    <row r="285" spans="1:11">
      <c r="A285" t="s">
        <v>835</v>
      </c>
      <c r="B285">
        <v>70360</v>
      </c>
      <c r="C285" t="s">
        <v>569</v>
      </c>
      <c r="D285">
        <v>69943.590909090912</v>
      </c>
      <c r="G285" s="51">
        <f t="shared" si="20"/>
        <v>70350</v>
      </c>
      <c r="H285" s="52">
        <f t="shared" si="21"/>
        <v>69798.136363636368</v>
      </c>
      <c r="I285" s="37">
        <f t="shared" si="22"/>
        <v>551.86363636363239</v>
      </c>
      <c r="J285">
        <f t="shared" si="23"/>
        <v>551.86363636363239</v>
      </c>
      <c r="K285">
        <f t="shared" si="24"/>
        <v>7.8445435161852515E-3</v>
      </c>
    </row>
    <row r="286" spans="1:11">
      <c r="A286" t="s">
        <v>836</v>
      </c>
      <c r="B286">
        <v>71210</v>
      </c>
      <c r="C286" t="s">
        <v>575</v>
      </c>
      <c r="D286">
        <v>73860.5</v>
      </c>
      <c r="G286" s="51">
        <f t="shared" si="20"/>
        <v>70360</v>
      </c>
      <c r="H286" s="52">
        <f t="shared" si="21"/>
        <v>69943.590909090912</v>
      </c>
      <c r="I286" s="37">
        <f t="shared" si="22"/>
        <v>416.40909090908826</v>
      </c>
      <c r="J286">
        <f t="shared" si="23"/>
        <v>416.40909090908826</v>
      </c>
      <c r="K286">
        <f t="shared" si="24"/>
        <v>5.9182645097937501E-3</v>
      </c>
    </row>
    <row r="287" spans="1:11">
      <c r="A287" t="s">
        <v>837</v>
      </c>
      <c r="B287">
        <v>70310</v>
      </c>
      <c r="C287" t="s">
        <v>577</v>
      </c>
      <c r="D287">
        <v>69441.899999999994</v>
      </c>
      <c r="G287" s="51">
        <f t="shared" si="20"/>
        <v>71210</v>
      </c>
      <c r="H287" s="52">
        <f t="shared" si="21"/>
        <v>73860.5</v>
      </c>
      <c r="I287" s="37">
        <f t="shared" si="22"/>
        <v>-2650.5</v>
      </c>
      <c r="J287">
        <f t="shared" si="23"/>
        <v>2650.5</v>
      </c>
      <c r="K287">
        <f t="shared" si="24"/>
        <v>3.722089594158124E-2</v>
      </c>
    </row>
    <row r="288" spans="1:11">
      <c r="A288" t="s">
        <v>838</v>
      </c>
      <c r="B288">
        <v>70830</v>
      </c>
      <c r="C288" t="s">
        <v>569</v>
      </c>
      <c r="D288">
        <v>70119.192307692312</v>
      </c>
      <c r="G288" s="51">
        <f t="shared" si="20"/>
        <v>70310</v>
      </c>
      <c r="H288" s="52">
        <f t="shared" si="21"/>
        <v>69441.899999999994</v>
      </c>
      <c r="I288" s="37">
        <f t="shared" si="22"/>
        <v>868.10000000000582</v>
      </c>
      <c r="J288">
        <f t="shared" si="23"/>
        <v>868.10000000000582</v>
      </c>
      <c r="K288">
        <f t="shared" si="24"/>
        <v>1.2346750106670542E-2</v>
      </c>
    </row>
    <row r="289" spans="1:11">
      <c r="A289" t="s">
        <v>839</v>
      </c>
      <c r="B289">
        <v>70790</v>
      </c>
      <c r="C289" t="s">
        <v>569</v>
      </c>
      <c r="D289">
        <v>70025.880952380961</v>
      </c>
      <c r="G289" s="51">
        <f t="shared" si="20"/>
        <v>70830</v>
      </c>
      <c r="H289" s="52">
        <f t="shared" si="21"/>
        <v>70119.192307692312</v>
      </c>
      <c r="I289" s="37">
        <f t="shared" si="22"/>
        <v>710.80769230768783</v>
      </c>
      <c r="J289">
        <f t="shared" si="23"/>
        <v>710.80769230768783</v>
      </c>
      <c r="K289">
        <f t="shared" si="24"/>
        <v>1.0035404381020583E-2</v>
      </c>
    </row>
    <row r="290" spans="1:11">
      <c r="A290" t="s">
        <v>840</v>
      </c>
      <c r="B290">
        <v>72650</v>
      </c>
      <c r="C290" t="s">
        <v>575</v>
      </c>
      <c r="D290">
        <v>71702.928571428565</v>
      </c>
      <c r="G290" s="51">
        <f t="shared" si="20"/>
        <v>70790</v>
      </c>
      <c r="H290" s="52">
        <f t="shared" si="21"/>
        <v>70025.880952380961</v>
      </c>
      <c r="I290" s="37">
        <f t="shared" si="22"/>
        <v>764.11904761903861</v>
      </c>
      <c r="J290">
        <f t="shared" si="23"/>
        <v>764.11904761903861</v>
      </c>
      <c r="K290">
        <f t="shared" si="24"/>
        <v>1.0794166515313442E-2</v>
      </c>
    </row>
    <row r="291" spans="1:11">
      <c r="A291" t="s">
        <v>841</v>
      </c>
      <c r="B291">
        <v>73580</v>
      </c>
      <c r="C291" t="s">
        <v>591</v>
      </c>
      <c r="D291">
        <v>73391.166666666672</v>
      </c>
      <c r="G291" s="51">
        <f t="shared" si="20"/>
        <v>72650</v>
      </c>
      <c r="H291" s="52">
        <f t="shared" si="21"/>
        <v>71702.928571428565</v>
      </c>
      <c r="I291" s="37">
        <f t="shared" si="22"/>
        <v>947.07142857143481</v>
      </c>
      <c r="J291">
        <f t="shared" si="23"/>
        <v>947.07142857143481</v>
      </c>
      <c r="K291">
        <f t="shared" si="24"/>
        <v>1.3036082981024568E-2</v>
      </c>
    </row>
    <row r="292" spans="1:11">
      <c r="A292" t="s">
        <v>842</v>
      </c>
      <c r="B292">
        <v>73070</v>
      </c>
      <c r="C292" t="s">
        <v>591</v>
      </c>
      <c r="D292">
        <v>73835.875</v>
      </c>
      <c r="G292" s="51">
        <f t="shared" si="20"/>
        <v>73580</v>
      </c>
      <c r="H292" s="52">
        <f t="shared" si="21"/>
        <v>73391.166666666672</v>
      </c>
      <c r="I292" s="37">
        <f t="shared" si="22"/>
        <v>188.83333333332848</v>
      </c>
      <c r="J292">
        <f t="shared" si="23"/>
        <v>188.83333333332848</v>
      </c>
      <c r="K292">
        <f t="shared" si="24"/>
        <v>2.5663676723746737E-3</v>
      </c>
    </row>
    <row r="293" spans="1:11">
      <c r="A293" t="s">
        <v>843</v>
      </c>
      <c r="B293">
        <v>73020</v>
      </c>
      <c r="C293" t="s">
        <v>591</v>
      </c>
      <c r="D293">
        <v>73130.807692307688</v>
      </c>
      <c r="G293" s="51">
        <f t="shared" si="20"/>
        <v>73070</v>
      </c>
      <c r="H293" s="52">
        <f t="shared" si="21"/>
        <v>73835.875</v>
      </c>
      <c r="I293" s="37">
        <f t="shared" si="22"/>
        <v>-765.875</v>
      </c>
      <c r="J293">
        <f t="shared" si="23"/>
        <v>765.875</v>
      </c>
      <c r="K293">
        <f t="shared" si="24"/>
        <v>1.0481387710414672E-2</v>
      </c>
    </row>
    <row r="294" spans="1:11">
      <c r="A294" t="s">
        <v>844</v>
      </c>
      <c r="B294">
        <v>69870</v>
      </c>
      <c r="C294" t="s">
        <v>577</v>
      </c>
      <c r="D294">
        <v>67829.5</v>
      </c>
      <c r="G294" s="51">
        <f t="shared" si="20"/>
        <v>73020</v>
      </c>
      <c r="H294" s="52">
        <f t="shared" si="21"/>
        <v>73130.807692307688</v>
      </c>
      <c r="I294" s="37">
        <f t="shared" si="22"/>
        <v>-110.80769230768783</v>
      </c>
      <c r="J294">
        <f t="shared" si="23"/>
        <v>110.80769230768783</v>
      </c>
      <c r="K294">
        <f t="shared" si="24"/>
        <v>1.5174978404230051E-3</v>
      </c>
    </row>
    <row r="295" spans="1:11">
      <c r="A295" t="s">
        <v>845</v>
      </c>
      <c r="B295">
        <v>70950</v>
      </c>
      <c r="C295" t="s">
        <v>575</v>
      </c>
      <c r="D295">
        <v>73580.125</v>
      </c>
      <c r="G295" s="51">
        <f t="shared" si="20"/>
        <v>69870</v>
      </c>
      <c r="H295" s="52">
        <f t="shared" si="21"/>
        <v>67829.5</v>
      </c>
      <c r="I295" s="37">
        <f t="shared" si="22"/>
        <v>2040.5</v>
      </c>
      <c r="J295">
        <f t="shared" si="23"/>
        <v>2040.5</v>
      </c>
      <c r="K295">
        <f t="shared" si="24"/>
        <v>2.9204236439101187E-2</v>
      </c>
    </row>
    <row r="296" spans="1:11">
      <c r="A296" t="s">
        <v>846</v>
      </c>
      <c r="B296">
        <v>70730</v>
      </c>
      <c r="C296" t="s">
        <v>577</v>
      </c>
      <c r="D296">
        <v>69078.666666666672</v>
      </c>
      <c r="G296" s="51">
        <f t="shared" si="20"/>
        <v>70950</v>
      </c>
      <c r="H296" s="52">
        <f t="shared" si="21"/>
        <v>73580.125</v>
      </c>
      <c r="I296" s="37">
        <f t="shared" si="22"/>
        <v>-2630.125</v>
      </c>
      <c r="J296">
        <f t="shared" si="23"/>
        <v>2630.125</v>
      </c>
      <c r="K296">
        <f t="shared" si="24"/>
        <v>3.7070119802677944E-2</v>
      </c>
    </row>
    <row r="297" spans="1:11">
      <c r="A297" t="s">
        <v>847</v>
      </c>
      <c r="B297">
        <v>68600</v>
      </c>
      <c r="C297" t="s">
        <v>569</v>
      </c>
      <c r="D297">
        <v>69465.880952380961</v>
      </c>
      <c r="G297" s="51">
        <f t="shared" si="20"/>
        <v>70730</v>
      </c>
      <c r="H297" s="52">
        <f t="shared" si="21"/>
        <v>69078.666666666672</v>
      </c>
      <c r="I297" s="37">
        <f t="shared" si="22"/>
        <v>1651.3333333333285</v>
      </c>
      <c r="J297">
        <f t="shared" si="23"/>
        <v>1651.3333333333285</v>
      </c>
      <c r="K297">
        <f t="shared" si="24"/>
        <v>2.3347000329892953E-2</v>
      </c>
    </row>
    <row r="298" spans="1:11">
      <c r="A298" t="s">
        <v>848</v>
      </c>
      <c r="B298">
        <v>67810</v>
      </c>
      <c r="C298" t="s">
        <v>569</v>
      </c>
      <c r="D298">
        <v>68514.388888888891</v>
      </c>
      <c r="G298" s="51">
        <f t="shared" si="20"/>
        <v>68600</v>
      </c>
      <c r="H298" s="52">
        <f t="shared" si="21"/>
        <v>69465.880952380961</v>
      </c>
      <c r="I298" s="37">
        <f t="shared" si="22"/>
        <v>-865.88095238096139</v>
      </c>
      <c r="J298">
        <f t="shared" si="23"/>
        <v>865.88095238096139</v>
      </c>
      <c r="K298">
        <f t="shared" si="24"/>
        <v>1.2622171317506726E-2</v>
      </c>
    </row>
    <row r="299" spans="1:11">
      <c r="A299" t="s">
        <v>849</v>
      </c>
      <c r="B299">
        <v>66630</v>
      </c>
      <c r="C299" t="s">
        <v>569</v>
      </c>
      <c r="D299">
        <v>67811.772727272721</v>
      </c>
      <c r="G299" s="51">
        <f t="shared" si="20"/>
        <v>67810</v>
      </c>
      <c r="H299" s="52">
        <f t="shared" si="21"/>
        <v>68514.388888888891</v>
      </c>
      <c r="I299" s="37">
        <f t="shared" si="22"/>
        <v>-704.38888888889051</v>
      </c>
      <c r="J299">
        <f t="shared" si="23"/>
        <v>704.38888888889051</v>
      </c>
      <c r="K299">
        <f t="shared" si="24"/>
        <v>1.038768454341381E-2</v>
      </c>
    </row>
    <row r="300" spans="1:11">
      <c r="A300" t="s">
        <v>850</v>
      </c>
      <c r="B300">
        <v>69210</v>
      </c>
      <c r="C300" t="s">
        <v>569</v>
      </c>
      <c r="D300">
        <v>66722.269230769234</v>
      </c>
      <c r="G300" s="51">
        <f t="shared" si="20"/>
        <v>66630</v>
      </c>
      <c r="H300" s="52">
        <f t="shared" si="21"/>
        <v>67811.772727272721</v>
      </c>
      <c r="I300" s="37">
        <f t="shared" si="22"/>
        <v>-1181.7727272727207</v>
      </c>
      <c r="J300">
        <f t="shared" si="23"/>
        <v>1181.7727272727207</v>
      </c>
      <c r="K300">
        <f t="shared" si="24"/>
        <v>1.7736345899335444E-2</v>
      </c>
    </row>
    <row r="301" spans="1:11">
      <c r="A301" t="s">
        <v>851</v>
      </c>
      <c r="B301">
        <v>71620</v>
      </c>
      <c r="C301" t="s">
        <v>575</v>
      </c>
      <c r="D301">
        <v>73093.5</v>
      </c>
      <c r="G301" s="51">
        <f t="shared" si="20"/>
        <v>69210</v>
      </c>
      <c r="H301" s="52">
        <f t="shared" si="21"/>
        <v>66722.269230769234</v>
      </c>
      <c r="I301" s="37">
        <f t="shared" si="22"/>
        <v>2487.7307692307659</v>
      </c>
      <c r="J301">
        <f t="shared" si="23"/>
        <v>2487.7307692307659</v>
      </c>
      <c r="K301">
        <f t="shared" si="24"/>
        <v>3.5944672290576012E-2</v>
      </c>
    </row>
    <row r="302" spans="1:11">
      <c r="A302" t="s">
        <v>852</v>
      </c>
      <c r="B302">
        <v>68690</v>
      </c>
      <c r="C302" t="s">
        <v>577</v>
      </c>
      <c r="D302">
        <v>67829.5</v>
      </c>
      <c r="G302" s="51">
        <f t="shared" si="20"/>
        <v>71620</v>
      </c>
      <c r="H302" s="52">
        <f t="shared" si="21"/>
        <v>73093.5</v>
      </c>
      <c r="I302" s="37">
        <f t="shared" si="22"/>
        <v>-1473.5</v>
      </c>
      <c r="J302">
        <f t="shared" si="23"/>
        <v>1473.5</v>
      </c>
      <c r="K302">
        <f t="shared" si="24"/>
        <v>2.0573862049706786E-2</v>
      </c>
    </row>
    <row r="303" spans="1:11">
      <c r="A303" t="s">
        <v>853</v>
      </c>
      <c r="B303">
        <v>69200</v>
      </c>
      <c r="C303" t="s">
        <v>569</v>
      </c>
      <c r="D303">
        <v>68623.807692307688</v>
      </c>
      <c r="G303" s="51">
        <f t="shared" si="20"/>
        <v>68690</v>
      </c>
      <c r="H303" s="52">
        <f t="shared" si="21"/>
        <v>67829.5</v>
      </c>
      <c r="I303" s="37">
        <f t="shared" si="22"/>
        <v>860.5</v>
      </c>
      <c r="J303">
        <f t="shared" si="23"/>
        <v>860.5</v>
      </c>
      <c r="K303">
        <f t="shared" si="24"/>
        <v>1.2527296549716117E-2</v>
      </c>
    </row>
    <row r="304" spans="1:11">
      <c r="A304" t="s">
        <v>854</v>
      </c>
      <c r="B304">
        <v>71040</v>
      </c>
      <c r="C304" t="s">
        <v>575</v>
      </c>
      <c r="D304">
        <v>73995.125</v>
      </c>
      <c r="G304" s="51">
        <f t="shared" si="20"/>
        <v>69200</v>
      </c>
      <c r="H304" s="52">
        <f t="shared" si="21"/>
        <v>68623.807692307688</v>
      </c>
      <c r="I304" s="37">
        <f t="shared" si="22"/>
        <v>576.19230769231217</v>
      </c>
      <c r="J304">
        <f t="shared" si="23"/>
        <v>576.19230769231217</v>
      </c>
      <c r="K304">
        <f t="shared" si="24"/>
        <v>8.3264784348600022E-3</v>
      </c>
    </row>
    <row r="305" spans="1:11">
      <c r="A305" t="s">
        <v>855</v>
      </c>
      <c r="B305">
        <v>71100</v>
      </c>
      <c r="C305" t="s">
        <v>591</v>
      </c>
      <c r="D305">
        <v>72757.095238095237</v>
      </c>
      <c r="G305" s="51">
        <f t="shared" si="20"/>
        <v>71040</v>
      </c>
      <c r="H305" s="52">
        <f t="shared" si="21"/>
        <v>73995.125</v>
      </c>
      <c r="I305" s="37">
        <f t="shared" si="22"/>
        <v>-2955.125</v>
      </c>
      <c r="J305">
        <f t="shared" si="23"/>
        <v>2955.125</v>
      </c>
      <c r="K305">
        <f t="shared" si="24"/>
        <v>4.1598043355855853E-2</v>
      </c>
    </row>
    <row r="306" spans="1:11">
      <c r="A306" t="s">
        <v>856</v>
      </c>
      <c r="B306">
        <v>71480</v>
      </c>
      <c r="C306" t="s">
        <v>591</v>
      </c>
      <c r="D306">
        <v>73253.166666666672</v>
      </c>
      <c r="G306" s="51">
        <f t="shared" si="20"/>
        <v>71100</v>
      </c>
      <c r="H306" s="52">
        <f t="shared" si="21"/>
        <v>72757.095238095237</v>
      </c>
      <c r="I306" s="37">
        <f t="shared" si="22"/>
        <v>-1657.0952380952367</v>
      </c>
      <c r="J306">
        <f t="shared" si="23"/>
        <v>1657.0952380952367</v>
      </c>
      <c r="K306">
        <f t="shared" si="24"/>
        <v>2.3306543433125691E-2</v>
      </c>
    </row>
    <row r="307" spans="1:11">
      <c r="A307" t="s">
        <v>857</v>
      </c>
      <c r="B307">
        <v>71970</v>
      </c>
      <c r="C307" t="s">
        <v>591</v>
      </c>
      <c r="D307">
        <v>71841.863636363632</v>
      </c>
      <c r="G307" s="51">
        <f t="shared" si="20"/>
        <v>71480</v>
      </c>
      <c r="H307" s="52">
        <f t="shared" si="21"/>
        <v>73253.166666666672</v>
      </c>
      <c r="I307" s="37">
        <f t="shared" si="22"/>
        <v>-1773.1666666666715</v>
      </c>
      <c r="J307">
        <f t="shared" si="23"/>
        <v>1773.1666666666715</v>
      </c>
      <c r="K307">
        <f t="shared" si="24"/>
        <v>2.4806472673008836E-2</v>
      </c>
    </row>
    <row r="308" spans="1:11">
      <c r="A308" t="s">
        <v>858</v>
      </c>
      <c r="B308">
        <v>73440</v>
      </c>
      <c r="C308" t="s">
        <v>591</v>
      </c>
      <c r="D308">
        <v>72115.423076923078</v>
      </c>
      <c r="G308" s="51">
        <f t="shared" si="20"/>
        <v>71970</v>
      </c>
      <c r="H308" s="52">
        <f t="shared" si="21"/>
        <v>71841.863636363632</v>
      </c>
      <c r="I308" s="37">
        <f t="shared" si="22"/>
        <v>128.13636363636761</v>
      </c>
      <c r="J308">
        <f t="shared" si="23"/>
        <v>128.13636363636761</v>
      </c>
      <c r="K308">
        <f t="shared" si="24"/>
        <v>1.7804135561535028E-3</v>
      </c>
    </row>
    <row r="309" spans="1:11">
      <c r="A309" t="s">
        <v>859</v>
      </c>
      <c r="B309">
        <v>73410</v>
      </c>
      <c r="C309" t="s">
        <v>591</v>
      </c>
      <c r="D309">
        <v>73720.041666666672</v>
      </c>
      <c r="G309" s="51">
        <f t="shared" si="20"/>
        <v>73440</v>
      </c>
      <c r="H309" s="52">
        <f t="shared" si="21"/>
        <v>72115.423076923078</v>
      </c>
      <c r="I309" s="37">
        <f t="shared" si="22"/>
        <v>1324.576923076922</v>
      </c>
      <c r="J309">
        <f t="shared" si="23"/>
        <v>1324.576923076922</v>
      </c>
      <c r="K309">
        <f t="shared" si="24"/>
        <v>1.8036178146472247E-2</v>
      </c>
    </row>
    <row r="310" spans="1:11">
      <c r="A310" t="s">
        <v>860</v>
      </c>
      <c r="B310">
        <v>75010</v>
      </c>
      <c r="C310" t="s">
        <v>591</v>
      </c>
      <c r="D310">
        <v>73743.05</v>
      </c>
      <c r="G310" s="51">
        <f t="shared" si="20"/>
        <v>73410</v>
      </c>
      <c r="H310" s="52">
        <f t="shared" si="21"/>
        <v>73720.041666666672</v>
      </c>
      <c r="I310" s="37">
        <f t="shared" si="22"/>
        <v>-310.04166666667152</v>
      </c>
      <c r="J310">
        <f t="shared" si="23"/>
        <v>310.04166666667152</v>
      </c>
      <c r="K310">
        <f t="shared" si="24"/>
        <v>4.2234255096944761E-3</v>
      </c>
    </row>
    <row r="311" spans="1:11">
      <c r="A311" t="s">
        <v>861</v>
      </c>
      <c r="B311">
        <v>77110</v>
      </c>
      <c r="C311" t="s">
        <v>704</v>
      </c>
      <c r="D311">
        <v>79253.833333333328</v>
      </c>
      <c r="G311" s="51">
        <f t="shared" si="20"/>
        <v>75010</v>
      </c>
      <c r="H311" s="52">
        <f t="shared" si="21"/>
        <v>73743.05</v>
      </c>
      <c r="I311" s="37">
        <f t="shared" si="22"/>
        <v>1266.9499999999971</v>
      </c>
      <c r="J311">
        <f t="shared" si="23"/>
        <v>1266.9499999999971</v>
      </c>
      <c r="K311">
        <f t="shared" si="24"/>
        <v>1.6890414611385109E-2</v>
      </c>
    </row>
    <row r="312" spans="1:11">
      <c r="A312" t="s">
        <v>862</v>
      </c>
      <c r="B312">
        <v>78510</v>
      </c>
      <c r="C312" t="s">
        <v>706</v>
      </c>
      <c r="D312">
        <v>77780.166666666672</v>
      </c>
      <c r="G312" s="51">
        <f t="shared" si="20"/>
        <v>77110</v>
      </c>
      <c r="H312" s="52">
        <f t="shared" si="21"/>
        <v>79253.833333333328</v>
      </c>
      <c r="I312" s="37">
        <f t="shared" si="22"/>
        <v>-2143.8333333333285</v>
      </c>
      <c r="J312">
        <f t="shared" si="23"/>
        <v>2143.8333333333285</v>
      </c>
      <c r="K312">
        <f t="shared" si="24"/>
        <v>2.780227380797988E-2</v>
      </c>
    </row>
    <row r="313" spans="1:11">
      <c r="A313" t="s">
        <v>863</v>
      </c>
      <c r="B313">
        <v>78760</v>
      </c>
      <c r="C313" t="s">
        <v>706</v>
      </c>
      <c r="D313">
        <v>78800.125</v>
      </c>
      <c r="G313" s="51">
        <f t="shared" si="20"/>
        <v>78510</v>
      </c>
      <c r="H313" s="52">
        <f t="shared" si="21"/>
        <v>77780.166666666672</v>
      </c>
      <c r="I313" s="37">
        <f t="shared" si="22"/>
        <v>729.83333333332848</v>
      </c>
      <c r="J313">
        <f t="shared" si="23"/>
        <v>729.83333333332848</v>
      </c>
      <c r="K313">
        <f t="shared" si="24"/>
        <v>9.2960557041565205E-3</v>
      </c>
    </row>
    <row r="314" spans="1:11">
      <c r="A314" t="s">
        <v>864</v>
      </c>
      <c r="B314">
        <v>79770</v>
      </c>
      <c r="C314" t="s">
        <v>706</v>
      </c>
      <c r="D314">
        <v>79385.590909090912</v>
      </c>
      <c r="G314" s="51">
        <f t="shared" si="20"/>
        <v>78760</v>
      </c>
      <c r="H314" s="52">
        <f t="shared" si="21"/>
        <v>78800.125</v>
      </c>
      <c r="I314" s="37">
        <f t="shared" si="22"/>
        <v>-40.125</v>
      </c>
      <c r="J314">
        <f t="shared" si="23"/>
        <v>40.125</v>
      </c>
      <c r="K314">
        <f t="shared" si="24"/>
        <v>5.0945911630269174E-4</v>
      </c>
    </row>
    <row r="315" spans="1:11">
      <c r="A315" t="s">
        <v>865</v>
      </c>
      <c r="B315">
        <v>78240</v>
      </c>
      <c r="C315" t="s">
        <v>706</v>
      </c>
      <c r="D315">
        <v>79779.346153846156</v>
      </c>
      <c r="G315" s="51">
        <f t="shared" si="20"/>
        <v>79770</v>
      </c>
      <c r="H315" s="52">
        <f t="shared" si="21"/>
        <v>79385.590909090912</v>
      </c>
      <c r="I315" s="37">
        <f t="shared" si="22"/>
        <v>384.40909090908826</v>
      </c>
      <c r="J315">
        <f t="shared" si="23"/>
        <v>384.40909090908826</v>
      </c>
      <c r="K315">
        <f t="shared" si="24"/>
        <v>4.8189681698519275E-3</v>
      </c>
    </row>
    <row r="316" spans="1:11">
      <c r="A316" t="s">
        <v>866</v>
      </c>
      <c r="B316">
        <v>79110</v>
      </c>
      <c r="C316" t="s">
        <v>706</v>
      </c>
      <c r="D316">
        <v>78507.625</v>
      </c>
      <c r="G316" s="51">
        <f t="shared" si="20"/>
        <v>78240</v>
      </c>
      <c r="H316" s="52">
        <f t="shared" si="21"/>
        <v>79779.346153846156</v>
      </c>
      <c r="I316" s="37">
        <f t="shared" si="22"/>
        <v>-1539.3461538461561</v>
      </c>
      <c r="J316">
        <f t="shared" si="23"/>
        <v>1539.3461538461561</v>
      </c>
      <c r="K316">
        <f t="shared" si="24"/>
        <v>1.9674669655497905E-2</v>
      </c>
    </row>
    <row r="317" spans="1:11">
      <c r="A317" t="s">
        <v>867</v>
      </c>
      <c r="B317">
        <v>77570</v>
      </c>
      <c r="C317" t="s">
        <v>706</v>
      </c>
      <c r="D317">
        <v>79170.11538461539</v>
      </c>
      <c r="G317" s="51">
        <f t="shared" si="20"/>
        <v>79110</v>
      </c>
      <c r="H317" s="52">
        <f t="shared" si="21"/>
        <v>78507.625</v>
      </c>
      <c r="I317" s="37">
        <f t="shared" si="22"/>
        <v>602.375</v>
      </c>
      <c r="J317">
        <f t="shared" si="23"/>
        <v>602.375</v>
      </c>
      <c r="K317">
        <f t="shared" si="24"/>
        <v>7.6143976741246365E-3</v>
      </c>
    </row>
    <row r="318" spans="1:11">
      <c r="A318" t="s">
        <v>868</v>
      </c>
      <c r="B318">
        <v>78880</v>
      </c>
      <c r="C318" t="s">
        <v>706</v>
      </c>
      <c r="D318">
        <v>78085.590909090912</v>
      </c>
      <c r="G318" s="51">
        <f t="shared" si="20"/>
        <v>77570</v>
      </c>
      <c r="H318" s="52">
        <f t="shared" si="21"/>
        <v>79170.11538461539</v>
      </c>
      <c r="I318" s="37">
        <f t="shared" si="22"/>
        <v>-1600.1153846153902</v>
      </c>
      <c r="J318">
        <f t="shared" si="23"/>
        <v>1600.1153846153902</v>
      </c>
      <c r="K318">
        <f t="shared" si="24"/>
        <v>2.0628018365545831E-2</v>
      </c>
    </row>
    <row r="319" spans="1:11">
      <c r="A319" t="s">
        <v>869</v>
      </c>
      <c r="B319">
        <v>80320</v>
      </c>
      <c r="C319" t="s">
        <v>706</v>
      </c>
      <c r="D319">
        <v>78957.807692307688</v>
      </c>
      <c r="G319" s="51">
        <f t="shared" si="20"/>
        <v>78880</v>
      </c>
      <c r="H319" s="52">
        <f t="shared" si="21"/>
        <v>78085.590909090912</v>
      </c>
      <c r="I319" s="37">
        <f t="shared" si="22"/>
        <v>794.40909090908826</v>
      </c>
      <c r="J319">
        <f t="shared" si="23"/>
        <v>794.40909090908826</v>
      </c>
      <c r="K319">
        <f t="shared" si="24"/>
        <v>1.0071109164668969E-2</v>
      </c>
    </row>
    <row r="320" spans="1:11">
      <c r="A320" t="s">
        <v>870</v>
      </c>
      <c r="B320">
        <v>80620</v>
      </c>
      <c r="C320" t="s">
        <v>706</v>
      </c>
      <c r="D320">
        <v>80287.038461538468</v>
      </c>
      <c r="G320" s="51">
        <f t="shared" si="20"/>
        <v>80320</v>
      </c>
      <c r="H320" s="52">
        <f t="shared" si="21"/>
        <v>78957.807692307688</v>
      </c>
      <c r="I320" s="37">
        <f t="shared" si="22"/>
        <v>1362.1923076923122</v>
      </c>
      <c r="J320">
        <f t="shared" si="23"/>
        <v>1362.1923076923122</v>
      </c>
      <c r="K320">
        <f t="shared" si="24"/>
        <v>1.6959565583818628E-2</v>
      </c>
    </row>
    <row r="321" spans="1:11">
      <c r="A321" t="s">
        <v>871</v>
      </c>
      <c r="B321">
        <v>81810</v>
      </c>
      <c r="C321" t="s">
        <v>706</v>
      </c>
      <c r="D321">
        <v>80274.291666666672</v>
      </c>
      <c r="G321" s="51">
        <f t="shared" si="20"/>
        <v>80620</v>
      </c>
      <c r="H321" s="52">
        <f t="shared" si="21"/>
        <v>80287.038461538468</v>
      </c>
      <c r="I321" s="37">
        <f t="shared" si="22"/>
        <v>332.96153846153175</v>
      </c>
      <c r="J321">
        <f t="shared" si="23"/>
        <v>332.96153846153175</v>
      </c>
      <c r="K321">
        <f t="shared" si="24"/>
        <v>4.1300116405548464E-3</v>
      </c>
    </row>
    <row r="322" spans="1:11">
      <c r="A322" t="s">
        <v>872</v>
      </c>
      <c r="B322">
        <v>81730</v>
      </c>
      <c r="C322" t="s">
        <v>706</v>
      </c>
      <c r="D322">
        <v>81231.045454545456</v>
      </c>
      <c r="G322" s="51">
        <f t="shared" si="20"/>
        <v>81810</v>
      </c>
      <c r="H322" s="52">
        <f t="shared" si="21"/>
        <v>80274.291666666672</v>
      </c>
      <c r="I322" s="37">
        <f t="shared" si="22"/>
        <v>1535.7083333333285</v>
      </c>
      <c r="J322">
        <f t="shared" si="23"/>
        <v>1535.7083333333285</v>
      </c>
      <c r="K322">
        <f t="shared" si="24"/>
        <v>1.8771645683086768E-2</v>
      </c>
    </row>
    <row r="323" spans="1:11">
      <c r="A323" t="s">
        <v>873</v>
      </c>
      <c r="B323">
        <v>80540</v>
      </c>
      <c r="C323" t="s">
        <v>706</v>
      </c>
      <c r="D323">
        <v>81058.318181818177</v>
      </c>
      <c r="G323" s="51">
        <f t="shared" si="20"/>
        <v>81730</v>
      </c>
      <c r="H323" s="52">
        <f t="shared" si="21"/>
        <v>81231.045454545456</v>
      </c>
      <c r="I323" s="37">
        <f t="shared" si="22"/>
        <v>498.95454545454413</v>
      </c>
      <c r="J323">
        <f t="shared" si="23"/>
        <v>498.95454545454413</v>
      </c>
      <c r="K323">
        <f t="shared" si="24"/>
        <v>6.1049130729786388E-3</v>
      </c>
    </row>
    <row r="324" spans="1:11">
      <c r="A324" t="s">
        <v>874</v>
      </c>
      <c r="B324">
        <v>80540</v>
      </c>
      <c r="C324" t="s">
        <v>706</v>
      </c>
      <c r="D324">
        <v>80208.458333333328</v>
      </c>
      <c r="G324" s="51">
        <f t="shared" ref="G324:G385" si="25">B323</f>
        <v>80540</v>
      </c>
      <c r="H324" s="52">
        <f t="shared" ref="H324:H385" si="26">D323</f>
        <v>81058.318181818177</v>
      </c>
      <c r="I324" s="37">
        <f t="shared" si="22"/>
        <v>-518.31818181817653</v>
      </c>
      <c r="J324">
        <f t="shared" si="23"/>
        <v>518.31818181817653</v>
      </c>
      <c r="K324">
        <f t="shared" si="24"/>
        <v>6.4355373953088714E-3</v>
      </c>
    </row>
    <row r="325" spans="1:11">
      <c r="A325" t="s">
        <v>875</v>
      </c>
      <c r="B325">
        <v>82730</v>
      </c>
      <c r="C325" t="s">
        <v>706</v>
      </c>
      <c r="D325">
        <v>79940.136363636368</v>
      </c>
      <c r="G325" s="51">
        <f t="shared" si="25"/>
        <v>80540</v>
      </c>
      <c r="H325" s="52">
        <f t="shared" si="26"/>
        <v>80208.458333333328</v>
      </c>
      <c r="I325" s="37">
        <f t="shared" si="22"/>
        <v>331.54166666667152</v>
      </c>
      <c r="J325">
        <f t="shared" si="23"/>
        <v>331.54166666667152</v>
      </c>
      <c r="K325">
        <f t="shared" si="24"/>
        <v>4.1164845625362738E-3</v>
      </c>
    </row>
    <row r="326" spans="1:11">
      <c r="A326" t="s">
        <v>876</v>
      </c>
      <c r="B326">
        <v>82350</v>
      </c>
      <c r="C326" t="s">
        <v>706</v>
      </c>
      <c r="D326">
        <v>80827.333333333328</v>
      </c>
      <c r="G326" s="51">
        <f t="shared" si="25"/>
        <v>82730</v>
      </c>
      <c r="H326" s="52">
        <f t="shared" si="26"/>
        <v>79940.136363636368</v>
      </c>
      <c r="I326" s="37">
        <f t="shared" ref="I326:I385" si="27">G326-H326</f>
        <v>2789.8636363636324</v>
      </c>
      <c r="J326">
        <f t="shared" ref="J326:J385" si="28">ABS(I326)</f>
        <v>2789.8636363636324</v>
      </c>
      <c r="K326">
        <f t="shared" ref="K326:K385" si="29">J326/G326</f>
        <v>3.3722514642374378E-2</v>
      </c>
    </row>
    <row r="327" spans="1:11">
      <c r="A327" t="s">
        <v>877</v>
      </c>
      <c r="B327">
        <v>82440</v>
      </c>
      <c r="C327" t="s">
        <v>706</v>
      </c>
      <c r="D327">
        <v>80769.611111111109</v>
      </c>
      <c r="G327" s="51">
        <f t="shared" si="25"/>
        <v>82350</v>
      </c>
      <c r="H327" s="52">
        <f t="shared" si="26"/>
        <v>80827.333333333328</v>
      </c>
      <c r="I327" s="37">
        <f t="shared" si="27"/>
        <v>1522.6666666666715</v>
      </c>
      <c r="J327">
        <f t="shared" si="28"/>
        <v>1522.6666666666715</v>
      </c>
      <c r="K327">
        <f t="shared" si="29"/>
        <v>1.8490184173244342E-2</v>
      </c>
    </row>
    <row r="328" spans="1:11">
      <c r="A328" t="s">
        <v>878</v>
      </c>
      <c r="B328">
        <v>80580</v>
      </c>
      <c r="C328" t="s">
        <v>706</v>
      </c>
      <c r="D328">
        <v>82076.5</v>
      </c>
      <c r="G328" s="51">
        <f t="shared" si="25"/>
        <v>82440</v>
      </c>
      <c r="H328" s="52">
        <f t="shared" si="26"/>
        <v>80769.611111111109</v>
      </c>
      <c r="I328" s="37">
        <f t="shared" si="27"/>
        <v>1670.3888888888905</v>
      </c>
      <c r="J328">
        <f t="shared" si="28"/>
        <v>1670.3888888888905</v>
      </c>
      <c r="K328">
        <f t="shared" si="29"/>
        <v>2.0261873955469318E-2</v>
      </c>
    </row>
    <row r="329" spans="1:11">
      <c r="A329" t="s">
        <v>879</v>
      </c>
      <c r="B329">
        <v>81100</v>
      </c>
      <c r="C329" t="s">
        <v>706</v>
      </c>
      <c r="D329">
        <v>80157.149999999994</v>
      </c>
      <c r="G329" s="51">
        <f t="shared" si="25"/>
        <v>80580</v>
      </c>
      <c r="H329" s="52">
        <f t="shared" si="26"/>
        <v>82076.5</v>
      </c>
      <c r="I329" s="37">
        <f t="shared" si="27"/>
        <v>-1496.5</v>
      </c>
      <c r="J329">
        <f t="shared" si="28"/>
        <v>1496.5</v>
      </c>
      <c r="K329">
        <f t="shared" si="29"/>
        <v>1.8571605857532886E-2</v>
      </c>
    </row>
    <row r="330" spans="1:11">
      <c r="A330" t="s">
        <v>880</v>
      </c>
      <c r="B330">
        <v>80800</v>
      </c>
      <c r="C330" t="s">
        <v>706</v>
      </c>
      <c r="D330">
        <v>80381.045454545456</v>
      </c>
      <c r="G330" s="51">
        <f t="shared" si="25"/>
        <v>81100</v>
      </c>
      <c r="H330" s="52">
        <f t="shared" si="26"/>
        <v>80157.149999999994</v>
      </c>
      <c r="I330" s="37">
        <f t="shared" si="27"/>
        <v>942.85000000000582</v>
      </c>
      <c r="J330">
        <f t="shared" si="28"/>
        <v>942.85000000000582</v>
      </c>
      <c r="K330">
        <f t="shared" si="29"/>
        <v>1.1625770653514252E-2</v>
      </c>
    </row>
    <row r="331" spans="1:11">
      <c r="A331" t="s">
        <v>881</v>
      </c>
      <c r="B331">
        <v>81060</v>
      </c>
      <c r="C331" t="s">
        <v>706</v>
      </c>
      <c r="D331">
        <v>80730.11538461539</v>
      </c>
      <c r="G331" s="51">
        <f t="shared" si="25"/>
        <v>80800</v>
      </c>
      <c r="H331" s="52">
        <f t="shared" si="26"/>
        <v>80381.045454545456</v>
      </c>
      <c r="I331" s="37">
        <f t="shared" si="27"/>
        <v>418.95454545454413</v>
      </c>
      <c r="J331">
        <f t="shared" si="28"/>
        <v>418.95454545454413</v>
      </c>
      <c r="K331">
        <f t="shared" si="29"/>
        <v>5.1850810081007937E-3</v>
      </c>
    </row>
    <row r="332" spans="1:11">
      <c r="A332" t="s">
        <v>882</v>
      </c>
      <c r="B332">
        <v>80620</v>
      </c>
      <c r="C332" t="s">
        <v>706</v>
      </c>
      <c r="D332">
        <v>80970.11538461539</v>
      </c>
      <c r="G332" s="51">
        <f t="shared" si="25"/>
        <v>81060</v>
      </c>
      <c r="H332" s="52">
        <f t="shared" si="26"/>
        <v>80730.11538461539</v>
      </c>
      <c r="I332" s="37">
        <f t="shared" si="27"/>
        <v>329.88461538460979</v>
      </c>
      <c r="J332">
        <f t="shared" si="28"/>
        <v>329.88461538460979</v>
      </c>
      <c r="K332">
        <f t="shared" si="29"/>
        <v>4.0696350281841818E-3</v>
      </c>
    </row>
    <row r="333" spans="1:11">
      <c r="A333" t="s">
        <v>883</v>
      </c>
      <c r="B333">
        <v>80750</v>
      </c>
      <c r="C333" t="s">
        <v>706</v>
      </c>
      <c r="D333">
        <v>80563.961538461532</v>
      </c>
      <c r="G333" s="51">
        <f t="shared" si="25"/>
        <v>80620</v>
      </c>
      <c r="H333" s="52">
        <f t="shared" si="26"/>
        <v>80970.11538461539</v>
      </c>
      <c r="I333" s="37">
        <f t="shared" si="27"/>
        <v>-350.11538461539021</v>
      </c>
      <c r="J333">
        <f t="shared" si="28"/>
        <v>350.11538461539021</v>
      </c>
      <c r="K333">
        <f t="shared" si="29"/>
        <v>4.3427857183749715E-3</v>
      </c>
    </row>
    <row r="334" spans="1:11">
      <c r="A334" t="s">
        <v>884</v>
      </c>
      <c r="B334">
        <v>81000</v>
      </c>
      <c r="C334" t="s">
        <v>706</v>
      </c>
      <c r="D334">
        <v>80683.961538461532</v>
      </c>
      <c r="G334" s="51">
        <f t="shared" si="25"/>
        <v>80750</v>
      </c>
      <c r="H334" s="52">
        <f t="shared" si="26"/>
        <v>80563.961538461532</v>
      </c>
      <c r="I334" s="37">
        <f t="shared" si="27"/>
        <v>186.03846153846825</v>
      </c>
      <c r="J334">
        <f t="shared" si="28"/>
        <v>186.03846153846825</v>
      </c>
      <c r="K334">
        <f t="shared" si="29"/>
        <v>2.303881876637378E-3</v>
      </c>
    </row>
    <row r="335" spans="1:11">
      <c r="A335" t="s">
        <v>885</v>
      </c>
      <c r="B335">
        <v>80940</v>
      </c>
      <c r="C335" t="s">
        <v>706</v>
      </c>
      <c r="D335">
        <v>80914.730769230766</v>
      </c>
      <c r="G335" s="51">
        <f t="shared" si="25"/>
        <v>81000</v>
      </c>
      <c r="H335" s="52">
        <f t="shared" si="26"/>
        <v>80683.961538461532</v>
      </c>
      <c r="I335" s="37">
        <f t="shared" si="27"/>
        <v>316.03846153846825</v>
      </c>
      <c r="J335">
        <f t="shared" si="28"/>
        <v>316.03846153846825</v>
      </c>
      <c r="K335">
        <f t="shared" si="29"/>
        <v>3.9017094017094844E-3</v>
      </c>
    </row>
    <row r="336" spans="1:11">
      <c r="A336" t="s">
        <v>886</v>
      </c>
      <c r="B336">
        <v>81720</v>
      </c>
      <c r="C336" t="s">
        <v>706</v>
      </c>
      <c r="D336">
        <v>80859.346153846156</v>
      </c>
      <c r="G336" s="51">
        <f t="shared" si="25"/>
        <v>80940</v>
      </c>
      <c r="H336" s="52">
        <f t="shared" si="26"/>
        <v>80914.730769230766</v>
      </c>
      <c r="I336" s="37">
        <f t="shared" si="27"/>
        <v>25.269230769234127</v>
      </c>
      <c r="J336">
        <f t="shared" si="28"/>
        <v>25.269230769234127</v>
      </c>
      <c r="K336">
        <f t="shared" si="29"/>
        <v>3.1219706905404163E-4</v>
      </c>
    </row>
    <row r="337" spans="1:11">
      <c r="A337" t="s">
        <v>887</v>
      </c>
      <c r="B337">
        <v>82240</v>
      </c>
      <c r="C337" t="s">
        <v>706</v>
      </c>
      <c r="D337">
        <v>81226.5</v>
      </c>
      <c r="G337" s="51">
        <f t="shared" si="25"/>
        <v>81720</v>
      </c>
      <c r="H337" s="52">
        <f t="shared" si="26"/>
        <v>80859.346153846156</v>
      </c>
      <c r="I337" s="37">
        <f t="shared" si="27"/>
        <v>860.65384615384392</v>
      </c>
      <c r="J337">
        <f t="shared" si="28"/>
        <v>860.65384615384392</v>
      </c>
      <c r="K337">
        <f t="shared" si="29"/>
        <v>1.0531740652886E-2</v>
      </c>
    </row>
    <row r="338" spans="1:11">
      <c r="A338" t="s">
        <v>888</v>
      </c>
      <c r="B338">
        <v>83340</v>
      </c>
      <c r="C338" t="s">
        <v>712</v>
      </c>
      <c r="D338">
        <v>84471.25</v>
      </c>
      <c r="G338" s="51">
        <f t="shared" si="25"/>
        <v>82240</v>
      </c>
      <c r="H338" s="52">
        <f t="shared" si="26"/>
        <v>81226.5</v>
      </c>
      <c r="I338" s="37">
        <f t="shared" si="27"/>
        <v>1013.5</v>
      </c>
      <c r="J338">
        <f t="shared" si="28"/>
        <v>1013.5</v>
      </c>
      <c r="K338">
        <f t="shared" si="29"/>
        <v>1.2323686770428015E-2</v>
      </c>
    </row>
    <row r="339" spans="1:11">
      <c r="A339" t="s">
        <v>889</v>
      </c>
      <c r="B339">
        <v>83610</v>
      </c>
      <c r="C339" t="s">
        <v>714</v>
      </c>
      <c r="D339">
        <v>83946.25</v>
      </c>
      <c r="G339" s="51">
        <f t="shared" si="25"/>
        <v>83340</v>
      </c>
      <c r="H339" s="52">
        <f t="shared" si="26"/>
        <v>84471.25</v>
      </c>
      <c r="I339" s="37">
        <f t="shared" si="27"/>
        <v>-1131.25</v>
      </c>
      <c r="J339">
        <f t="shared" si="28"/>
        <v>1131.25</v>
      </c>
      <c r="K339">
        <f t="shared" si="29"/>
        <v>1.357391408687305E-2</v>
      </c>
    </row>
    <row r="340" spans="1:11">
      <c r="A340" t="s">
        <v>890</v>
      </c>
      <c r="B340">
        <v>84940</v>
      </c>
      <c r="C340" t="s">
        <v>714</v>
      </c>
      <c r="D340">
        <v>84339.25</v>
      </c>
      <c r="G340" s="51">
        <f t="shared" si="25"/>
        <v>83610</v>
      </c>
      <c r="H340" s="52">
        <f t="shared" si="26"/>
        <v>83946.25</v>
      </c>
      <c r="I340" s="37">
        <f t="shared" si="27"/>
        <v>-336.25</v>
      </c>
      <c r="J340">
        <f t="shared" si="28"/>
        <v>336.25</v>
      </c>
      <c r="K340">
        <f t="shared" si="29"/>
        <v>4.0216481282143281E-3</v>
      </c>
    </row>
    <row r="341" spans="1:11">
      <c r="A341" t="s">
        <v>891</v>
      </c>
      <c r="B341">
        <v>84570</v>
      </c>
      <c r="C341" t="s">
        <v>714</v>
      </c>
      <c r="D341">
        <v>85511.136363636368</v>
      </c>
      <c r="G341" s="51">
        <f t="shared" si="25"/>
        <v>84940</v>
      </c>
      <c r="H341" s="52">
        <f t="shared" si="26"/>
        <v>84339.25</v>
      </c>
      <c r="I341" s="37">
        <f t="shared" si="27"/>
        <v>600.75</v>
      </c>
      <c r="J341">
        <f t="shared" si="28"/>
        <v>600.75</v>
      </c>
      <c r="K341">
        <f t="shared" si="29"/>
        <v>7.0726395102425239E-3</v>
      </c>
    </row>
    <row r="342" spans="1:11">
      <c r="A342" t="s">
        <v>892</v>
      </c>
      <c r="B342">
        <v>84320</v>
      </c>
      <c r="C342" t="s">
        <v>714</v>
      </c>
      <c r="D342">
        <v>85129.318181818177</v>
      </c>
      <c r="G342" s="51">
        <f t="shared" si="25"/>
        <v>84570</v>
      </c>
      <c r="H342" s="52">
        <f t="shared" si="26"/>
        <v>85511.136363636368</v>
      </c>
      <c r="I342" s="37">
        <f t="shared" si="27"/>
        <v>-941.13636363636761</v>
      </c>
      <c r="J342">
        <f t="shared" si="28"/>
        <v>941.13636363636761</v>
      </c>
      <c r="K342">
        <f t="shared" si="29"/>
        <v>1.112848957829452E-2</v>
      </c>
    </row>
    <row r="343" spans="1:11">
      <c r="A343" t="s">
        <v>893</v>
      </c>
      <c r="B343">
        <v>88010</v>
      </c>
      <c r="C343" t="s">
        <v>714</v>
      </c>
      <c r="D343">
        <v>84443.269230769234</v>
      </c>
      <c r="G343" s="51">
        <f t="shared" si="25"/>
        <v>84320</v>
      </c>
      <c r="H343" s="52">
        <f t="shared" si="26"/>
        <v>85129.318181818177</v>
      </c>
      <c r="I343" s="37">
        <f t="shared" si="27"/>
        <v>-809.31818181817653</v>
      </c>
      <c r="J343">
        <f t="shared" si="28"/>
        <v>809.31818181817653</v>
      </c>
      <c r="K343">
        <f t="shared" si="29"/>
        <v>9.5981757805760973E-3</v>
      </c>
    </row>
    <row r="344" spans="1:11">
      <c r="A344" t="s">
        <v>894</v>
      </c>
      <c r="B344">
        <v>87760</v>
      </c>
      <c r="C344" t="s">
        <v>714</v>
      </c>
      <c r="D344">
        <v>86974.642857142855</v>
      </c>
      <c r="G344" s="51">
        <f t="shared" si="25"/>
        <v>88010</v>
      </c>
      <c r="H344" s="52">
        <f t="shared" si="26"/>
        <v>84443.269230769234</v>
      </c>
      <c r="I344" s="37">
        <f t="shared" si="27"/>
        <v>3566.7307692307659</v>
      </c>
      <c r="J344">
        <f t="shared" si="28"/>
        <v>3566.7307692307659</v>
      </c>
      <c r="K344">
        <f t="shared" si="29"/>
        <v>4.0526426192827703E-2</v>
      </c>
    </row>
    <row r="345" spans="1:11">
      <c r="A345" t="s">
        <v>895</v>
      </c>
      <c r="B345">
        <v>86610</v>
      </c>
      <c r="C345" t="s">
        <v>714</v>
      </c>
      <c r="D345">
        <v>86760.357142857145</v>
      </c>
      <c r="G345" s="51">
        <f t="shared" si="25"/>
        <v>87760</v>
      </c>
      <c r="H345" s="52">
        <f t="shared" si="26"/>
        <v>86974.642857142855</v>
      </c>
      <c r="I345" s="37">
        <f t="shared" si="27"/>
        <v>785.35714285714494</v>
      </c>
      <c r="J345">
        <f t="shared" si="28"/>
        <v>785.35714285714494</v>
      </c>
      <c r="K345">
        <f t="shared" si="29"/>
        <v>8.9489191300950888E-3</v>
      </c>
    </row>
    <row r="346" spans="1:11">
      <c r="A346" t="s">
        <v>896</v>
      </c>
      <c r="B346">
        <v>88410</v>
      </c>
      <c r="C346" t="s">
        <v>714</v>
      </c>
      <c r="D346">
        <v>86327.708333333328</v>
      </c>
      <c r="G346" s="51">
        <f t="shared" si="25"/>
        <v>86610</v>
      </c>
      <c r="H346" s="52">
        <f t="shared" si="26"/>
        <v>86760.357142857145</v>
      </c>
      <c r="I346" s="37">
        <f t="shared" si="27"/>
        <v>-150.35714285714494</v>
      </c>
      <c r="J346">
        <f t="shared" si="28"/>
        <v>150.35714285714494</v>
      </c>
      <c r="K346">
        <f t="shared" si="29"/>
        <v>1.7360252032922866E-3</v>
      </c>
    </row>
    <row r="347" spans="1:11">
      <c r="A347" t="s">
        <v>897</v>
      </c>
      <c r="B347">
        <v>89030</v>
      </c>
      <c r="C347" t="s">
        <v>716</v>
      </c>
      <c r="D347">
        <v>90270.875</v>
      </c>
      <c r="G347" s="51">
        <f t="shared" si="25"/>
        <v>88410</v>
      </c>
      <c r="H347" s="52">
        <f t="shared" si="26"/>
        <v>86327.708333333328</v>
      </c>
      <c r="I347" s="37">
        <f t="shared" si="27"/>
        <v>2082.2916666666715</v>
      </c>
      <c r="J347">
        <f t="shared" si="28"/>
        <v>2082.2916666666715</v>
      </c>
      <c r="K347">
        <f t="shared" si="29"/>
        <v>2.3552671266448045E-2</v>
      </c>
    </row>
    <row r="348" spans="1:11">
      <c r="A348" t="s">
        <v>898</v>
      </c>
      <c r="B348">
        <v>88660</v>
      </c>
      <c r="C348" t="s">
        <v>741</v>
      </c>
      <c r="D348">
        <v>87420.119047619039</v>
      </c>
      <c r="G348" s="51">
        <f t="shared" si="25"/>
        <v>89030</v>
      </c>
      <c r="H348" s="52">
        <f t="shared" si="26"/>
        <v>90270.875</v>
      </c>
      <c r="I348" s="37">
        <f t="shared" si="27"/>
        <v>-1240.875</v>
      </c>
      <c r="J348">
        <f t="shared" si="28"/>
        <v>1240.875</v>
      </c>
      <c r="K348">
        <f t="shared" si="29"/>
        <v>1.3937717623273053E-2</v>
      </c>
    </row>
    <row r="349" spans="1:11">
      <c r="A349" t="s">
        <v>899</v>
      </c>
      <c r="B349">
        <v>88380</v>
      </c>
      <c r="C349" t="s">
        <v>714</v>
      </c>
      <c r="D349">
        <v>88297.5</v>
      </c>
      <c r="G349" s="51">
        <f t="shared" si="25"/>
        <v>88660</v>
      </c>
      <c r="H349" s="52">
        <f t="shared" si="26"/>
        <v>87420.119047619039</v>
      </c>
      <c r="I349" s="37">
        <f t="shared" si="27"/>
        <v>1239.8809523809614</v>
      </c>
      <c r="J349">
        <f t="shared" si="28"/>
        <v>1239.8809523809614</v>
      </c>
      <c r="K349">
        <f t="shared" si="29"/>
        <v>1.398467124273586E-2</v>
      </c>
    </row>
    <row r="350" spans="1:11">
      <c r="A350" t="s">
        <v>900</v>
      </c>
      <c r="B350">
        <v>87100</v>
      </c>
      <c r="C350" t="s">
        <v>714</v>
      </c>
      <c r="D350">
        <v>88190.961538461532</v>
      </c>
      <c r="G350" s="51">
        <f t="shared" si="25"/>
        <v>88380</v>
      </c>
      <c r="H350" s="52">
        <f t="shared" si="26"/>
        <v>88297.5</v>
      </c>
      <c r="I350" s="37">
        <f t="shared" si="27"/>
        <v>82.5</v>
      </c>
      <c r="J350">
        <f t="shared" si="28"/>
        <v>82.5</v>
      </c>
      <c r="K350">
        <f t="shared" si="29"/>
        <v>9.3346911065852003E-4</v>
      </c>
    </row>
    <row r="351" spans="1:11">
      <c r="A351" t="s">
        <v>901</v>
      </c>
      <c r="B351">
        <v>86610</v>
      </c>
      <c r="C351" t="s">
        <v>714</v>
      </c>
      <c r="D351">
        <v>86538.409090909088</v>
      </c>
      <c r="G351" s="51">
        <f t="shared" si="25"/>
        <v>87100</v>
      </c>
      <c r="H351" s="52">
        <f t="shared" si="26"/>
        <v>88190.961538461532</v>
      </c>
      <c r="I351" s="37">
        <f t="shared" si="27"/>
        <v>-1090.9615384615317</v>
      </c>
      <c r="J351">
        <f t="shared" si="28"/>
        <v>1090.9615384615317</v>
      </c>
      <c r="K351">
        <f t="shared" si="29"/>
        <v>1.2525390797491754E-2</v>
      </c>
    </row>
    <row r="352" spans="1:11">
      <c r="A352" t="s">
        <v>902</v>
      </c>
      <c r="B352">
        <v>85160</v>
      </c>
      <c r="C352" t="s">
        <v>714</v>
      </c>
      <c r="D352">
        <v>86355.208333333328</v>
      </c>
      <c r="G352" s="51">
        <f t="shared" si="25"/>
        <v>86610</v>
      </c>
      <c r="H352" s="52">
        <f t="shared" si="26"/>
        <v>86538.409090909088</v>
      </c>
      <c r="I352" s="37">
        <f t="shared" si="27"/>
        <v>71.590909090911737</v>
      </c>
      <c r="J352">
        <f t="shared" si="28"/>
        <v>71.590909090911737</v>
      </c>
      <c r="K352">
        <f t="shared" si="29"/>
        <v>8.2658941335771543E-4</v>
      </c>
    </row>
    <row r="353" spans="1:11">
      <c r="A353" t="s">
        <v>903</v>
      </c>
      <c r="B353">
        <v>85330</v>
      </c>
      <c r="C353" t="s">
        <v>714</v>
      </c>
      <c r="D353">
        <v>85463.541666666672</v>
      </c>
      <c r="G353" s="51">
        <f t="shared" si="25"/>
        <v>85160</v>
      </c>
      <c r="H353" s="52">
        <f t="shared" si="26"/>
        <v>86355.208333333328</v>
      </c>
      <c r="I353" s="37">
        <f t="shared" si="27"/>
        <v>-1195.2083333333285</v>
      </c>
      <c r="J353">
        <f t="shared" si="28"/>
        <v>1195.2083333333285</v>
      </c>
      <c r="K353">
        <f t="shared" si="29"/>
        <v>1.4034855957413439E-2</v>
      </c>
    </row>
    <row r="354" spans="1:11">
      <c r="A354" t="s">
        <v>904</v>
      </c>
      <c r="B354">
        <v>84060</v>
      </c>
      <c r="C354" t="s">
        <v>714</v>
      </c>
      <c r="D354">
        <v>85645.25</v>
      </c>
      <c r="G354" s="51">
        <f t="shared" si="25"/>
        <v>85330</v>
      </c>
      <c r="H354" s="52">
        <f t="shared" si="26"/>
        <v>85463.541666666672</v>
      </c>
      <c r="I354" s="37">
        <f t="shared" si="27"/>
        <v>-133.54166666667152</v>
      </c>
      <c r="J354">
        <f t="shared" si="28"/>
        <v>133.54166666667152</v>
      </c>
      <c r="K354">
        <f t="shared" si="29"/>
        <v>1.5650025391617428E-3</v>
      </c>
    </row>
    <row r="355" spans="1:11">
      <c r="A355" t="s">
        <v>905</v>
      </c>
      <c r="B355">
        <v>83230</v>
      </c>
      <c r="C355" t="s">
        <v>714</v>
      </c>
      <c r="D355">
        <v>84729.318181818177</v>
      </c>
      <c r="G355" s="51">
        <f t="shared" si="25"/>
        <v>84060</v>
      </c>
      <c r="H355" s="52">
        <f t="shared" si="26"/>
        <v>85645.25</v>
      </c>
      <c r="I355" s="37">
        <f t="shared" si="27"/>
        <v>-1585.25</v>
      </c>
      <c r="J355">
        <f t="shared" si="28"/>
        <v>1585.25</v>
      </c>
      <c r="K355">
        <f t="shared" si="29"/>
        <v>1.8858553414227933E-2</v>
      </c>
    </row>
    <row r="356" spans="1:11">
      <c r="A356" t="s">
        <v>906</v>
      </c>
      <c r="B356">
        <v>82120</v>
      </c>
      <c r="C356" t="s">
        <v>782</v>
      </c>
      <c r="D356">
        <v>81735.375</v>
      </c>
      <c r="G356" s="51">
        <f t="shared" si="25"/>
        <v>83230</v>
      </c>
      <c r="H356" s="52">
        <f t="shared" si="26"/>
        <v>84729.318181818177</v>
      </c>
      <c r="I356" s="37">
        <f t="shared" si="27"/>
        <v>-1499.3181818181765</v>
      </c>
      <c r="J356">
        <f t="shared" si="28"/>
        <v>1499.3181818181765</v>
      </c>
      <c r="K356">
        <f t="shared" si="29"/>
        <v>1.801415573492943E-2</v>
      </c>
    </row>
    <row r="357" spans="1:11">
      <c r="A357" t="s">
        <v>907</v>
      </c>
      <c r="B357">
        <v>81410</v>
      </c>
      <c r="C357" t="s">
        <v>706</v>
      </c>
      <c r="D357">
        <v>81864.291666666672</v>
      </c>
      <c r="G357" s="51">
        <f t="shared" si="25"/>
        <v>82120</v>
      </c>
      <c r="H357" s="52">
        <f t="shared" si="26"/>
        <v>81735.375</v>
      </c>
      <c r="I357" s="37">
        <f t="shared" si="27"/>
        <v>384.625</v>
      </c>
      <c r="J357">
        <f t="shared" si="28"/>
        <v>384.625</v>
      </c>
      <c r="K357">
        <f t="shared" si="29"/>
        <v>4.6836945932781293E-3</v>
      </c>
    </row>
    <row r="358" spans="1:11">
      <c r="A358" t="s">
        <v>908</v>
      </c>
      <c r="B358">
        <v>79530</v>
      </c>
      <c r="C358" t="s">
        <v>706</v>
      </c>
      <c r="D358">
        <v>81293.192307692312</v>
      </c>
      <c r="G358" s="51">
        <f t="shared" si="25"/>
        <v>81410</v>
      </c>
      <c r="H358" s="52">
        <f t="shared" si="26"/>
        <v>81864.291666666672</v>
      </c>
      <c r="I358" s="37">
        <f t="shared" si="27"/>
        <v>-454.29166666667152</v>
      </c>
      <c r="J358">
        <f t="shared" si="28"/>
        <v>454.29166666667152</v>
      </c>
      <c r="K358">
        <f t="shared" si="29"/>
        <v>5.5802931662777486E-3</v>
      </c>
    </row>
    <row r="359" spans="1:11">
      <c r="A359" t="s">
        <v>909</v>
      </c>
      <c r="B359">
        <v>78420</v>
      </c>
      <c r="C359" t="s">
        <v>706</v>
      </c>
      <c r="D359">
        <v>79562.863636363632</v>
      </c>
      <c r="G359" s="51">
        <f t="shared" si="25"/>
        <v>79530</v>
      </c>
      <c r="H359" s="52">
        <f t="shared" si="26"/>
        <v>81293.192307692312</v>
      </c>
      <c r="I359" s="37">
        <f t="shared" si="27"/>
        <v>-1763.1923076923122</v>
      </c>
      <c r="J359">
        <f t="shared" si="28"/>
        <v>1763.1923076923122</v>
      </c>
      <c r="K359">
        <f t="shared" si="29"/>
        <v>2.2170153497954384E-2</v>
      </c>
    </row>
    <row r="360" spans="1:11">
      <c r="A360" t="s">
        <v>910</v>
      </c>
      <c r="B360">
        <v>77190</v>
      </c>
      <c r="C360" t="s">
        <v>706</v>
      </c>
      <c r="D360">
        <v>78735.125</v>
      </c>
      <c r="G360" s="51">
        <f t="shared" si="25"/>
        <v>78420</v>
      </c>
      <c r="H360" s="52">
        <f t="shared" si="26"/>
        <v>79562.863636363632</v>
      </c>
      <c r="I360" s="37">
        <f t="shared" si="27"/>
        <v>-1142.8636363636324</v>
      </c>
      <c r="J360">
        <f t="shared" si="28"/>
        <v>1142.8636363636324</v>
      </c>
      <c r="K360">
        <f t="shared" si="29"/>
        <v>1.4573624539194497E-2</v>
      </c>
    </row>
    <row r="361" spans="1:11">
      <c r="A361" t="s">
        <v>911</v>
      </c>
      <c r="B361">
        <v>79820</v>
      </c>
      <c r="C361" t="s">
        <v>706</v>
      </c>
      <c r="D361">
        <v>77445.125</v>
      </c>
      <c r="G361" s="51">
        <f t="shared" si="25"/>
        <v>77190</v>
      </c>
      <c r="H361" s="52">
        <f t="shared" si="26"/>
        <v>78735.125</v>
      </c>
      <c r="I361" s="37">
        <f t="shared" si="27"/>
        <v>-1545.125</v>
      </c>
      <c r="J361">
        <f t="shared" si="28"/>
        <v>1545.125</v>
      </c>
      <c r="K361">
        <f t="shared" si="29"/>
        <v>2.0017165435937297E-2</v>
      </c>
    </row>
    <row r="362" spans="1:11">
      <c r="A362" t="s">
        <v>912</v>
      </c>
      <c r="B362">
        <v>78280</v>
      </c>
      <c r="C362" t="s">
        <v>706</v>
      </c>
      <c r="D362">
        <v>79826.5</v>
      </c>
      <c r="G362" s="51">
        <f t="shared" si="25"/>
        <v>79820</v>
      </c>
      <c r="H362" s="52">
        <f t="shared" si="26"/>
        <v>77445.125</v>
      </c>
      <c r="I362" s="37">
        <f t="shared" si="27"/>
        <v>2374.875</v>
      </c>
      <c r="J362">
        <f t="shared" si="28"/>
        <v>2374.875</v>
      </c>
      <c r="K362">
        <f t="shared" si="29"/>
        <v>2.9752881483337511E-2</v>
      </c>
    </row>
    <row r="363" spans="1:11">
      <c r="A363" t="s">
        <v>913</v>
      </c>
      <c r="B363">
        <v>75010</v>
      </c>
      <c r="C363" t="s">
        <v>795</v>
      </c>
      <c r="D363">
        <v>74990.166666666672</v>
      </c>
      <c r="G363" s="51">
        <f t="shared" si="25"/>
        <v>78280</v>
      </c>
      <c r="H363" s="52">
        <f t="shared" si="26"/>
        <v>79826.5</v>
      </c>
      <c r="I363" s="37">
        <f t="shared" si="27"/>
        <v>-1546.5</v>
      </c>
      <c r="J363">
        <f t="shared" si="28"/>
        <v>1546.5</v>
      </c>
      <c r="K363">
        <f t="shared" si="29"/>
        <v>1.9756004087889627E-2</v>
      </c>
    </row>
    <row r="364" spans="1:11">
      <c r="A364" t="s">
        <v>914</v>
      </c>
      <c r="B364">
        <v>72750</v>
      </c>
      <c r="C364" t="s">
        <v>591</v>
      </c>
      <c r="D364">
        <v>74549.05</v>
      </c>
      <c r="G364" s="51">
        <f t="shared" si="25"/>
        <v>75010</v>
      </c>
      <c r="H364" s="52">
        <f t="shared" si="26"/>
        <v>74990.166666666672</v>
      </c>
      <c r="I364" s="37">
        <f t="shared" si="27"/>
        <v>19.833333333328483</v>
      </c>
      <c r="J364">
        <f t="shared" si="28"/>
        <v>19.833333333328483</v>
      </c>
      <c r="K364">
        <f t="shared" si="29"/>
        <v>2.6440918988572835E-4</v>
      </c>
    </row>
    <row r="365" spans="1:11">
      <c r="A365" t="s">
        <v>915</v>
      </c>
      <c r="B365">
        <v>74940</v>
      </c>
      <c r="C365" t="s">
        <v>591</v>
      </c>
      <c r="D365">
        <v>73310.045454545456</v>
      </c>
      <c r="G365" s="51">
        <f t="shared" si="25"/>
        <v>72750</v>
      </c>
      <c r="H365" s="52">
        <f t="shared" si="26"/>
        <v>74549.05</v>
      </c>
      <c r="I365" s="37">
        <f t="shared" si="27"/>
        <v>-1799.0500000000029</v>
      </c>
      <c r="J365">
        <f t="shared" si="28"/>
        <v>1799.0500000000029</v>
      </c>
      <c r="K365">
        <f t="shared" si="29"/>
        <v>2.4729209621993167E-2</v>
      </c>
    </row>
    <row r="366" spans="1:11">
      <c r="A366" t="s">
        <v>916</v>
      </c>
      <c r="B366">
        <v>74940</v>
      </c>
      <c r="C366" t="s">
        <v>591</v>
      </c>
      <c r="D366">
        <v>74856.961538461532</v>
      </c>
      <c r="G366" s="51">
        <f t="shared" si="25"/>
        <v>74940</v>
      </c>
      <c r="H366" s="52">
        <f t="shared" si="26"/>
        <v>73310.045454545456</v>
      </c>
      <c r="I366" s="37">
        <f t="shared" si="27"/>
        <v>1629.9545454545441</v>
      </c>
      <c r="J366">
        <f t="shared" si="28"/>
        <v>1629.9545454545441</v>
      </c>
      <c r="K366">
        <f t="shared" si="29"/>
        <v>2.1750127374626956E-2</v>
      </c>
    </row>
    <row r="367" spans="1:11">
      <c r="A367" t="s">
        <v>917</v>
      </c>
      <c r="B367">
        <v>73060</v>
      </c>
      <c r="C367" t="s">
        <v>591</v>
      </c>
      <c r="D367">
        <v>74531.3125</v>
      </c>
      <c r="G367" s="51">
        <f t="shared" si="25"/>
        <v>74940</v>
      </c>
      <c r="H367" s="52">
        <f t="shared" si="26"/>
        <v>74856.961538461532</v>
      </c>
      <c r="I367" s="37">
        <f t="shared" si="27"/>
        <v>83.038461538468255</v>
      </c>
      <c r="J367">
        <f t="shared" si="28"/>
        <v>83.038461538468255</v>
      </c>
      <c r="K367">
        <f t="shared" si="29"/>
        <v>1.108065939931522E-3</v>
      </c>
    </row>
    <row r="368" spans="1:11">
      <c r="A368" t="s">
        <v>918</v>
      </c>
      <c r="B368">
        <v>75620</v>
      </c>
      <c r="C368" t="s">
        <v>591</v>
      </c>
      <c r="D368">
        <v>73516.05</v>
      </c>
      <c r="G368" s="51">
        <f t="shared" si="25"/>
        <v>73060</v>
      </c>
      <c r="H368" s="52">
        <f t="shared" si="26"/>
        <v>74531.3125</v>
      </c>
      <c r="I368" s="37">
        <f t="shared" si="27"/>
        <v>-1471.3125</v>
      </c>
      <c r="J368">
        <f t="shared" si="28"/>
        <v>1471.3125</v>
      </c>
      <c r="K368">
        <f t="shared" si="29"/>
        <v>2.0138413632630716E-2</v>
      </c>
    </row>
    <row r="369" spans="1:11">
      <c r="A369" t="s">
        <v>919</v>
      </c>
      <c r="B369">
        <v>74340</v>
      </c>
      <c r="C369" t="s">
        <v>591</v>
      </c>
      <c r="D369">
        <v>75150.954545454544</v>
      </c>
      <c r="G369" s="51">
        <f t="shared" si="25"/>
        <v>75620</v>
      </c>
      <c r="H369" s="52">
        <f t="shared" si="26"/>
        <v>73516.05</v>
      </c>
      <c r="I369" s="37">
        <f t="shared" si="27"/>
        <v>2103.9499999999971</v>
      </c>
      <c r="J369">
        <f t="shared" si="28"/>
        <v>2103.9499999999971</v>
      </c>
      <c r="K369">
        <f t="shared" si="29"/>
        <v>2.7822665961385839E-2</v>
      </c>
    </row>
    <row r="370" spans="1:11">
      <c r="A370" t="s">
        <v>920</v>
      </c>
      <c r="B370">
        <v>75110</v>
      </c>
      <c r="C370" t="s">
        <v>591</v>
      </c>
      <c r="D370">
        <v>74036.05</v>
      </c>
      <c r="G370" s="51">
        <f t="shared" si="25"/>
        <v>74340</v>
      </c>
      <c r="H370" s="52">
        <f t="shared" si="26"/>
        <v>75150.954545454544</v>
      </c>
      <c r="I370" s="37">
        <f t="shared" si="27"/>
        <v>-810.95454545454413</v>
      </c>
      <c r="J370">
        <f t="shared" si="28"/>
        <v>810.95454545454413</v>
      </c>
      <c r="K370">
        <f t="shared" si="29"/>
        <v>1.0908724044317248E-2</v>
      </c>
    </row>
    <row r="371" spans="1:11">
      <c r="A371" t="s">
        <v>921</v>
      </c>
      <c r="B371">
        <v>72860</v>
      </c>
      <c r="C371" t="s">
        <v>591</v>
      </c>
      <c r="D371">
        <v>75013.88461538461</v>
      </c>
      <c r="G371" s="51">
        <f t="shared" si="25"/>
        <v>75110</v>
      </c>
      <c r="H371" s="52">
        <f t="shared" si="26"/>
        <v>74036.05</v>
      </c>
      <c r="I371" s="37">
        <f t="shared" si="27"/>
        <v>1073.9499999999971</v>
      </c>
      <c r="J371">
        <f t="shared" si="28"/>
        <v>1073.9499999999971</v>
      </c>
      <c r="K371">
        <f t="shared" si="29"/>
        <v>1.4298362401810639E-2</v>
      </c>
    </row>
    <row r="372" spans="1:11">
      <c r="A372" t="s">
        <v>922</v>
      </c>
      <c r="B372">
        <v>72100</v>
      </c>
      <c r="C372" t="s">
        <v>591</v>
      </c>
      <c r="D372">
        <v>73256.05</v>
      </c>
      <c r="G372" s="51">
        <f t="shared" si="25"/>
        <v>72860</v>
      </c>
      <c r="H372" s="52">
        <f t="shared" si="26"/>
        <v>75013.88461538461</v>
      </c>
      <c r="I372" s="37">
        <f t="shared" si="27"/>
        <v>-2153.8846153846098</v>
      </c>
      <c r="J372">
        <f t="shared" si="28"/>
        <v>2153.8846153846098</v>
      </c>
      <c r="K372">
        <f t="shared" si="29"/>
        <v>2.9561962879283692E-2</v>
      </c>
    </row>
    <row r="373" spans="1:11">
      <c r="A373" t="s">
        <v>923</v>
      </c>
      <c r="B373">
        <v>71600</v>
      </c>
      <c r="C373" t="s">
        <v>591</v>
      </c>
      <c r="D373">
        <v>73170.05</v>
      </c>
      <c r="G373" s="51">
        <f t="shared" si="25"/>
        <v>72100</v>
      </c>
      <c r="H373" s="52">
        <f t="shared" si="26"/>
        <v>73256.05</v>
      </c>
      <c r="I373" s="37">
        <f t="shared" si="27"/>
        <v>-1156.0500000000029</v>
      </c>
      <c r="J373">
        <f t="shared" si="28"/>
        <v>1156.0500000000029</v>
      </c>
      <c r="K373">
        <f t="shared" si="29"/>
        <v>1.6033980582524313E-2</v>
      </c>
    </row>
    <row r="374" spans="1:11">
      <c r="A374" t="s">
        <v>924</v>
      </c>
      <c r="B374">
        <v>72430</v>
      </c>
      <c r="C374" t="s">
        <v>591</v>
      </c>
      <c r="D374">
        <v>71853.375</v>
      </c>
      <c r="G374" s="51">
        <f t="shared" si="25"/>
        <v>71600</v>
      </c>
      <c r="H374" s="52">
        <f t="shared" si="26"/>
        <v>73170.05</v>
      </c>
      <c r="I374" s="37">
        <f t="shared" si="27"/>
        <v>-1570.0500000000029</v>
      </c>
      <c r="J374">
        <f t="shared" si="28"/>
        <v>1570.0500000000029</v>
      </c>
      <c r="K374">
        <f t="shared" si="29"/>
        <v>2.1928072625698364E-2</v>
      </c>
    </row>
    <row r="375" spans="1:11">
      <c r="A375" t="s">
        <v>925</v>
      </c>
      <c r="B375">
        <v>71270</v>
      </c>
      <c r="C375" t="s">
        <v>591</v>
      </c>
      <c r="D375">
        <v>72540.038461538468</v>
      </c>
      <c r="G375" s="51">
        <f t="shared" si="25"/>
        <v>72430</v>
      </c>
      <c r="H375" s="52">
        <f t="shared" si="26"/>
        <v>71853.375</v>
      </c>
      <c r="I375" s="37">
        <f t="shared" si="27"/>
        <v>576.625</v>
      </c>
      <c r="J375">
        <f t="shared" si="28"/>
        <v>576.625</v>
      </c>
      <c r="K375">
        <f t="shared" si="29"/>
        <v>7.9611348888582074E-3</v>
      </c>
    </row>
    <row r="376" spans="1:11">
      <c r="A376" t="s">
        <v>926</v>
      </c>
      <c r="B376">
        <v>71920</v>
      </c>
      <c r="C376" t="s">
        <v>591</v>
      </c>
      <c r="D376">
        <v>71655.5</v>
      </c>
      <c r="G376" s="51">
        <f t="shared" si="25"/>
        <v>71270</v>
      </c>
      <c r="H376" s="52">
        <f t="shared" si="26"/>
        <v>72540.038461538468</v>
      </c>
      <c r="I376" s="37">
        <f t="shared" si="27"/>
        <v>-1270.0384615384683</v>
      </c>
      <c r="J376">
        <f t="shared" si="28"/>
        <v>1270.0384615384683</v>
      </c>
      <c r="K376">
        <f t="shared" si="29"/>
        <v>1.7820099081499483E-2</v>
      </c>
    </row>
    <row r="377" spans="1:11">
      <c r="A377" t="s">
        <v>927</v>
      </c>
      <c r="B377">
        <v>72640</v>
      </c>
      <c r="C377" t="s">
        <v>591</v>
      </c>
      <c r="D377">
        <v>72209.208333333328</v>
      </c>
      <c r="G377" s="51">
        <f t="shared" si="25"/>
        <v>71920</v>
      </c>
      <c r="H377" s="52">
        <f t="shared" si="26"/>
        <v>71655.5</v>
      </c>
      <c r="I377" s="37">
        <f t="shared" si="27"/>
        <v>264.5</v>
      </c>
      <c r="J377">
        <f t="shared" si="28"/>
        <v>264.5</v>
      </c>
      <c r="K377">
        <f t="shared" si="29"/>
        <v>3.6776974416017796E-3</v>
      </c>
    </row>
    <row r="378" spans="1:11">
      <c r="A378" t="s">
        <v>928</v>
      </c>
      <c r="B378">
        <v>71250</v>
      </c>
      <c r="C378" t="s">
        <v>591</v>
      </c>
      <c r="D378">
        <v>72733.88461538461</v>
      </c>
      <c r="G378" s="51">
        <f t="shared" si="25"/>
        <v>72640</v>
      </c>
      <c r="H378" s="52">
        <f t="shared" si="26"/>
        <v>72209.208333333328</v>
      </c>
      <c r="I378" s="37">
        <f t="shared" si="27"/>
        <v>430.79166666667152</v>
      </c>
      <c r="J378">
        <f t="shared" si="28"/>
        <v>430.79166666667152</v>
      </c>
      <c r="K378">
        <f t="shared" si="29"/>
        <v>5.9305020190896411E-3</v>
      </c>
    </row>
    <row r="379" spans="1:11">
      <c r="A379" t="s">
        <v>929</v>
      </c>
      <c r="B379">
        <v>71590</v>
      </c>
      <c r="C379" t="s">
        <v>591</v>
      </c>
      <c r="D379">
        <v>71913.05</v>
      </c>
      <c r="G379" s="51">
        <f t="shared" si="25"/>
        <v>71250</v>
      </c>
      <c r="H379" s="52">
        <f t="shared" si="26"/>
        <v>72733.88461538461</v>
      </c>
      <c r="I379" s="37">
        <f t="shared" si="27"/>
        <v>-1483.8846153846098</v>
      </c>
      <c r="J379">
        <f t="shared" si="28"/>
        <v>1483.8846153846098</v>
      </c>
      <c r="K379">
        <f t="shared" si="29"/>
        <v>2.0826450742240137E-2</v>
      </c>
    </row>
    <row r="380" spans="1:11">
      <c r="A380" t="s">
        <v>930</v>
      </c>
      <c r="B380">
        <v>71420</v>
      </c>
      <c r="C380" t="s">
        <v>591</v>
      </c>
      <c r="D380">
        <v>72447.05</v>
      </c>
      <c r="G380" s="51">
        <f t="shared" si="25"/>
        <v>71590</v>
      </c>
      <c r="H380" s="52">
        <f t="shared" si="26"/>
        <v>71913.05</v>
      </c>
      <c r="I380" s="37">
        <f t="shared" si="27"/>
        <v>-323.05000000000291</v>
      </c>
      <c r="J380">
        <f t="shared" si="28"/>
        <v>323.05000000000291</v>
      </c>
      <c r="K380">
        <f t="shared" si="29"/>
        <v>4.5125017460539586E-3</v>
      </c>
    </row>
    <row r="381" spans="1:11">
      <c r="A381" t="s">
        <v>931</v>
      </c>
      <c r="B381">
        <v>72230</v>
      </c>
      <c r="C381" t="s">
        <v>591</v>
      </c>
      <c r="D381">
        <v>71607.730769230766</v>
      </c>
      <c r="G381" s="51">
        <f t="shared" si="25"/>
        <v>71420</v>
      </c>
      <c r="H381" s="52">
        <f t="shared" si="26"/>
        <v>72447.05</v>
      </c>
      <c r="I381" s="37">
        <f t="shared" si="27"/>
        <v>-1027.0500000000029</v>
      </c>
      <c r="J381">
        <f t="shared" si="28"/>
        <v>1027.0500000000029</v>
      </c>
      <c r="K381">
        <f t="shared" si="29"/>
        <v>1.4380425651078169E-2</v>
      </c>
    </row>
    <row r="382" spans="1:11">
      <c r="A382" t="s">
        <v>932</v>
      </c>
      <c r="B382">
        <v>72980</v>
      </c>
      <c r="C382" t="s">
        <v>591</v>
      </c>
      <c r="D382">
        <v>72525.875</v>
      </c>
      <c r="G382" s="51">
        <f t="shared" si="25"/>
        <v>72230</v>
      </c>
      <c r="H382" s="52">
        <f t="shared" si="26"/>
        <v>71607.730769230766</v>
      </c>
      <c r="I382" s="37">
        <f t="shared" si="27"/>
        <v>622.26923076923413</v>
      </c>
      <c r="J382">
        <f t="shared" si="28"/>
        <v>622.26923076923413</v>
      </c>
      <c r="K382">
        <f t="shared" si="29"/>
        <v>8.615107722127013E-3</v>
      </c>
    </row>
    <row r="383" spans="1:11">
      <c r="A383" t="s">
        <v>933</v>
      </c>
      <c r="B383">
        <v>70930</v>
      </c>
      <c r="C383" t="s">
        <v>591</v>
      </c>
      <c r="D383">
        <v>73047.730769230766</v>
      </c>
      <c r="G383" s="51">
        <f t="shared" si="25"/>
        <v>72980</v>
      </c>
      <c r="H383" s="52">
        <f t="shared" si="26"/>
        <v>72525.875</v>
      </c>
      <c r="I383" s="37">
        <f t="shared" si="27"/>
        <v>454.125</v>
      </c>
      <c r="J383">
        <f t="shared" si="28"/>
        <v>454.125</v>
      </c>
      <c r="K383">
        <f t="shared" si="29"/>
        <v>6.2225952315702934E-3</v>
      </c>
    </row>
    <row r="384" spans="1:11">
      <c r="A384" t="s">
        <v>934</v>
      </c>
      <c r="B384">
        <v>69690</v>
      </c>
      <c r="C384" t="s">
        <v>577</v>
      </c>
      <c r="D384">
        <v>69202.547619047618</v>
      </c>
      <c r="G384" s="51">
        <f t="shared" si="25"/>
        <v>70930</v>
      </c>
      <c r="H384" s="52">
        <f t="shared" si="26"/>
        <v>73047.730769230766</v>
      </c>
      <c r="I384" s="37">
        <f t="shared" si="27"/>
        <v>-2117.7307692307659</v>
      </c>
      <c r="J384">
        <f t="shared" si="28"/>
        <v>2117.7307692307659</v>
      </c>
      <c r="K384">
        <f t="shared" si="29"/>
        <v>2.9856630046958491E-2</v>
      </c>
    </row>
    <row r="385" spans="7:11">
      <c r="G385" s="51">
        <f t="shared" si="25"/>
        <v>69690</v>
      </c>
      <c r="H385" s="52">
        <f t="shared" si="26"/>
        <v>69202.547619047618</v>
      </c>
      <c r="I385" s="37">
        <f t="shared" si="27"/>
        <v>487.45238095238165</v>
      </c>
      <c r="J385">
        <f t="shared" si="28"/>
        <v>487.45238095238165</v>
      </c>
      <c r="K385">
        <f t="shared" si="29"/>
        <v>6.9945814457222219E-3</v>
      </c>
    </row>
  </sheetData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Prasasti Sekar Asih</dc:creator>
  <cp:lastModifiedBy>Prasasti Sekar Asih</cp:lastModifiedBy>
  <dcterms:created xsi:type="dcterms:W3CDTF">2024-11-20T11:06:18Z</dcterms:created>
  <dcterms:modified xsi:type="dcterms:W3CDTF">2024-11-20T11:17:01Z</dcterms:modified>
</cp:coreProperties>
</file>